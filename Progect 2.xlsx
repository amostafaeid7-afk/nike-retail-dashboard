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8.xml" ContentType="application/vnd.openxmlformats-officedocument.spreadsheetml.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C:\CData\Excel Work\Projects\"/>
    </mc:Choice>
  </mc:AlternateContent>
  <xr:revisionPtr revIDLastSave="0" documentId="13_ncr:1_{AF307955-B404-4663-A5D6-5A541BBC81CB}" xr6:coauthVersionLast="47" xr6:coauthVersionMax="47" xr10:uidLastSave="{00000000-0000-0000-0000-000000000000}"/>
  <bookViews>
    <workbookView xWindow="-110" yWindow="-110" windowWidth="19420" windowHeight="11020" firstSheet="1" activeTab="3" xr2:uid="{7AF92A83-9B96-4987-AA61-C25CB5D8F8E9}"/>
  </bookViews>
  <sheets>
    <sheet name="Fact Table" sheetId="5" r:id="rId1"/>
    <sheet name="Dimentions" sheetId="9" r:id="rId2"/>
    <sheet name="PIVOT TABLE" sheetId="2" r:id="rId3"/>
    <sheet name="DASHBOARD" sheetId="3" r:id="rId4"/>
  </sheets>
  <definedNames>
    <definedName name="_xlcn.WorksheetConnection_Book1DimChannel1" hidden="1">DimChannel[]</definedName>
    <definedName name="_xlcn.WorksheetConnection_Book1DimCustomer1" hidden="1">DimCustomer[]</definedName>
    <definedName name="_xlcn.WorksheetConnection_Book1DImDate1" hidden="1">DImDate[]</definedName>
    <definedName name="_xlcn.WorksheetConnection_Book1DimProduct_11" hidden="1">DimProduct_1[]</definedName>
    <definedName name="_xlcn.WorksheetConnection_Book1DimProfitability1" hidden="1">DimProfitability[]</definedName>
    <definedName name="_xlcn.WorksheetConnection_Book1Fact_Table1" hidden="1">Fact_Table[]</definedName>
    <definedName name="_xlcn.WorksheetConnection_Book1Table91" hidden="1">Table9[]</definedName>
    <definedName name="ExternalData_1" localSheetId="0" hidden="1">'Fact Table'!$A$1:$M$1991</definedName>
    <definedName name="ExternalData_3" localSheetId="1" hidden="1">Dimentions!$E$1:$E$4</definedName>
    <definedName name="ExternalData_4" localSheetId="1" hidden="1">Dimentions!$C$10:$C$12</definedName>
    <definedName name="ExternalData_5" localSheetId="1" hidden="1">Dimentions!$A$1:$A$528</definedName>
    <definedName name="ExternalData_6" localSheetId="1" hidden="1">Dimentions!$G$1:$G$1987</definedName>
    <definedName name="ExternalData_7" localSheetId="1" hidden="1">Dimentions!$B$15:$E$35</definedName>
    <definedName name="Slicer_Months__Order_Date">#N/A</definedName>
    <definedName name="Slicer_Product_Line">#N/A</definedName>
    <definedName name="Slicer_Product_Name">#N/A</definedName>
    <definedName name="Slicer_Region">#N/A</definedName>
    <definedName name="Slicer_Sales_Channel">#N/A</definedName>
  </definedNames>
  <calcPr calcId="191029"/>
  <pivotCaches>
    <pivotCache cacheId="0" r:id="rId5"/>
    <pivotCache cacheId="44" r:id="rId6"/>
    <pivotCache cacheId="84"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DimRegion" connection="WorksheetConnection_Book1!Table9"/>
          <x15:modelTable id="Fact_Table" name="Fact_Table" connection="WorksheetConnection_Book1!Fact_Table"/>
          <x15:modelTable id="DimProfitability" name="DimProfitability" connection="WorksheetConnection_Book1!DimProfitability"/>
          <x15:modelTable id="DimProduct_1" name="DimProduct" connection="WorksheetConnection_Book1!DimProduct_1"/>
          <x15:modelTable id="DImDate" name="DImDate" connection="WorksheetConnection_Book1!DImDate"/>
          <x15:modelTable id="DimCustomer" name="DimCustomer" connection="WorksheetConnection_Book1!DimCustomer"/>
          <x15:modelTable id="DimChannel" name="DimChannel" connection="WorksheetConnection_Book1!DimChannel"/>
        </x15:modelTables>
        <x15:modelRelationships>
          <x15:modelRelationship fromTable="Fact_Table" fromColumn="Sales_Channel" toTable="DimChannel" toColumn="Sales_Channel"/>
          <x15:modelRelationship fromTable="Fact_Table" fromColumn="Order_Date" toTable="DImDate" toColumn="Order_Date"/>
          <x15:modelRelationship fromTable="Fact_Table" fromColumn="Product_Name" toTable="DimProduct" toColumn="Product_Name"/>
          <x15:modelRelationship fromTable="Fact_Table" fromColumn="Region" toTable="DimRegion" toColumn="Region"/>
          <x15:modelRelationship fromTable="Fact_Table" fromColumn="Profit" toTable="DimProfitability" toColumn="Profit"/>
          <x15:modelRelationship fromTable="Fact_Table" fromColumn="Gender_Category" toTable="DimCustomer" toColumn="Gender_Category"/>
        </x15:modelRelationships>
        <x15:extLst>
          <ext xmlns:x16="http://schemas.microsoft.com/office/spreadsheetml/2014/11/main" uri="{9835A34E-60A6-4A7C-AAB8-D5F71C897F49}">
            <x16:modelTimeGroupings>
              <x16:modelTimeGrouping tableName="DImDat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2" l="1"/>
  <c r="K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4DA185-9EA2-49D1-A2BA-6D1AA4557E27}" keepAlive="1" name="Query - DimChannel" description="Connection to the 'DimChannel' query in the workbook." type="5" refreshedVersion="8" background="1" saveData="1">
    <dbPr connection="Provider=Microsoft.Mashup.OleDb.1;Data Source=$Workbook$;Location=DimChannel;Extended Properties=&quot;&quot;" command="SELECT * FROM [DimChannel]"/>
  </connection>
  <connection id="2" xr16:uid="{8166663E-28E5-4687-B98D-0C7B34CE747A}" keepAlive="1" name="Query - DimCustomer" description="Connection to the 'DimCustomer' query in the workbook." type="5" refreshedVersion="8" background="1" saveData="1">
    <dbPr connection="Provider=Microsoft.Mashup.OleDb.1;Data Source=$Workbook$;Location=DimCustomer;Extended Properties=&quot;&quot;" command="SELECT * FROM [DimCustomer]"/>
  </connection>
  <connection id="3" xr16:uid="{B21C5552-C7C4-42B6-9D34-F2074AD3B111}" keepAlive="1" name="Query - DImDate" description="Connection to the 'DImDate' query in the workbook." type="5" refreshedVersion="8" background="1" saveData="1">
    <dbPr connection="Provider=Microsoft.Mashup.OleDb.1;Data Source=$Workbook$;Location=DImDate;Extended Properties=&quot;&quot;" command="SELECT * FROM [DImDate]"/>
  </connection>
  <connection id="4" xr16:uid="{F55D4188-00BA-4E9E-A9DB-D1E9C5589C97}" keepAlive="1" name="Query - DimGender" description="Connection to the 'DimGender' query in the workbook." type="5" refreshedVersion="8" background="1" saveData="1">
    <dbPr connection="Provider=Microsoft.Mashup.OleDb.1;Data Source=$Workbook$;Location=DimGender;Extended Properties=&quot;&quot;" command="SELECT * FROM [DimGender]"/>
  </connection>
  <connection id="5" xr16:uid="{1A8A927D-601B-4DE0-8321-3D93CBDB2D37}" keepAlive="1" name="Query - DimProduct(1)" description="Connection to the 'DimProduct' query in the workbook." type="5" refreshedVersion="8" background="1" saveData="1">
    <dbPr connection="Provider=Microsoft.Mashup.OleDb.1;Data Source=$Workbook$;Location=DimProduct;Extended Properties=&quot;&quot;" command="SELECT * FROM [DimProduct]"/>
  </connection>
  <connection id="6" xr16:uid="{A9B78126-83E4-4E7D-8970-384F6A26BCD2}" keepAlive="1" name="Query - DimProfitability" description="Connection to the 'DimProfitability' query in the workbook." type="5" refreshedVersion="8" background="1" saveData="1">
    <dbPr connection="Provider=Microsoft.Mashup.OleDb.1;Data Source=$Workbook$;Location=DimProfitability;Extended Properties=&quot;&quot;" command="SELECT * FROM [DimProfitability]"/>
  </connection>
  <connection id="7" xr16:uid="{A32AA469-384B-4082-9A26-8CA4F1709F4B}" keepAlive="1" name="Query - Fact Table" description="Connection to the 'Fact Table' query in the workbook." type="5" refreshedVersion="8" background="1" saveData="1">
    <dbPr connection="Provider=Microsoft.Mashup.OleDb.1;Data Source=$Workbook$;Location=&quot;Fact Table&quot;;Extended Properties=&quot;&quot;" command="SELECT * FROM [Fact Table]"/>
  </connection>
  <connection id="8" xr16:uid="{BF99B052-D290-41C5-8E20-CA49E03527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9FD5722-0D9F-4B06-9163-EAF510B4C9B1}" name="WorksheetConnection_Book1!DimChannel" type="102" refreshedVersion="8" minRefreshableVersion="5">
    <extLst>
      <ext xmlns:x15="http://schemas.microsoft.com/office/spreadsheetml/2010/11/main" uri="{DE250136-89BD-433C-8126-D09CA5730AF9}">
        <x15:connection id="DimChannel">
          <x15:rangePr sourceName="_xlcn.WorksheetConnection_Book1DimChannel1"/>
        </x15:connection>
      </ext>
    </extLst>
  </connection>
  <connection id="10" xr16:uid="{7748E130-2CCD-4380-A3FD-D38B636572A0}" name="WorksheetConnection_Book1!DimCustomer" type="102" refreshedVersion="8" minRefreshableVersion="5">
    <extLst>
      <ext xmlns:x15="http://schemas.microsoft.com/office/spreadsheetml/2010/11/main" uri="{DE250136-89BD-433C-8126-D09CA5730AF9}">
        <x15:connection id="DimCustomer">
          <x15:rangePr sourceName="_xlcn.WorksheetConnection_Book1DimCustomer1"/>
        </x15:connection>
      </ext>
    </extLst>
  </connection>
  <connection id="11" xr16:uid="{CE1672DA-E9FB-497D-8C6D-77E39BB6ED27}" name="WorksheetConnection_Book1!DImDate" type="102" refreshedVersion="8" minRefreshableVersion="5">
    <extLst>
      <ext xmlns:x15="http://schemas.microsoft.com/office/spreadsheetml/2010/11/main" uri="{DE250136-89BD-433C-8126-D09CA5730AF9}">
        <x15:connection id="DImDate">
          <x15:rangePr sourceName="_xlcn.WorksheetConnection_Book1DImDate1"/>
        </x15:connection>
      </ext>
    </extLst>
  </connection>
  <connection id="12" xr16:uid="{CC3D5DFF-3FF0-413A-BFE9-EE137EB37B4C}" name="WorksheetConnection_Book1!DimProduct_1" type="102" refreshedVersion="8" minRefreshableVersion="5">
    <extLst>
      <ext xmlns:x15="http://schemas.microsoft.com/office/spreadsheetml/2010/11/main" uri="{DE250136-89BD-433C-8126-D09CA5730AF9}">
        <x15:connection id="DimProduct_1">
          <x15:rangePr sourceName="_xlcn.WorksheetConnection_Book1DimProduct_11"/>
        </x15:connection>
      </ext>
    </extLst>
  </connection>
  <connection id="13" xr16:uid="{98D74E7B-30C2-4747-9ADD-B35AFE11BD1D}" name="WorksheetConnection_Book1!DimProfitability" type="102" refreshedVersion="8" minRefreshableVersion="5">
    <extLst>
      <ext xmlns:x15="http://schemas.microsoft.com/office/spreadsheetml/2010/11/main" uri="{DE250136-89BD-433C-8126-D09CA5730AF9}">
        <x15:connection id="DimProfitability">
          <x15:rangePr sourceName="_xlcn.WorksheetConnection_Book1DimProfitability1"/>
        </x15:connection>
      </ext>
    </extLst>
  </connection>
  <connection id="14" xr16:uid="{514CA60E-52E0-4FB3-9FEE-06F3CC74094F}" name="WorksheetConnection_Book1!Fact_Table" type="102" refreshedVersion="8" minRefreshableVersion="5">
    <extLst>
      <ext xmlns:x15="http://schemas.microsoft.com/office/spreadsheetml/2010/11/main" uri="{DE250136-89BD-433C-8126-D09CA5730AF9}">
        <x15:connection id="Fact_Table">
          <x15:rangePr sourceName="_xlcn.WorksheetConnection_Book1Fact_Table1"/>
        </x15:connection>
      </ext>
    </extLst>
  </connection>
  <connection id="15" xr16:uid="{AF635FE2-92DF-4BC8-8DE5-A3EAA029033F}" name="WorksheetConnection_Book1!Table9" type="102" refreshedVersion="8" minRefreshableVersion="5">
    <extLst>
      <ext xmlns:x15="http://schemas.microsoft.com/office/spreadsheetml/2010/11/main" uri="{DE250136-89BD-433C-8126-D09CA5730AF9}">
        <x15:connection id="Table9">
          <x15:rangePr sourceName="_xlcn.WorksheetConnection_Book1Table91"/>
        </x15:connection>
      </ext>
    </extLst>
  </connection>
</connections>
</file>

<file path=xl/sharedStrings.xml><?xml version="1.0" encoding="utf-8"?>
<sst xmlns="http://schemas.openxmlformats.org/spreadsheetml/2006/main" count="12144" uniqueCount="74">
  <si>
    <t>Grand Total</t>
  </si>
  <si>
    <t>Jul</t>
  </si>
  <si>
    <t>Jun</t>
  </si>
  <si>
    <t>May</t>
  </si>
  <si>
    <t>Apr</t>
  </si>
  <si>
    <t>Mar</t>
  </si>
  <si>
    <t>Feb</t>
  </si>
  <si>
    <t>Jan</t>
  </si>
  <si>
    <t>2025</t>
  </si>
  <si>
    <t>Dec</t>
  </si>
  <si>
    <t>Nov</t>
  </si>
  <si>
    <t>Oct</t>
  </si>
  <si>
    <t>Sep</t>
  </si>
  <si>
    <t>Sum of Revenue</t>
  </si>
  <si>
    <t>Aug</t>
  </si>
  <si>
    <t>Sum of Units_Sold</t>
  </si>
  <si>
    <t>Sum of Profit</t>
  </si>
  <si>
    <t>2024</t>
  </si>
  <si>
    <t>Training</t>
  </si>
  <si>
    <t>Soccer</t>
  </si>
  <si>
    <t>Running</t>
  </si>
  <si>
    <t>Lifestyle</t>
  </si>
  <si>
    <t>Basketball</t>
  </si>
  <si>
    <t>Row Labels</t>
  </si>
  <si>
    <t>2023</t>
  </si>
  <si>
    <t>Bangalore</t>
  </si>
  <si>
    <t>Mumbai</t>
  </si>
  <si>
    <t>Kolkata</t>
  </si>
  <si>
    <t>Women</t>
  </si>
  <si>
    <t>Delhi</t>
  </si>
  <si>
    <t>LeBron 20</t>
  </si>
  <si>
    <t>Men</t>
  </si>
  <si>
    <t>Hyderabad</t>
  </si>
  <si>
    <t>Flex Trainer</t>
  </si>
  <si>
    <t>Kids</t>
  </si>
  <si>
    <t>Pune</t>
  </si>
  <si>
    <t>Blazer Mid</t>
  </si>
  <si>
    <t>SuperRep Go</t>
  </si>
  <si>
    <t>ZoomX Invincible</t>
  </si>
  <si>
    <t>Premier III</t>
  </si>
  <si>
    <t>Air Force 1</t>
  </si>
  <si>
    <t>Metcon 7</t>
  </si>
  <si>
    <t>Tiempo Legend</t>
  </si>
  <si>
    <t>Air Zoom</t>
  </si>
  <si>
    <t>Retail</t>
  </si>
  <si>
    <t>Online</t>
  </si>
  <si>
    <t>Order_ID</t>
  </si>
  <si>
    <t>Gender_Category</t>
  </si>
  <si>
    <t>Product_Line</t>
  </si>
  <si>
    <t>Product_Name</t>
  </si>
  <si>
    <t>Size</t>
  </si>
  <si>
    <t>Units_Sold</t>
  </si>
  <si>
    <t>MRP</t>
  </si>
  <si>
    <t>Discount_Applied</t>
  </si>
  <si>
    <t>Revenue</t>
  </si>
  <si>
    <t>Order_Date</t>
  </si>
  <si>
    <t>Sales_Channel</t>
  </si>
  <si>
    <t>Region</t>
  </si>
  <si>
    <t>Profit</t>
  </si>
  <si>
    <t>M</t>
  </si>
  <si>
    <t>L</t>
  </si>
  <si>
    <t>React Infinity</t>
  </si>
  <si>
    <t>XL</t>
  </si>
  <si>
    <t>Mercurial Superfly</t>
  </si>
  <si>
    <t>Waffle One</t>
  </si>
  <si>
    <t>Air Jordan</t>
  </si>
  <si>
    <t>Free RN</t>
  </si>
  <si>
    <t>Kyrie Flytrap</t>
  </si>
  <si>
    <t>Zoom Freak</t>
  </si>
  <si>
    <t>Phantom GT</t>
  </si>
  <si>
    <t>Pegasus Turbo</t>
  </si>
  <si>
    <t>Dunk Low</t>
  </si>
  <si>
    <t>YOY GROWH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</si>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</sst>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0,,&quot;M&quot;;[&gt;=1000]0,&quot;K&quot;;0"/>
  </numFmts>
  <fonts count="4" x14ac:knownFonts="1">
    <font>
      <sz val="11"/>
      <color theme="1"/>
      <name val="Aptos Narrow"/>
      <family val="2"/>
      <scheme val="minor"/>
    </font>
    <font>
      <sz val="12"/>
      <color theme="0"/>
      <name val="Aptos Narrow"/>
      <family val="2"/>
      <scheme val="minor"/>
    </font>
    <font>
      <sz val="10"/>
      <color theme="1"/>
      <name val="Segoe UI"/>
      <family val="2"/>
    </font>
    <font>
      <sz val="18"/>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theme="9" tint="0.79998168889431442"/>
      </patternFill>
    </fill>
    <fill>
      <patternFill patternType="solid">
        <fgColor theme="4"/>
        <bgColor indexed="64"/>
      </patternFill>
    </fill>
    <fill>
      <patternFill patternType="solid">
        <fgColor rgb="FFF4F6F9"/>
        <bgColor indexed="64"/>
      </patternFill>
    </fill>
  </fills>
  <borders count="4">
    <border>
      <left/>
      <right/>
      <top/>
      <bottom/>
      <diagonal/>
    </border>
    <border>
      <left/>
      <right style="medium">
        <color indexed="64"/>
      </right>
      <top style="medium">
        <color indexed="64"/>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9" tint="0.39997558519241921"/>
      </left>
      <right style="thin">
        <color theme="9" tint="0.39997558519241921"/>
      </right>
      <top style="thin">
        <color theme="9" tint="0.39997558519241921"/>
      </top>
      <bottom/>
      <diagonal/>
    </border>
  </borders>
  <cellStyleXfs count="1">
    <xf numFmtId="0" fontId="0" fillId="0" borderId="0"/>
  </cellStyleXfs>
  <cellXfs count="24">
    <xf numFmtId="0" fontId="0" fillId="0" borderId="0" xfId="0"/>
    <xf numFmtId="164" fontId="0" fillId="0" borderId="0" xfId="0" applyNumberFormat="1"/>
    <xf numFmtId="0" fontId="0" fillId="0" borderId="0" xfId="0" applyAlignment="1">
      <alignment horizontal="left"/>
    </xf>
    <xf numFmtId="0" fontId="0" fillId="0" borderId="0" xfId="0" applyAlignment="1">
      <alignment horizontal="left" indent="1"/>
    </xf>
    <xf numFmtId="164" fontId="0" fillId="0" borderId="1" xfId="0" applyNumberFormat="1" applyBorder="1"/>
    <xf numFmtId="0" fontId="0" fillId="0" borderId="1" xfId="0" applyBorder="1"/>
    <xf numFmtId="0" fontId="0" fillId="0" borderId="0" xfId="0" pivotButton="1"/>
    <xf numFmtId="164" fontId="0" fillId="2" borderId="0" xfId="0" applyNumberFormat="1" applyFill="1"/>
    <xf numFmtId="0" fontId="1" fillId="4" borderId="0" xfId="0" applyFont="1" applyFill="1"/>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0" fillId="3" borderId="2" xfId="0" applyFill="1" applyBorder="1"/>
    <xf numFmtId="0" fontId="0" fillId="0" borderId="2" xfId="0" applyBorder="1"/>
    <xf numFmtId="0" fontId="0" fillId="0" borderId="3" xfId="0" applyBorder="1"/>
    <xf numFmtId="0" fontId="0" fillId="5" borderId="0" xfId="0" applyFill="1"/>
    <xf numFmtId="0" fontId="2" fillId="5" borderId="0" xfId="0" applyFont="1" applyFill="1"/>
    <xf numFmtId="0" fontId="0" fillId="0" borderId="0" xfId="0" applyNumberFormat="1"/>
    <xf numFmtId="10" fontId="0" fillId="0" borderId="0" xfId="0" applyNumberFormat="1"/>
    <xf numFmtId="10" fontId="2" fillId="5" borderId="0" xfId="0" applyNumberFormat="1" applyFont="1" applyFill="1"/>
    <xf numFmtId="0" fontId="3" fillId="0" borderId="0" xfId="0" pivotButton="1" applyFont="1"/>
    <xf numFmtId="0" fontId="3" fillId="0" borderId="0" xfId="0" applyFont="1"/>
    <xf numFmtId="0" fontId="3" fillId="0" borderId="0" xfId="0" applyFont="1" applyAlignment="1">
      <alignment horizontal="left"/>
    </xf>
    <xf numFmtId="0" fontId="3" fillId="0" borderId="0" xfId="0" applyNumberFormat="1" applyFont="1"/>
  </cellXfs>
  <cellStyles count="1">
    <cellStyle name="Normal" xfId="0" builtinId="0"/>
  </cellStyles>
  <dxfs count="127">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14" formatCode="0.00%"/>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border>
        <top style="thin">
          <color theme="9" tint="0.79998168889431442"/>
        </top>
        <bottom style="thin">
          <color theme="9" tint="0.79998168889431442"/>
        </bottom>
      </border>
    </dxf>
    <dxf>
      <border>
        <top style="thin">
          <color theme="9" tint="0.79998168889431442"/>
        </top>
        <bottom style="thin">
          <color theme="9" tint="0.79998168889431442"/>
        </bottom>
      </border>
    </dxf>
    <dxf>
      <fill>
        <patternFill patternType="solid">
          <fgColor theme="9" tint="0.79998168889431442"/>
          <bgColor theme="9" tint="0.79998168889431442"/>
        </patternFill>
      </fill>
      <border>
        <bottom style="thin">
          <color theme="9"/>
        </bottom>
      </border>
    </dxf>
    <dxf>
      <font>
        <color theme="0"/>
      </font>
      <fill>
        <patternFill patternType="solid">
          <fgColor theme="9" tint="0.39997558519241921"/>
          <bgColor theme="9" tint="0.39997558519241921"/>
        </patternFill>
      </fill>
      <border>
        <bottom style="thin">
          <color theme="9" tint="0.79998168889431442"/>
        </bottom>
        <horizontal style="thin">
          <color theme="9" tint="0.39997558519241921"/>
        </horizontal>
      </border>
    </dxf>
    <dxf>
      <border>
        <bottom style="thin">
          <color theme="9" tint="0.59999389629810485"/>
        </bottom>
      </border>
    </dxf>
    <dxf>
      <font>
        <b/>
        <color theme="1"/>
      </font>
      <fill>
        <patternFill patternType="solid">
          <fgColor theme="0" tint="-0.14999847407452621"/>
          <bgColor theme="0" tint="-0.14999847407452621"/>
        </patternFill>
      </fill>
    </dxf>
    <dxf>
      <font>
        <b/>
        <color theme="0"/>
      </font>
      <fill>
        <patternFill patternType="solid">
          <fgColor theme="9" tint="0.39997558519241921"/>
          <bgColor theme="9" tint="0.39997558519241921"/>
        </patternFill>
      </fill>
    </dxf>
    <dxf>
      <font>
        <b/>
        <color theme="0"/>
      </font>
    </dxf>
    <dxf>
      <fill>
        <patternFill>
          <bgColor theme="0"/>
        </patternFill>
      </fill>
      <border>
        <left style="thin">
          <color theme="9" tint="-0.249977111117893"/>
        </left>
        <right style="thin">
          <color theme="9" tint="-0.249977111117893"/>
        </right>
      </border>
    </dxf>
    <dxf>
      <fill>
        <patternFill>
          <bgColor rgb="FF009688"/>
        </patternFill>
      </fill>
      <border>
        <top style="thin">
          <color theme="9" tint="-0.249977111117893"/>
        </top>
        <bottom style="thin">
          <color theme="9" tint="-0.249977111117893"/>
        </bottom>
        <horizontal style="thin">
          <color theme="9" tint="-0.249977111117893"/>
        </horizontal>
      </border>
    </dxf>
    <dxf>
      <font>
        <b/>
        <color theme="1"/>
      </font>
      <border>
        <top style="double">
          <color theme="9" tint="-0.249977111117893"/>
        </top>
      </border>
    </dxf>
    <dxf>
      <font>
        <color theme="0"/>
      </font>
      <fill>
        <patternFill patternType="solid">
          <fgColor theme="9" tint="-0.249977111117893"/>
          <bgColor rgb="FF009688"/>
        </patternFill>
      </fill>
      <border>
        <horizontal style="thin">
          <color theme="9" tint="-0.249977111117893"/>
        </horizontal>
      </border>
    </dxf>
    <dxf>
      <font>
        <color theme="1"/>
      </font>
      <fill>
        <patternFill>
          <bgColor theme="0"/>
        </patternFill>
      </fill>
      <border>
        <horizontal style="thin">
          <color theme="9" tint="0.79998168889431442"/>
        </horizontal>
      </border>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14" formatCode="0.00%"/>
    </dxf>
    <dxf>
      <font>
        <strike val="0"/>
        <sz val="14"/>
        <color theme="1"/>
        <name val="Segoe UI"/>
        <family val="2"/>
        <scheme val="none"/>
      </font>
      <fill>
        <patternFill>
          <bgColor theme="0"/>
        </patternFill>
      </fill>
      <border diagonalUp="0" diagonalDown="0">
        <left/>
        <right/>
        <top/>
        <bottom/>
        <vertical/>
        <horizontal/>
      </border>
    </dxf>
    <dxf>
      <font>
        <color theme="1"/>
      </font>
      <fill>
        <patternFill>
          <fgColor theme="0"/>
          <bgColor theme="0"/>
        </patternFill>
      </fill>
      <border diagonalUp="0" diagonalDown="0">
        <left/>
        <right/>
        <top/>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fill>
        <patternFill>
          <fgColor rgb="FF009688"/>
        </patternFill>
      </fill>
      <border>
        <bottom style="thin">
          <color theme="6"/>
        </bottom>
        <vertical/>
        <horizontal/>
      </border>
    </dxf>
    <dxf>
      <font>
        <color theme="1"/>
      </font>
      <border diagonalUp="0" diagonalDown="0">
        <left/>
        <right/>
        <top/>
        <bottom/>
        <vertical/>
        <horizontal/>
      </border>
    </dxf>
    <dxf>
      <font>
        <b/>
        <color theme="1"/>
      </font>
      <fill>
        <patternFill>
          <fgColor rgb="FF009688"/>
        </patternFill>
      </fill>
      <border>
        <bottom style="thin">
          <color theme="6"/>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border>
    </dxf>
    <dxf>
      <border>
        <left/>
      </border>
    </dxf>
    <dxf>
      <border>
        <left/>
      </border>
    </dxf>
    <dxf>
      <numFmt numFmtId="164" formatCode="[&gt;=1000000]0.0,,&quot;M&quot;;[&gt;=1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border>
    </dxf>
    <dxf>
      <border>
        <left/>
      </border>
    </dxf>
    <dxf>
      <border>
        <left/>
      </border>
    </dxf>
    <dxf>
      <numFmt numFmtId="164" formatCode="[&gt;=1000000]0.0,,&quot;M&quot;;[&gt;=1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border>
    </dxf>
    <dxf>
      <border>
        <left/>
      </border>
    </dxf>
    <dxf>
      <border>
        <left/>
      </border>
    </dxf>
    <dxf>
      <numFmt numFmtId="164" formatCode="[&gt;=1000000]0.0,,&quot;M&quot;;[&gt;=1000]0,&quot;K&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5050"/>
        </patternFill>
      </fill>
    </dxf>
    <dxf>
      <fill>
        <patternFill patternType="solid">
          <bgColor theme="6" tint="0.79998168889431442"/>
        </patternFill>
      </fill>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theme="9" tint="0.39997558519241921"/>
        </left>
        <right style="thin">
          <color theme="9" tint="0.39997558519241921"/>
        </right>
        <top style="thin">
          <color theme="9" tint="0.39997558519241921"/>
        </top>
        <bottom style="thin">
          <color theme="9" tint="0.39997558519241921"/>
        </bottom>
        <vertical/>
        <horizontal/>
      </border>
    </dxf>
    <dxf>
      <border outline="0">
        <bottom style="thin">
          <color theme="9" tint="0.39997558519241921"/>
        </bottom>
      </border>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2"/>
        <color theme="0"/>
        <name val="Aptos Narrow"/>
        <family val="2"/>
        <scheme val="minor"/>
      </font>
      <fill>
        <patternFill patternType="solid">
          <fgColor indexed="64"/>
          <bgColor theme="4"/>
        </patternFill>
      </fill>
    </dxf>
  </dxfs>
  <tableStyles count="7" defaultTableStyle="TableStyleMedium2" defaultPivotStyle="PivotStyleLight16">
    <tableStyle name="PivotStyleMedium7 2" table="0" count="13" xr9:uid="{7005586C-ADB7-446A-AE7E-B4C07097735C}">
      <tableStyleElement type="wholeTable" dxfId="53"/>
      <tableStyleElement type="headerRow" dxfId="52"/>
      <tableStyleElement type="totalRow" dxfId="51"/>
      <tableStyleElement type="firstRowStripe" dxfId="50"/>
      <tableStyleElement type="firstColumnStripe" dxfId="49"/>
      <tableStyleElement type="firstHeaderCell" dxfId="48"/>
      <tableStyleElement type="firstSubtotalRow" dxfId="47"/>
      <tableStyleElement type="secondSubtotalRow" dxfId="46"/>
      <tableStyleElement type="firstColumnSubheading" dxfId="45"/>
      <tableStyleElement type="firstRowSubheading" dxfId="44"/>
      <tableStyleElement type="secondRowSubheading" dxfId="43"/>
      <tableStyleElement type="pageFieldLabels" dxfId="42"/>
      <tableStyleElement type="pageFieldValues" dxfId="41"/>
    </tableStyle>
    <tableStyle name="SlicerStyleDark1 2" pivot="0" table="0" count="10" xr9:uid="{2B030CFA-3FA0-47C8-BD07-FBA7AD7F47CE}">
      <tableStyleElement type="wholeTable" dxfId="76"/>
      <tableStyleElement type="headerRow" dxfId="75"/>
    </tableStyle>
    <tableStyle name="SlicerStyleLight3 2" pivot="0" table="0" count="10" xr9:uid="{7B0C54A6-A045-4CCA-873F-208F6C976FDD}">
      <tableStyleElement type="wholeTable" dxfId="74"/>
      <tableStyleElement type="headerRow" dxfId="73"/>
    </tableStyle>
    <tableStyle name="SlicerStyleLight3 2 2" pivot="0" table="0" count="10" xr9:uid="{8E3F9F84-C514-471A-AFD4-F23145FABE05}">
      <tableStyleElement type="wholeTable" dxfId="72"/>
      <tableStyleElement type="headerRow" dxfId="71"/>
    </tableStyle>
    <tableStyle name="SlicerStyleLight3 3" pivot="0" table="0" count="10" xr9:uid="{49476AE4-5036-4A44-8290-38D48288FFEF}">
      <tableStyleElement type="wholeTable" dxfId="70"/>
      <tableStyleElement type="headerRow" dxfId="69"/>
    </tableStyle>
    <tableStyle name="SlicerStyleLight3 4" pivot="0" table="0" count="10" xr9:uid="{E6E78232-5DBC-4DD5-87D2-3958D5012698}">
      <tableStyleElement type="wholeTable" dxfId="68"/>
      <tableStyleElement type="headerRow" dxfId="67"/>
    </tableStyle>
    <tableStyle name="SlicerStyleLight3 5" pivot="0" table="0" count="10" xr9:uid="{686B0C6B-7AB6-4D15-8F3E-01E5478C0BC4}">
      <tableStyleElement type="wholeTable" dxfId="66"/>
      <tableStyleElement type="headerRow" dxfId="65"/>
    </tableStyle>
  </tableStyles>
  <colors>
    <mruColors>
      <color rgb="FFF4F6F9"/>
      <color rgb="FF009688"/>
      <color rgb="FFFFFFFF"/>
      <color rgb="FF1F4E79"/>
      <color rgb="FFDCDCDC"/>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trike val="0"/>
            <sz val="14"/>
            <color theme="1" tint="0.24994659260841701"/>
            <name val="Segoe UI"/>
            <family val="2"/>
            <scheme val="none"/>
          </font>
          <fill>
            <patternFill patternType="solid">
              <fgColor rgb="FF009688"/>
              <bgColor rgb="FF009688"/>
            </patternFill>
          </fill>
          <border>
            <left style="thin">
              <color rgb="FFCCCCCC"/>
            </left>
            <right style="thin">
              <color rgb="FFCCCCCC"/>
            </right>
            <top style="thin">
              <color rgb="FFCCCCCC"/>
            </top>
            <bottom style="thin">
              <color rgb="FFCCCCCC"/>
            </bottom>
            <vertical/>
            <horizontal/>
          </border>
        </dxf>
        <dxf>
          <font>
            <strike val="0"/>
            <sz val="14"/>
            <color theme="0"/>
            <name val="Segoe UI"/>
            <family val="2"/>
            <scheme val="none"/>
          </font>
          <fill>
            <patternFill patternType="solid">
              <fgColor rgb="FF009688"/>
              <bgColor rgb="FF00968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trike val="0"/>
            <sz val="24"/>
            <color rgb="FF000000"/>
            <name val="Segoe UI"/>
            <family val="2"/>
            <scheme val="none"/>
          </font>
          <fill>
            <patternFill patternType="solid">
              <fgColor rgb="FF009688"/>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9688"/>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009688"/>
              </stop>
              <stop position="1">
                <color rgb="FF009688"/>
              </stop>
            </gradientFill>
          </fill>
          <border diagonalUp="0" diagonalDown="0">
            <left/>
            <right/>
            <top/>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009688"/>
              <bgColor theme="6"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009688"/>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x14:slicerStyle name="SlicerStyleDark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3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3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3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3.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1.xml"/><Relationship Id="rId3" Type="http://schemas.openxmlformats.org/officeDocument/2006/relationships/worksheet" Target="worksheets/sheet3.xml"/><Relationship Id="rId12" Type="http://schemas.microsoft.com/office/2007/relationships/slicerCache" Target="slicerCaches/slicerCache5.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Sales Channel</a:t>
            </a:r>
            <a:r>
              <a:rPr lang="en-US" sz="1800" baseline="0">
                <a:solidFill>
                  <a:schemeClr val="tx1"/>
                </a:solidFill>
              </a:rPr>
              <a:t> Comprasion</a:t>
            </a:r>
            <a:endParaRPr lang="en-US" sz="1800">
              <a:solidFill>
                <a:schemeClr val="tx1"/>
              </a:solidFill>
            </a:endParaRPr>
          </a:p>
        </c:rich>
      </c:tx>
      <c:layout>
        <c:manualLayout>
          <c:xMode val="edge"/>
          <c:yMode val="edge"/>
          <c:x val="0.29579924162971433"/>
          <c:y val="8.1989956856353796E-2"/>
        </c:manualLayout>
      </c:layout>
      <c:overlay val="0"/>
      <c:spPr>
        <a:solidFill>
          <a:schemeClr val="bg1"/>
        </a:solidFill>
        <a:ln>
          <a:solidFill>
            <a:schemeClr val="bg1"/>
          </a:solidFill>
        </a:ln>
        <a:effectLst>
          <a:outerShdw blurRad="50800" dist="50800" dir="5400000" algn="ctr" rotWithShape="0">
            <a:schemeClr val="bg1"/>
          </a:outerShdw>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87186108220745E-2"/>
          <c:y val="0.21415054444638559"/>
          <c:w val="0.95689621923996027"/>
          <c:h val="0.67334661063752443"/>
        </c:manualLayout>
      </c:layout>
      <c:barChart>
        <c:barDir val="col"/>
        <c:grouping val="clustered"/>
        <c:varyColors val="0"/>
        <c:ser>
          <c:idx val="0"/>
          <c:order val="0"/>
          <c:tx>
            <c:v>Series1</c:v>
          </c:tx>
          <c:spPr>
            <a:solidFill>
              <a:srgbClr val="009688"/>
            </a:solidFill>
            <a:ln>
              <a:noFill/>
            </a:ln>
            <a:effectLst>
              <a:outerShdw blurRad="50800" dist="38100" dir="8100000" algn="tr" rotWithShape="0">
                <a:prstClr val="black">
                  <a:alpha val="40000"/>
                </a:prstClr>
              </a:outerShdw>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Online</c:v>
              </c:pt>
              <c:pt idx="1">
                <c:v>Retail</c:v>
              </c:pt>
            </c:strLit>
          </c:cat>
          <c:val>
            <c:numLit>
              <c:formatCode>General</c:formatCode>
              <c:ptCount val="2"/>
              <c:pt idx="0">
                <c:v>1358984.6300000004</c:v>
              </c:pt>
              <c:pt idx="1">
                <c:v>1382405.5699999991</c:v>
              </c:pt>
            </c:numLit>
          </c:val>
          <c:extLst>
            <c:ext xmlns:c16="http://schemas.microsoft.com/office/drawing/2014/chart" uri="{C3380CC4-5D6E-409C-BE32-E72D297353CC}">
              <c16:uniqueId val="{00000000-5471-46D6-86DB-5DEDDC5E0506}"/>
            </c:ext>
          </c:extLst>
        </c:ser>
        <c:ser>
          <c:idx val="1"/>
          <c:order val="1"/>
          <c:tx>
            <c:v>Series2</c:v>
          </c:tx>
          <c:spPr>
            <a:solidFill>
              <a:schemeClr val="accent2"/>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Online</c:v>
              </c:pt>
              <c:pt idx="1">
                <c:v>Retail</c:v>
              </c:pt>
            </c:strLit>
          </c:cat>
          <c:val>
            <c:numLit>
              <c:formatCode>General</c:formatCode>
              <c:ptCount val="2"/>
              <c:pt idx="0">
                <c:v>276692.74</c:v>
              </c:pt>
              <c:pt idx="1">
                <c:v>252773.84999999998</c:v>
              </c:pt>
            </c:numLit>
          </c:val>
          <c:extLst>
            <c:ext xmlns:c16="http://schemas.microsoft.com/office/drawing/2014/chart" uri="{C3380CC4-5D6E-409C-BE32-E72D297353CC}">
              <c16:uniqueId val="{00000001-5471-46D6-86DB-5DEDDC5E0506}"/>
            </c:ext>
          </c:extLst>
        </c:ser>
        <c:ser>
          <c:idx val="2"/>
          <c:order val="2"/>
          <c:tx>
            <c:v>Series3</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Online</c:v>
              </c:pt>
              <c:pt idx="1">
                <c:v>Retail</c:v>
              </c:pt>
            </c:strLit>
          </c:cat>
          <c:val>
            <c:numLit>
              <c:formatCode>General</c:formatCode>
              <c:ptCount val="2"/>
              <c:pt idx="0">
                <c:v>750</c:v>
              </c:pt>
              <c:pt idx="1">
                <c:v>765</c:v>
              </c:pt>
            </c:numLit>
          </c:val>
          <c:extLst>
            <c:ext xmlns:c16="http://schemas.microsoft.com/office/drawing/2014/chart" uri="{C3380CC4-5D6E-409C-BE32-E72D297353CC}">
              <c16:uniqueId val="{00000002-5471-46D6-86DB-5DEDDC5E0506}"/>
            </c:ext>
          </c:extLst>
        </c:ser>
        <c:dLbls>
          <c:showLegendKey val="0"/>
          <c:showVal val="1"/>
          <c:showCatName val="0"/>
          <c:showSerName val="0"/>
          <c:showPercent val="0"/>
          <c:showBubbleSize val="0"/>
        </c:dLbls>
        <c:gapWidth val="150"/>
        <c:overlap val="-25"/>
        <c:axId val="69915807"/>
        <c:axId val="69913887"/>
      </c:barChart>
      <c:catAx>
        <c:axId val="6991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9913887"/>
        <c:crosses val="autoZero"/>
        <c:auto val="1"/>
        <c:lblAlgn val="ctr"/>
        <c:lblOffset val="100"/>
        <c:noMultiLvlLbl val="0"/>
      </c:catAx>
      <c:valAx>
        <c:axId val="69913887"/>
        <c:scaling>
          <c:orientation val="minMax"/>
        </c:scaling>
        <c:delete val="1"/>
        <c:axPos val="l"/>
        <c:numFmt formatCode="General" sourceLinked="1"/>
        <c:majorTickMark val="none"/>
        <c:minorTickMark val="none"/>
        <c:tickLblPos val="nextTo"/>
        <c:crossAx val="69915807"/>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8100000" algn="tr" rotWithShape="0">
        <a:prstClr val="black">
          <a:alpha val="40000"/>
        </a:prstClr>
      </a:outerShdw>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tx1"/>
                </a:solidFill>
              </a:rPr>
              <a:t>Gender</a:t>
            </a:r>
            <a:r>
              <a:rPr lang="en-US" sz="1800" baseline="0">
                <a:solidFill>
                  <a:schemeClr val="tx1"/>
                </a:solidFill>
              </a:rPr>
              <a:t>'s Best Sales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3"/>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3"/>
          </a:solidFill>
          <a:ln w="19050">
            <a:solidFill>
              <a:schemeClr val="lt1"/>
            </a:solidFill>
          </a:ln>
          <a:effectLst/>
        </c:spPr>
      </c:pivotFmt>
      <c:pivotFmt>
        <c:idx val="1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3"/>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dLbl>
          <c:idx val="0"/>
          <c:layout>
            <c:manualLayout>
              <c:x val="5.9341347752813661E-2"/>
              <c:y val="-2.2010780082843781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3"/>
          </a:solidFill>
          <a:ln w="19050">
            <a:solidFill>
              <a:schemeClr val="lt1"/>
            </a:solidFill>
          </a:ln>
          <a:effectLst/>
        </c:spPr>
        <c:dLbl>
          <c:idx val="0"/>
          <c:layout>
            <c:manualLayout>
              <c:x val="-4.6625344662925033E-2"/>
              <c:y val="5.9743545939147137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3"/>
          </a:solidFill>
          <a:ln w="19050">
            <a:solidFill>
              <a:schemeClr val="lt1"/>
            </a:solidFill>
          </a:ln>
          <a:effectLst/>
        </c:spPr>
        <c:dLbl>
          <c:idx val="0"/>
          <c:layout>
            <c:manualLayout>
              <c:x val="-4.2386676966295438E-2"/>
              <c:y val="-2.8299574392227703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Series1</c:v>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C160-455A-A4D7-779DAD3D28B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160-455A-A4D7-779DAD3D28BB}"/>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C160-455A-A4D7-779DAD3D28BB}"/>
              </c:ext>
            </c:extLst>
          </c:dPt>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Kids</c:v>
              </c:pt>
              <c:pt idx="1">
                <c:v>Men</c:v>
              </c:pt>
              <c:pt idx="2">
                <c:v>Women</c:v>
              </c:pt>
            </c:strLit>
          </c:cat>
          <c:val>
            <c:numLit>
              <c:formatCode>General</c:formatCode>
              <c:ptCount val="3"/>
              <c:pt idx="0">
                <c:v>898171.88999999955</c:v>
              </c:pt>
              <c:pt idx="1">
                <c:v>885305.049999999</c:v>
              </c:pt>
              <c:pt idx="2">
                <c:v>957913.26000000129</c:v>
              </c:pt>
            </c:numLit>
          </c:val>
          <c:extLst>
            <c:ext xmlns:c16="http://schemas.microsoft.com/office/drawing/2014/chart" uri="{C3380CC4-5D6E-409C-BE32-E72D297353CC}">
              <c16:uniqueId val="{00000006-C160-455A-A4D7-779DAD3D28BB}"/>
            </c:ext>
          </c:extLst>
        </c:ser>
        <c:ser>
          <c:idx val="1"/>
          <c:order val="1"/>
          <c:tx>
            <c:v>Series2</c:v>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8-C160-455A-A4D7-779DAD3D28B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A-C160-455A-A4D7-779DAD3D28BB}"/>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C-C160-455A-A4D7-779DAD3D28BB}"/>
              </c:ext>
            </c:extLst>
          </c:dPt>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Kids</c:v>
              </c:pt>
              <c:pt idx="1">
                <c:v>Men</c:v>
              </c:pt>
              <c:pt idx="2">
                <c:v>Women</c:v>
              </c:pt>
            </c:strLit>
          </c:cat>
          <c:val>
            <c:numLit>
              <c:formatCode>General</c:formatCode>
              <c:ptCount val="3"/>
              <c:pt idx="0">
                <c:v>145122.88999999998</c:v>
              </c:pt>
              <c:pt idx="1">
                <c:v>212086.57</c:v>
              </c:pt>
              <c:pt idx="2">
                <c:v>172257.13</c:v>
              </c:pt>
            </c:numLit>
          </c:val>
          <c:extLst>
            <c:ext xmlns:c16="http://schemas.microsoft.com/office/drawing/2014/chart" uri="{C3380CC4-5D6E-409C-BE32-E72D297353CC}">
              <c16:uniqueId val="{0000000D-C160-455A-A4D7-779DAD3D28BB}"/>
            </c:ext>
          </c:extLst>
        </c:ser>
        <c:ser>
          <c:idx val="2"/>
          <c:order val="2"/>
          <c:tx>
            <c:v>Series3</c:v>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F-C160-455A-A4D7-779DAD3D28B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1-C160-455A-A4D7-779DAD3D28BB}"/>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13-C160-455A-A4D7-779DAD3D28BB}"/>
              </c:ext>
            </c:extLst>
          </c:dPt>
          <c:dLbls>
            <c:dLbl>
              <c:idx val="0"/>
              <c:layout>
                <c:manualLayout>
                  <c:x val="5.9341347752813661E-2"/>
                  <c:y val="-2.2010780082843781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C160-455A-A4D7-779DAD3D28BB}"/>
                </c:ext>
              </c:extLst>
            </c:dLbl>
            <c:dLbl>
              <c:idx val="1"/>
              <c:layout>
                <c:manualLayout>
                  <c:x val="-4.6625344662925033E-2"/>
                  <c:y val="5.9743545939147137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160-455A-A4D7-779DAD3D28BB}"/>
                </c:ext>
              </c:extLst>
            </c:dLbl>
            <c:dLbl>
              <c:idx val="2"/>
              <c:layout>
                <c:manualLayout>
                  <c:x val="-4.2386676966295438E-2"/>
                  <c:y val="-2.8299574392227703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C160-455A-A4D7-779DAD3D28BB}"/>
                </c:ext>
              </c:extLst>
            </c:dLbl>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Kids</c:v>
              </c:pt>
              <c:pt idx="1">
                <c:v>Men</c:v>
              </c:pt>
              <c:pt idx="2">
                <c:v>Women</c:v>
              </c:pt>
            </c:strLit>
          </c:cat>
          <c:val>
            <c:numLit>
              <c:formatCode>General</c:formatCode>
              <c:ptCount val="3"/>
              <c:pt idx="0">
                <c:v>523</c:v>
              </c:pt>
              <c:pt idx="1">
                <c:v>511</c:v>
              </c:pt>
              <c:pt idx="2">
                <c:v>481</c:v>
              </c:pt>
            </c:numLit>
          </c:val>
          <c:extLst>
            <c:ext xmlns:c16="http://schemas.microsoft.com/office/drawing/2014/chart" uri="{C3380CC4-5D6E-409C-BE32-E72D297353CC}">
              <c16:uniqueId val="{00000014-C160-455A-A4D7-779DAD3D28BB}"/>
            </c:ext>
          </c:extLst>
        </c:ser>
        <c:dLbls>
          <c:showLegendKey val="0"/>
          <c:showVal val="0"/>
          <c:showCatName val="0"/>
          <c:showSerName val="0"/>
          <c:showPercent val="1"/>
          <c:showBubbleSize val="0"/>
          <c:showLeaderLines val="1"/>
        </c:dLbls>
        <c:firstSliceAng val="0"/>
        <c:holeSize val="50"/>
      </c:doughnutChart>
      <c:spPr>
        <a:solidFill>
          <a:srgbClr val="FFFFFF"/>
        </a:solidFill>
        <a:ln>
          <a:noFill/>
        </a:ln>
        <a:effectLst/>
      </c:spPr>
    </c:plotArea>
    <c:legend>
      <c:legendPos val="r"/>
      <c:layout>
        <c:manualLayout>
          <c:xMode val="edge"/>
          <c:yMode val="edge"/>
          <c:x val="0.81994195015429894"/>
          <c:y val="0.42922767646952648"/>
          <c:w val="0.16056835768018574"/>
          <c:h val="0.2331331231984166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8100000" algn="tr" rotWithShape="0">
        <a:prstClr val="black">
          <a:alpha val="40000"/>
        </a:prstClr>
      </a:outerShdw>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20" baseline="0">
                <a:solidFill>
                  <a:schemeClr val="tx1"/>
                </a:solidFill>
                <a:latin typeface="+mn-lt"/>
                <a:ea typeface="+mn-ea"/>
                <a:cs typeface="+mn-cs"/>
              </a:defRPr>
            </a:pPr>
            <a:r>
              <a:rPr lang="en-US" sz="2000">
                <a:solidFill>
                  <a:schemeClr val="tx1"/>
                </a:solidFill>
              </a:rPr>
              <a:t>Revenue &amp; Profit Trend</a:t>
            </a:r>
          </a:p>
        </c:rich>
      </c:tx>
      <c:overlay val="0"/>
      <c:spPr>
        <a:noFill/>
        <a:ln>
          <a:noFill/>
        </a:ln>
        <a:effectLst/>
      </c:spPr>
      <c:txPr>
        <a:bodyPr rot="0" spcFirstLastPara="1" vertOverflow="ellipsis" vert="horz" wrap="square" anchor="ctr" anchorCtr="1"/>
        <a:lstStyle/>
        <a:p>
          <a:pPr>
            <a:defRPr sz="2000" b="0"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824505812755122E-2"/>
              <c:y val="-4.655554920151736E-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3113776987791637E-2"/>
              <c:y val="-0.10862961480354047"/>
            </c:manualLayout>
          </c:layout>
          <c:numFmt formatCode="[&gt;=1000000]000,00#,##0,,&quot;M&quot;;[&gt;=1000]#,##0,&quot;K&quot;;0" sourceLinked="0"/>
          <c:spPr>
            <a:solidFill>
              <a:srgbClr val="FF5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1105971960163502E-2"/>
              <c:y val="1.115657684597411E-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7740111988264706E-2"/>
                  <c:h val="5.7328992517187267E-2"/>
                </c:manualLayout>
              </c15:layout>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9166289443695469E-2"/>
              <c:y val="-8.06962852826301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0612645318878049E-3"/>
              <c:y val="4.65555492015173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9166289443695469E-2"/>
              <c:y val="-9.3111098403034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0612645318878049E-3"/>
              <c:y val="-9.311109840303469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1096272835823694E-2"/>
              <c:y val="-6.207406560202312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157537367711536E-2"/>
              <c:y val="-0.10242220824333816"/>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93749239960911E-2"/>
                  <c:h val="5.6602261157813298E-2"/>
                </c:manualLayout>
              </c15:layout>
            </c:ext>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4122529063775646E-2"/>
              <c:y val="-7.448887872242775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9.0787686838558965E-3"/>
              <c:y val="-8.069628528263006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0612645318878422E-3"/>
              <c:y val="-7.75925820025289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2796762470766495E-2"/>
                  <c:h val="3.8857150753696827E-2"/>
                </c:manualLayout>
              </c15:layout>
            </c:ext>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276C145-CF59-4CCB-A681-1BB106BC0D8B}" type="VALUE">
                  <a:rPr lang="en-US" sz="1000" u="none">
                    <a:solidFill>
                      <a:schemeClr val="tx1"/>
                    </a:solidFill>
                  </a:rPr>
                  <a:pPr>
                    <a:defRPr sz="9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3.0262562279519162E-3"/>
              <c:y val="-6.207406560202312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1096272835823694E-2"/>
              <c:y val="-8.690369184283239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numFmt formatCode="[&gt;=10000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490618058813925E-2"/>
                  <c:h val="4.6373390601872413E-2"/>
                </c:manualLayout>
              </c15:layout>
            </c:ext>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175041519679443E-2"/>
              <c:y val="-3.103703280101156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7148745577078791E-2"/>
              <c:y val="-5.8970240128879449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255030714117824E-2"/>
                  <c:h val="8.1984444336914555E-2"/>
                </c:manualLayout>
              </c15:layout>
            </c:ext>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3.9341330963374915E-2"/>
              <c:y val="-0.1210444279239451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603893242894149E-2"/>
              <c:y val="-3.414073608111271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4472612103134567E-2"/>
              <c:y val="-7.1385175442326712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71321925115173E-2"/>
                  <c:h val="9.4399257457319197E-2"/>
                </c:manualLayout>
              </c15:layout>
            </c:ext>
          </c:extLst>
        </c:dLbl>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9166289443695469E-2"/>
              <c:y val="-4.65555492015173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201297747631359E-2"/>
              <c:y val="-5.58666590418208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6140033215743553E-2"/>
              <c:y val="-9.62148016831358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0612645318878231E-3"/>
              <c:y val="4.0348142641315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0437603799198608E-3"/>
              <c:y val="4.0348142641315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83022116393783E-2"/>
          <c:y val="0.14262787357614246"/>
          <c:w val="0.85302504904146448"/>
          <c:h val="0.81693766327692108"/>
        </c:manualLayout>
      </c:layout>
      <c:lineChart>
        <c:grouping val="standard"/>
        <c:varyColors val="0"/>
        <c:ser>
          <c:idx val="0"/>
          <c:order val="0"/>
          <c:tx>
            <c:v>Series1</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1-7926-4423-9288-BB90352E5B75}"/>
              </c:ext>
            </c:extLst>
          </c:dPt>
          <c:dPt>
            <c:idx val="1"/>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3-7926-4423-9288-BB90352E5B75}"/>
              </c:ext>
            </c:extLst>
          </c:dPt>
          <c:dPt>
            <c:idx val="2"/>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5-7926-4423-9288-BB90352E5B75}"/>
              </c:ext>
            </c:extLst>
          </c:dPt>
          <c:dPt>
            <c:idx val="3"/>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7-7926-4423-9288-BB90352E5B75}"/>
              </c:ext>
            </c:extLst>
          </c:dPt>
          <c:dPt>
            <c:idx val="4"/>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9-7926-4423-9288-BB90352E5B75}"/>
              </c:ext>
            </c:extLst>
          </c:dPt>
          <c:dPt>
            <c:idx val="5"/>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B-7926-4423-9288-BB90352E5B75}"/>
              </c:ext>
            </c:extLst>
          </c:dPt>
          <c:dPt>
            <c:idx val="6"/>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D-7926-4423-9288-BB90352E5B75}"/>
              </c:ext>
            </c:extLst>
          </c:dPt>
          <c:dPt>
            <c:idx val="7"/>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F-7926-4423-9288-BB90352E5B75}"/>
              </c:ext>
            </c:extLst>
          </c:dPt>
          <c:dPt>
            <c:idx val="8"/>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1-7926-4423-9288-BB90352E5B75}"/>
              </c:ext>
            </c:extLst>
          </c:dPt>
          <c:dPt>
            <c:idx val="9"/>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3-7926-4423-9288-BB90352E5B75}"/>
              </c:ext>
            </c:extLst>
          </c:dPt>
          <c:dPt>
            <c:idx val="10"/>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5-7926-4423-9288-BB90352E5B75}"/>
              </c:ext>
            </c:extLst>
          </c:dPt>
          <c:dPt>
            <c:idx val="11"/>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7-7926-4423-9288-BB90352E5B75}"/>
              </c:ext>
            </c:extLst>
          </c:dPt>
          <c:dPt>
            <c:idx val="12"/>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9-7926-4423-9288-BB90352E5B75}"/>
              </c:ext>
            </c:extLst>
          </c:dPt>
          <c:dPt>
            <c:idx val="13"/>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B-7926-4423-9288-BB90352E5B75}"/>
              </c:ext>
            </c:extLst>
          </c:dPt>
          <c:dPt>
            <c:idx val="14"/>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D-7926-4423-9288-BB90352E5B75}"/>
              </c:ext>
            </c:extLst>
          </c:dPt>
          <c:dPt>
            <c:idx val="15"/>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1F-7926-4423-9288-BB90352E5B75}"/>
              </c:ext>
            </c:extLst>
          </c:dPt>
          <c:dPt>
            <c:idx val="16"/>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21-7926-4423-9288-BB90352E5B75}"/>
              </c:ext>
            </c:extLst>
          </c:dPt>
          <c:dPt>
            <c:idx val="17"/>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23-7926-4423-9288-BB90352E5B75}"/>
              </c:ext>
            </c:extLst>
          </c:dPt>
          <c:dPt>
            <c:idx val="18"/>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25-7926-4423-9288-BB90352E5B75}"/>
              </c:ext>
            </c:extLst>
          </c:dPt>
          <c:dPt>
            <c:idx val="21"/>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27-7926-4423-9288-BB90352E5B75}"/>
              </c:ext>
            </c:extLst>
          </c:dPt>
          <c:dPt>
            <c:idx val="22"/>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29-7926-4423-9288-BB90352E5B75}"/>
              </c:ext>
            </c:extLst>
          </c:dPt>
          <c:dLbls>
            <c:dLbl>
              <c:idx val="0"/>
              <c:layout>
                <c:manualLayout>
                  <c:x val="-1.3113776987791637E-2"/>
                  <c:y val="-0.10862961480354047"/>
                </c:manualLayout>
              </c:layout>
              <c:numFmt formatCode="[&gt;=1000000]#,##0,,&quot;M&quot;;[&gt;=1000]#,##0,&quot;K&quot;;0" sourceLinked="0"/>
              <c:spPr>
                <a:solidFill>
                  <a:srgbClr val="FF5050"/>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26-4423-9288-BB90352E5B75}"/>
                </c:ext>
              </c:extLst>
            </c:dLbl>
            <c:dLbl>
              <c:idx val="1"/>
              <c:layout>
                <c:manualLayout>
                  <c:x val="-2.3201297747631359E-2"/>
                  <c:y val="-5.586665904182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26-4423-9288-BB90352E5B75}"/>
                </c:ext>
              </c:extLst>
            </c:dLbl>
            <c:dLbl>
              <c:idx val="2"/>
              <c:layout>
                <c:manualLayout>
                  <c:x val="-1.9166289443695469E-2"/>
                  <c:y val="-8.0696285282630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26-4423-9288-BB90352E5B75}"/>
                </c:ext>
              </c:extLst>
            </c:dLbl>
            <c:dLbl>
              <c:idx val="3"/>
              <c:layout>
                <c:manualLayout>
                  <c:x val="-1.6140033215743553E-2"/>
                  <c:y val="-9.6214801683135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26-4423-9288-BB90352E5B75}"/>
                </c:ext>
              </c:extLst>
            </c:dLbl>
            <c:dLbl>
              <c:idx val="4"/>
              <c:layout>
                <c:manualLayout>
                  <c:x val="-1.9166289443695469E-2"/>
                  <c:y val="-4.6555549201517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26-4423-9288-BB90352E5B75}"/>
                </c:ext>
              </c:extLst>
            </c:dLbl>
            <c:dLbl>
              <c:idx val="5"/>
              <c:layout>
                <c:manualLayout>
                  <c:x val="-7.0612645318878049E-3"/>
                  <c:y val="4.6555549201517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926-4423-9288-BB90352E5B75}"/>
                </c:ext>
              </c:extLst>
            </c:dLbl>
            <c:dLbl>
              <c:idx val="6"/>
              <c:layout>
                <c:manualLayout>
                  <c:x val="-7.0612645318878422E-3"/>
                  <c:y val="-7.7592582002528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926-4423-9288-BB90352E5B75}"/>
                </c:ext>
              </c:extLst>
            </c:dLbl>
            <c:dLbl>
              <c:idx val="7"/>
              <c:layout>
                <c:manualLayout>
                  <c:x val="-1.8157537367711536E-2"/>
                  <c:y val="-0.10242220824333816"/>
                </c:manualLayout>
              </c:layout>
              <c:numFmt formatCode="[&gt;=1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93749239960911E-2"/>
                      <c:h val="5.6602261157813298E-2"/>
                    </c:manualLayout>
                  </c15:layout>
                </c:ext>
                <c:ext xmlns:c16="http://schemas.microsoft.com/office/drawing/2014/chart" uri="{C3380CC4-5D6E-409C-BE32-E72D297353CC}">
                  <c16:uniqueId val="{0000000F-7926-4423-9288-BB90352E5B75}"/>
                </c:ext>
              </c:extLst>
            </c:dLbl>
            <c:dLbl>
              <c:idx val="8"/>
              <c:layout>
                <c:manualLayout>
                  <c:x val="-1.4122529063775646E-2"/>
                  <c:y val="-7.44888787224277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926-4423-9288-BB90352E5B75}"/>
                </c:ext>
              </c:extLst>
            </c:dLbl>
            <c:dLbl>
              <c:idx val="9"/>
              <c:layout>
                <c:manualLayout>
                  <c:x val="-1.1096272835823694E-2"/>
                  <c:y val="-6.2074065602023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926-4423-9288-BB90352E5B75}"/>
                </c:ext>
              </c:extLst>
            </c:dLbl>
            <c:dLbl>
              <c:idx val="10"/>
              <c:layout>
                <c:manualLayout>
                  <c:x val="-7.0612645318878049E-3"/>
                  <c:y val="-9.31110984030346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926-4423-9288-BB90352E5B75}"/>
                </c:ext>
              </c:extLst>
            </c:dLbl>
            <c:dLbl>
              <c:idx val="11"/>
              <c:numFmt formatCode="[&gt;=1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490618058813925E-2"/>
                      <c:h val="4.6373390601872413E-2"/>
                    </c:manualLayout>
                  </c15:layout>
                </c:ext>
                <c:ext xmlns:c16="http://schemas.microsoft.com/office/drawing/2014/chart" uri="{C3380CC4-5D6E-409C-BE32-E72D297353CC}">
                  <c16:uniqueId val="{00000017-7926-4423-9288-BB90352E5B75}"/>
                </c:ext>
              </c:extLst>
            </c:dLbl>
            <c:dLbl>
              <c:idx val="12"/>
              <c:layout>
                <c:manualLayout>
                  <c:x val="-5.4472612103134567E-2"/>
                  <c:y val="-7.1385175442326712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71321925115173E-2"/>
                      <c:h val="9.4399257457319197E-2"/>
                    </c:manualLayout>
                  </c15:layout>
                </c:ext>
                <c:ext xmlns:c16="http://schemas.microsoft.com/office/drawing/2014/chart" uri="{C3380CC4-5D6E-409C-BE32-E72D297353CC}">
                  <c16:uniqueId val="{00000019-7926-4423-9288-BB90352E5B75}"/>
                </c:ext>
              </c:extLst>
            </c:dLbl>
            <c:dLbl>
              <c:idx val="13"/>
              <c:layout>
                <c:manualLayout>
                  <c:x val="-6.9603893242894149E-2"/>
                  <c:y val="-3.41407360811127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926-4423-9288-BB90352E5B75}"/>
                </c:ext>
              </c:extLst>
            </c:dLbl>
            <c:dLbl>
              <c:idx val="14"/>
              <c:layout>
                <c:manualLayout>
                  <c:x val="-3.9341330963374915E-2"/>
                  <c:y val="-0.121044427923945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7926-4423-9288-BB90352E5B75}"/>
                </c:ext>
              </c:extLst>
            </c:dLbl>
            <c:dLbl>
              <c:idx val="15"/>
              <c:layout>
                <c:manualLayout>
                  <c:x val="-2.824505812755122E-2"/>
                  <c:y val="-4.655554920151736E-2"/>
                </c:manualLayout>
              </c:layout>
              <c:numFmt formatCode="[&gt;=1000000]#,##0,,&quot;M&quot;;[&gt;=1000]#,##0,&quot;K&quot;;0" sourceLinked="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7926-4423-9288-BB90352E5B75}"/>
                </c:ext>
              </c:extLst>
            </c:dLbl>
            <c:dLbl>
              <c:idx val="16"/>
              <c:layout>
                <c:manualLayout>
                  <c:x val="-1.7148745577078791E-2"/>
                  <c:y val="-5.8970240128879449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255030714117824E-2"/>
                      <c:h val="8.1984444336914555E-2"/>
                    </c:manualLayout>
                  </c15:layout>
                </c:ext>
                <c:ext xmlns:c16="http://schemas.microsoft.com/office/drawing/2014/chart" uri="{C3380CC4-5D6E-409C-BE32-E72D297353CC}">
                  <c16:uniqueId val="{00000021-7926-4423-9288-BB90352E5B75}"/>
                </c:ext>
              </c:extLst>
            </c:dLbl>
            <c:dLbl>
              <c:idx val="17"/>
              <c:layout>
                <c:manualLayout>
                  <c:x val="-1.1096272835823694E-2"/>
                  <c:y val="-8.6903691842832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7926-4423-9288-BB90352E5B75}"/>
                </c:ext>
              </c:extLst>
            </c:dLbl>
            <c:dLbl>
              <c:idx val="18"/>
              <c:layout>
                <c:manualLayout>
                  <c:x val="3.0262562279519162E-3"/>
                  <c:y val="-6.2074065602023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7926-4423-9288-BB90352E5B75}"/>
                </c:ext>
              </c:extLst>
            </c:dLbl>
            <c:dLbl>
              <c:idx val="19"/>
              <c:layout>
                <c:manualLayout>
                  <c:x val="1.1094091875916434E-2"/>
                  <c:y val="-5.0772633550516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7926-4423-9288-BB90352E5B75}"/>
                </c:ext>
              </c:extLst>
            </c:dLbl>
            <c:dLbl>
              <c:idx val="20"/>
              <c:layout>
                <c:manualLayout>
                  <c:x val="-1.4119753296620916E-2"/>
                  <c:y val="-7.9332239922681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7926-4423-9288-BB90352E5B75}"/>
                </c:ext>
              </c:extLst>
            </c:dLbl>
            <c:dLbl>
              <c:idx val="21"/>
              <c:layout>
                <c:manualLayout>
                  <c:x val="-9.0787686838558965E-3"/>
                  <c:y val="-8.0696285282630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7926-4423-9288-BB90352E5B75}"/>
                </c:ext>
              </c:extLst>
            </c:dLbl>
            <c:dLbl>
              <c:idx val="22"/>
              <c:layout>
                <c:manualLayout>
                  <c:x val="2.0175041519679443E-2"/>
                  <c:y val="-3.1037032801011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7926-4423-9288-BB90352E5B75}"/>
                </c:ext>
              </c:extLst>
            </c:dLbl>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25"/>
              <c:pt idx="0">
                <c:v>2023 Jul</c:v>
              </c:pt>
              <c:pt idx="1">
                <c:v>2023 Aug</c:v>
              </c:pt>
              <c:pt idx="2">
                <c:v>2023 Sep</c:v>
              </c:pt>
              <c:pt idx="3">
                <c:v>2023 Oct</c:v>
              </c:pt>
              <c:pt idx="4">
                <c:v>2023 Nov</c:v>
              </c:pt>
              <c:pt idx="5">
                <c:v>2023 Dec</c:v>
              </c:pt>
              <c:pt idx="6">
                <c:v>2024 Jan</c:v>
              </c:pt>
              <c:pt idx="7">
                <c:v>2024 Feb</c:v>
              </c:pt>
              <c:pt idx="8">
                <c:v>2024 Mar</c:v>
              </c:pt>
              <c:pt idx="9">
                <c:v>2024 Apr</c:v>
              </c:pt>
              <c:pt idx="10">
                <c:v>2024 May</c:v>
              </c:pt>
              <c:pt idx="11">
                <c:v>2024 Jun</c:v>
              </c:pt>
              <c:pt idx="12">
                <c:v>2024 Jul</c:v>
              </c:pt>
              <c:pt idx="13">
                <c:v>2024 Aug</c:v>
              </c:pt>
              <c:pt idx="14">
                <c:v>2024 Sep</c:v>
              </c:pt>
              <c:pt idx="15">
                <c:v>2024 Oct</c:v>
              </c:pt>
              <c:pt idx="16">
                <c:v>2024 Nov</c:v>
              </c:pt>
              <c:pt idx="17">
                <c:v>2024 Dec</c:v>
              </c:pt>
              <c:pt idx="18">
                <c:v>2025 Jan</c:v>
              </c:pt>
              <c:pt idx="19">
                <c:v>2025 Feb</c:v>
              </c:pt>
              <c:pt idx="20">
                <c:v>2025 Mar</c:v>
              </c:pt>
              <c:pt idx="21">
                <c:v>2025 Apr</c:v>
              </c:pt>
              <c:pt idx="22">
                <c:v>2025 May</c:v>
              </c:pt>
              <c:pt idx="23">
                <c:v>2025 Jun</c:v>
              </c:pt>
              <c:pt idx="24">
                <c:v>2025 Jul</c:v>
              </c:pt>
            </c:strLit>
          </c:cat>
          <c:val>
            <c:numLit>
              <c:formatCode>General</c:formatCode>
              <c:ptCount val="25"/>
              <c:pt idx="0">
                <c:v>8293.01</c:v>
              </c:pt>
              <c:pt idx="1">
                <c:v>52057.49</c:v>
              </c:pt>
              <c:pt idx="2">
                <c:v>30506.23</c:v>
              </c:pt>
              <c:pt idx="3">
                <c:v>30904.829999999998</c:v>
              </c:pt>
              <c:pt idx="4">
                <c:v>65965.099999999991</c:v>
              </c:pt>
              <c:pt idx="5">
                <c:v>27365.37</c:v>
              </c:pt>
              <c:pt idx="6">
                <c:v>33037.810000000005</c:v>
              </c:pt>
              <c:pt idx="7">
                <c:v>47080.679999999993</c:v>
              </c:pt>
              <c:pt idx="8">
                <c:v>39874.44999999999</c:v>
              </c:pt>
              <c:pt idx="9">
                <c:v>25986.53</c:v>
              </c:pt>
              <c:pt idx="10">
                <c:v>19733.539999999997</c:v>
              </c:pt>
              <c:pt idx="11">
                <c:v>35328.439999999995</c:v>
              </c:pt>
              <c:pt idx="12">
                <c:v>66537.090000000011</c:v>
              </c:pt>
              <c:pt idx="13">
                <c:v>200417.10000000006</c:v>
              </c:pt>
              <c:pt idx="14">
                <c:v>185304.91000000015</c:v>
              </c:pt>
              <c:pt idx="15">
                <c:v>221928.68999999986</c:v>
              </c:pt>
              <c:pt idx="16">
                <c:v>201900.91999999993</c:v>
              </c:pt>
              <c:pt idx="17">
                <c:v>220117.41999999995</c:v>
              </c:pt>
              <c:pt idx="18">
                <c:v>211627.56000000008</c:v>
              </c:pt>
              <c:pt idx="19">
                <c:v>195453.1400000001</c:v>
              </c:pt>
              <c:pt idx="20">
                <c:v>164160.68000000002</c:v>
              </c:pt>
              <c:pt idx="21">
                <c:v>193361.40999999997</c:v>
              </c:pt>
              <c:pt idx="22">
                <c:v>196340.55</c:v>
              </c:pt>
              <c:pt idx="23">
                <c:v>162203.02999999994</c:v>
              </c:pt>
              <c:pt idx="24">
                <c:v>105904.22000000006</c:v>
              </c:pt>
            </c:numLit>
          </c:val>
          <c:smooth val="0"/>
          <c:extLst>
            <c:ext xmlns:c16="http://schemas.microsoft.com/office/drawing/2014/chart" uri="{C3380CC4-5D6E-409C-BE32-E72D297353CC}">
              <c16:uniqueId val="{0000002A-7926-4423-9288-BB90352E5B75}"/>
            </c:ext>
          </c:extLst>
        </c:ser>
        <c:ser>
          <c:idx val="1"/>
          <c:order val="1"/>
          <c:tx>
            <c:v>Series2</c:v>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Pt>
            <c:idx val="0"/>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2C-7926-4423-9288-BB90352E5B75}"/>
              </c:ext>
            </c:extLst>
          </c:dPt>
          <c:dPt>
            <c:idx val="1"/>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2E-7926-4423-9288-BB90352E5B75}"/>
              </c:ext>
            </c:extLst>
          </c:dPt>
          <c:dPt>
            <c:idx val="2"/>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30-7926-4423-9288-BB90352E5B75}"/>
              </c:ext>
            </c:extLst>
          </c:dPt>
          <c:dPt>
            <c:idx val="5"/>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32-7926-4423-9288-BB90352E5B75}"/>
              </c:ext>
            </c:extLst>
          </c:dPt>
          <c:dPt>
            <c:idx val="10"/>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34-7926-4423-9288-BB90352E5B75}"/>
              </c:ext>
            </c:extLst>
          </c:dPt>
          <c:dPt>
            <c:idx val="21"/>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36-7926-4423-9288-BB90352E5B75}"/>
              </c:ext>
            </c:extLst>
          </c:dPt>
          <c:dPt>
            <c:idx val="23"/>
            <c:marker>
              <c:symbol val="circle"/>
              <c:size val="4"/>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38-7926-4423-9288-BB90352E5B75}"/>
              </c:ext>
            </c:extLst>
          </c:dPt>
          <c:dLbls>
            <c:dLbl>
              <c:idx val="0"/>
              <c:delete val="1"/>
              <c:extLst>
                <c:ext xmlns:c15="http://schemas.microsoft.com/office/drawing/2012/chart" uri="{CE6537A1-D6FC-4f65-9D91-7224C49458BB}"/>
                <c:ext xmlns:c16="http://schemas.microsoft.com/office/drawing/2014/chart" uri="{C3380CC4-5D6E-409C-BE32-E72D297353CC}">
                  <c16:uniqueId val="{0000002C-7926-4423-9288-BB90352E5B75}"/>
                </c:ext>
              </c:extLst>
            </c:dLbl>
            <c:dLbl>
              <c:idx val="1"/>
              <c:layout>
                <c:manualLayout>
                  <c:x val="-5.0437603799198608E-3"/>
                  <c:y val="4.0348142641315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7926-4423-9288-BB90352E5B75}"/>
                </c:ext>
              </c:extLst>
            </c:dLbl>
            <c:dLbl>
              <c:idx val="2"/>
              <c:layout>
                <c:manualLayout>
                  <c:x val="-7.0612645318878231E-3"/>
                  <c:y val="4.0348142641315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7926-4423-9288-BB90352E5B75}"/>
                </c:ext>
              </c:extLst>
            </c:dLbl>
            <c:dLbl>
              <c:idx val="3"/>
              <c:numFmt formatCode="[&gt;=1000000]#,##0,,&quot;M&quot;;[&gt;=1000]#,##0,&quot;K&quot;;0" sourceLinked="0"/>
              <c:spPr>
                <a:solidFill>
                  <a:srgbClr val="FF0000"/>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45-7926-4423-9288-BB90352E5B75}"/>
                </c:ext>
              </c:extLst>
            </c:dLbl>
            <c:dLbl>
              <c:idx val="5"/>
              <c:layout>
                <c:manualLayout>
                  <c:x val="-1.9166289443695469E-2"/>
                  <c:y val="-9.31110984030346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7926-4423-9288-BB90352E5B75}"/>
                </c:ext>
              </c:extLst>
            </c:dLbl>
            <c:dLbl>
              <c:idx val="10"/>
              <c:numFmt formatCode="[&gt;=1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2796762470766495E-2"/>
                      <c:h val="3.8857150753696827E-2"/>
                    </c:manualLayout>
                  </c15:layout>
                </c:ext>
                <c:ext xmlns:c16="http://schemas.microsoft.com/office/drawing/2014/chart" uri="{C3380CC4-5D6E-409C-BE32-E72D297353CC}">
                  <c16:uniqueId val="{00000034-7926-4423-9288-BB90352E5B75}"/>
                </c:ext>
              </c:extLst>
            </c:dLbl>
            <c:dLbl>
              <c:idx val="13"/>
              <c:layout>
                <c:manualLayout>
                  <c:x val="-1.6136860910423902E-2"/>
                  <c:y val="-4.12527647597945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7926-4423-9288-BB90352E5B75}"/>
                </c:ext>
              </c:extLst>
            </c:dLbl>
            <c:dLbl>
              <c:idx val="15"/>
              <c:layout>
                <c:manualLayout>
                  <c:x val="-2.1179629944931375E-2"/>
                  <c:y val="-0.111065135891754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7926-4423-9288-BB90352E5B75}"/>
                </c:ext>
              </c:extLst>
            </c:dLbl>
            <c:dLbl>
              <c:idx val="16"/>
              <c:layout>
                <c:manualLayout>
                  <c:x val="-2.1179629944931447E-2"/>
                  <c:y val="-5.3945923147423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7926-4423-9288-BB90352E5B75}"/>
                </c:ext>
              </c:extLst>
            </c:dLbl>
            <c:dLbl>
              <c:idx val="17"/>
              <c:layout>
                <c:manualLayout>
                  <c:x val="-7.0598766483105316E-3"/>
                  <c:y val="-0.107891846294847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7926-4423-9288-BB90352E5B75}"/>
                </c:ext>
              </c:extLst>
            </c:dLbl>
            <c:dLbl>
              <c:idx val="18"/>
              <c:layout>
                <c:manualLayout>
                  <c:x val="-1.1094091875916583E-2"/>
                  <c:y val="-8.567881911649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7926-4423-9288-BB90352E5B75}"/>
                </c:ext>
              </c:extLst>
            </c:dLbl>
            <c:dLbl>
              <c:idx val="19"/>
              <c:layout>
                <c:manualLayout>
                  <c:x val="-1.4119753296621063E-2"/>
                  <c:y val="-6.6639081535052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7926-4423-9288-BB90352E5B75}"/>
                </c:ext>
              </c:extLst>
            </c:dLbl>
            <c:dLbl>
              <c:idx val="20"/>
              <c:layout>
                <c:manualLayout>
                  <c:x val="-1.8153968524226891E-2"/>
                  <c:y val="-8.5678819116496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7926-4423-9288-BB90352E5B75}"/>
                </c:ext>
              </c:extLst>
            </c:dLbl>
            <c:dLbl>
              <c:idx val="21"/>
              <c:layout>
                <c:manualLayout>
                  <c:x val="-3.9321686416320847E-2"/>
                  <c:y val="-6.5002338739419449E-2"/>
                </c:manualLayout>
              </c:layout>
              <c:numFmt formatCode="[&gt;=1000000]#,##0,,&quot;M&quot;;[&gt;=1000]#,##0,&quot;K&quot;;0" sourceLinked="0"/>
              <c:spPr>
                <a:solidFill>
                  <a:schemeClr val="accent3">
                    <a:lumMod val="20000"/>
                    <a:lumOff val="80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85983675087482E-2"/>
                      <c:h val="7.636883719675093E-2"/>
                    </c:manualLayout>
                  </c15:layout>
                </c:ext>
                <c:ext xmlns:c16="http://schemas.microsoft.com/office/drawing/2014/chart" uri="{C3380CC4-5D6E-409C-BE32-E72D297353CC}">
                  <c16:uniqueId val="{00000036-7926-4423-9288-BB90352E5B75}"/>
                </c:ext>
              </c:extLst>
            </c:dLbl>
            <c:dLbl>
              <c:idx val="22"/>
              <c:layout>
                <c:manualLayout>
                  <c:x val="-8.0684304552119512E-3"/>
                  <c:y val="-8.5678819116496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7926-4423-9288-BB90352E5B75}"/>
                </c:ext>
              </c:extLst>
            </c:dLbl>
            <c:dLbl>
              <c:idx val="23"/>
              <c:layout>
                <c:manualLayout>
                  <c:x val="-1.1094091875916434E-2"/>
                  <c:y val="-6.9812371131959872E-2"/>
                </c:manualLayout>
              </c:layout>
              <c:tx>
                <c:rich>
                  <a:bodyPr/>
                  <a:lstStyle/>
                  <a:p>
                    <a:fld id="{7276C145-CF59-4CCB-A681-1BB106BC0D8B}" type="VALUE">
                      <a:rPr lang="en-US" sz="1800" u="none">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8-7926-4423-9288-BB90352E5B75}"/>
                </c:ext>
              </c:extLst>
            </c:dLbl>
            <c:dLbl>
              <c:idx val="24"/>
              <c:layout>
                <c:manualLayout>
                  <c:x val="-1.8153968524226891E-2"/>
                  <c:y val="-6.6639081535052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7926-4423-9288-BB90352E5B75}"/>
                </c:ext>
              </c:extLst>
            </c:dLbl>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25"/>
              <c:pt idx="0">
                <c:v>2023 Jul</c:v>
              </c:pt>
              <c:pt idx="1">
                <c:v>2023 Aug</c:v>
              </c:pt>
              <c:pt idx="2">
                <c:v>2023 Sep</c:v>
              </c:pt>
              <c:pt idx="3">
                <c:v>2023 Oct</c:v>
              </c:pt>
              <c:pt idx="4">
                <c:v>2023 Nov</c:v>
              </c:pt>
              <c:pt idx="5">
                <c:v>2023 Dec</c:v>
              </c:pt>
              <c:pt idx="6">
                <c:v>2024 Jan</c:v>
              </c:pt>
              <c:pt idx="7">
                <c:v>2024 Feb</c:v>
              </c:pt>
              <c:pt idx="8">
                <c:v>2024 Mar</c:v>
              </c:pt>
              <c:pt idx="9">
                <c:v>2024 Apr</c:v>
              </c:pt>
              <c:pt idx="10">
                <c:v>2024 May</c:v>
              </c:pt>
              <c:pt idx="11">
                <c:v>2024 Jun</c:v>
              </c:pt>
              <c:pt idx="12">
                <c:v>2024 Jul</c:v>
              </c:pt>
              <c:pt idx="13">
                <c:v>2024 Aug</c:v>
              </c:pt>
              <c:pt idx="14">
                <c:v>2024 Sep</c:v>
              </c:pt>
              <c:pt idx="15">
                <c:v>2024 Oct</c:v>
              </c:pt>
              <c:pt idx="16">
                <c:v>2024 Nov</c:v>
              </c:pt>
              <c:pt idx="17">
                <c:v>2024 Dec</c:v>
              </c:pt>
              <c:pt idx="18">
                <c:v>2025 Jan</c:v>
              </c:pt>
              <c:pt idx="19">
                <c:v>2025 Feb</c:v>
              </c:pt>
              <c:pt idx="20">
                <c:v>2025 Mar</c:v>
              </c:pt>
              <c:pt idx="21">
                <c:v>2025 Apr</c:v>
              </c:pt>
              <c:pt idx="22">
                <c:v>2025 May</c:v>
              </c:pt>
              <c:pt idx="23">
                <c:v>2025 Jun</c:v>
              </c:pt>
              <c:pt idx="24">
                <c:v>2025 Jul</c:v>
              </c:pt>
            </c:strLit>
          </c:cat>
          <c:val>
            <c:numLit>
              <c:formatCode>General</c:formatCode>
              <c:ptCount val="25"/>
              <c:pt idx="0">
                <c:v>0</c:v>
              </c:pt>
              <c:pt idx="1">
                <c:v>9580.8799999999992</c:v>
              </c:pt>
              <c:pt idx="2">
                <c:v>21195.719999999998</c:v>
              </c:pt>
              <c:pt idx="3">
                <c:v>0</c:v>
              </c:pt>
              <c:pt idx="4">
                <c:v>5667.01</c:v>
              </c:pt>
              <c:pt idx="5">
                <c:v>23075.63</c:v>
              </c:pt>
              <c:pt idx="6">
                <c:v>23824.039999999997</c:v>
              </c:pt>
              <c:pt idx="7">
                <c:v>-112.18000000000029</c:v>
              </c:pt>
              <c:pt idx="8">
                <c:v>-2652.04</c:v>
              </c:pt>
              <c:pt idx="9">
                <c:v>0</c:v>
              </c:pt>
              <c:pt idx="10">
                <c:v>7953.88</c:v>
              </c:pt>
              <c:pt idx="11">
                <c:v>157.68</c:v>
              </c:pt>
              <c:pt idx="12">
                <c:v>2454.35</c:v>
              </c:pt>
              <c:pt idx="13">
                <c:v>24316.650000000005</c:v>
              </c:pt>
              <c:pt idx="14">
                <c:v>43224.670000000006</c:v>
              </c:pt>
              <c:pt idx="15">
                <c:v>20293.669999999998</c:v>
              </c:pt>
              <c:pt idx="16">
                <c:v>49947.999999999993</c:v>
              </c:pt>
              <c:pt idx="17">
                <c:v>27766.120000000003</c:v>
              </c:pt>
              <c:pt idx="18">
                <c:v>40949.339999999997</c:v>
              </c:pt>
              <c:pt idx="19">
                <c:v>15660.100000000002</c:v>
              </c:pt>
              <c:pt idx="20">
                <c:v>28100.07</c:v>
              </c:pt>
              <c:pt idx="21">
                <c:v>103817.27999999998</c:v>
              </c:pt>
              <c:pt idx="22">
                <c:v>29875.360000000001</c:v>
              </c:pt>
              <c:pt idx="23">
                <c:v>31980.05</c:v>
              </c:pt>
              <c:pt idx="24">
                <c:v>22390.309999999998</c:v>
              </c:pt>
            </c:numLit>
          </c:val>
          <c:smooth val="0"/>
          <c:extLst>
            <c:ext xmlns:c16="http://schemas.microsoft.com/office/drawing/2014/chart" uri="{C3380CC4-5D6E-409C-BE32-E72D297353CC}">
              <c16:uniqueId val="{00000039-7926-4423-9288-BB90352E5B75}"/>
            </c:ext>
          </c:extLst>
        </c:ser>
        <c:dLbls>
          <c:showLegendKey val="0"/>
          <c:showVal val="1"/>
          <c:showCatName val="0"/>
          <c:showSerName val="0"/>
          <c:showPercent val="0"/>
          <c:showBubbleSize val="0"/>
        </c:dLbls>
        <c:marker val="1"/>
        <c:smooth val="0"/>
        <c:axId val="655022831"/>
        <c:axId val="655027631"/>
      </c:lineChart>
      <c:catAx>
        <c:axId val="6550228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spc="20" baseline="0">
                <a:solidFill>
                  <a:schemeClr val="dk1">
                    <a:lumMod val="65000"/>
                    <a:lumOff val="35000"/>
                  </a:schemeClr>
                </a:solidFill>
                <a:latin typeface="+mn-lt"/>
                <a:ea typeface="+mn-ea"/>
                <a:cs typeface="+mn-cs"/>
              </a:defRPr>
            </a:pPr>
            <a:endParaRPr lang="en-US"/>
          </a:p>
        </c:txPr>
        <c:crossAx val="655027631"/>
        <c:crosses val="autoZero"/>
        <c:auto val="1"/>
        <c:lblAlgn val="ctr"/>
        <c:lblOffset val="100"/>
        <c:noMultiLvlLbl val="0"/>
      </c:catAx>
      <c:valAx>
        <c:axId val="655027631"/>
        <c:scaling>
          <c:orientation val="minMax"/>
        </c:scaling>
        <c:delete val="1"/>
        <c:axPos val="l"/>
        <c:numFmt formatCode="General" sourceLinked="1"/>
        <c:majorTickMark val="none"/>
        <c:minorTickMark val="none"/>
        <c:tickLblPos val="nextTo"/>
        <c:crossAx val="655022831"/>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8100000" algn="tr" rotWithShape="0">
        <a:prstClr val="black">
          <a:alpha val="40000"/>
        </a:prstClr>
      </a:outerShdw>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rPr>
              <a:t>Sales</a:t>
            </a:r>
            <a:r>
              <a:rPr lang="en-US" sz="1800" baseline="0">
                <a:solidFill>
                  <a:schemeClr val="tx1"/>
                </a:solidFill>
              </a:rPr>
              <a:t> By Region</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s>
    <c:plotArea>
      <c:layout/>
      <c:barChart>
        <c:barDir val="bar"/>
        <c:grouping val="clustered"/>
        <c:varyColors val="0"/>
        <c:ser>
          <c:idx val="0"/>
          <c:order val="0"/>
          <c:tx>
            <c:v>Series1</c:v>
          </c:tx>
          <c:spPr>
            <a:solidFill>
              <a:srgbClr val="009688"/>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Pune</c:v>
              </c:pt>
              <c:pt idx="1">
                <c:v>Hyderabad</c:v>
              </c:pt>
              <c:pt idx="2">
                <c:v>Delhi</c:v>
              </c:pt>
              <c:pt idx="3">
                <c:v>Kolkata</c:v>
              </c:pt>
              <c:pt idx="4">
                <c:v>Mumbai</c:v>
              </c:pt>
              <c:pt idx="5">
                <c:v>Bangalore</c:v>
              </c:pt>
            </c:strLit>
          </c:cat>
          <c:val>
            <c:numLit>
              <c:formatCode>General</c:formatCode>
              <c:ptCount val="6"/>
              <c:pt idx="0">
                <c:v>418165.37999999954</c:v>
              </c:pt>
              <c:pt idx="1">
                <c:v>426520.81999999983</c:v>
              </c:pt>
              <c:pt idx="2">
                <c:v>449062.30999999988</c:v>
              </c:pt>
              <c:pt idx="3">
                <c:v>462892.52999999974</c:v>
              </c:pt>
              <c:pt idx="4">
                <c:v>478794.99</c:v>
              </c:pt>
              <c:pt idx="5">
                <c:v>505954.1700000001</c:v>
              </c:pt>
            </c:numLit>
          </c:val>
          <c:extLst>
            <c:ext xmlns:c16="http://schemas.microsoft.com/office/drawing/2014/chart" uri="{C3380CC4-5D6E-409C-BE32-E72D297353CC}">
              <c16:uniqueId val="{00000000-289A-4D87-8B2D-BE2FA18087C5}"/>
            </c:ext>
          </c:extLst>
        </c:ser>
        <c:ser>
          <c:idx val="1"/>
          <c:order val="1"/>
          <c:tx>
            <c:v>Series2</c:v>
          </c:tx>
          <c:spPr>
            <a:solidFill>
              <a:schemeClr val="accent2"/>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Pune</c:v>
              </c:pt>
              <c:pt idx="1">
                <c:v>Hyderabad</c:v>
              </c:pt>
              <c:pt idx="2">
                <c:v>Delhi</c:v>
              </c:pt>
              <c:pt idx="3">
                <c:v>Kolkata</c:v>
              </c:pt>
              <c:pt idx="4">
                <c:v>Mumbai</c:v>
              </c:pt>
              <c:pt idx="5">
                <c:v>Bangalore</c:v>
              </c:pt>
            </c:strLit>
          </c:cat>
          <c:val>
            <c:numLit>
              <c:formatCode>General</c:formatCode>
              <c:ptCount val="6"/>
              <c:pt idx="0">
                <c:v>89357.939999999973</c:v>
              </c:pt>
              <c:pt idx="1">
                <c:v>96948.999999999985</c:v>
              </c:pt>
              <c:pt idx="2">
                <c:v>63164.810000000027</c:v>
              </c:pt>
              <c:pt idx="3">
                <c:v>125028.31</c:v>
              </c:pt>
              <c:pt idx="4">
                <c:v>70787.509999999995</c:v>
              </c:pt>
              <c:pt idx="5">
                <c:v>84179.019999999975</c:v>
              </c:pt>
            </c:numLit>
          </c:val>
          <c:extLst>
            <c:ext xmlns:c16="http://schemas.microsoft.com/office/drawing/2014/chart" uri="{C3380CC4-5D6E-409C-BE32-E72D297353CC}">
              <c16:uniqueId val="{00000001-289A-4D87-8B2D-BE2FA18087C5}"/>
            </c:ext>
          </c:extLst>
        </c:ser>
        <c:ser>
          <c:idx val="2"/>
          <c:order val="2"/>
          <c:tx>
            <c:v>Series3</c:v>
          </c:tx>
          <c:spPr>
            <a:solidFill>
              <a:schemeClr val="accent3"/>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Pune</c:v>
              </c:pt>
              <c:pt idx="1">
                <c:v>Hyderabad</c:v>
              </c:pt>
              <c:pt idx="2">
                <c:v>Delhi</c:v>
              </c:pt>
              <c:pt idx="3">
                <c:v>Kolkata</c:v>
              </c:pt>
              <c:pt idx="4">
                <c:v>Mumbai</c:v>
              </c:pt>
              <c:pt idx="5">
                <c:v>Bangalore</c:v>
              </c:pt>
            </c:strLit>
          </c:cat>
          <c:val>
            <c:numLit>
              <c:formatCode>General</c:formatCode>
              <c:ptCount val="6"/>
              <c:pt idx="0">
                <c:v>261</c:v>
              </c:pt>
              <c:pt idx="1">
                <c:v>241</c:v>
              </c:pt>
              <c:pt idx="2">
                <c:v>262</c:v>
              </c:pt>
              <c:pt idx="3">
                <c:v>224</c:v>
              </c:pt>
              <c:pt idx="4">
                <c:v>294</c:v>
              </c:pt>
              <c:pt idx="5">
                <c:v>233</c:v>
              </c:pt>
            </c:numLit>
          </c:val>
          <c:extLst>
            <c:ext xmlns:c16="http://schemas.microsoft.com/office/drawing/2014/chart" uri="{C3380CC4-5D6E-409C-BE32-E72D297353CC}">
              <c16:uniqueId val="{00000002-289A-4D87-8B2D-BE2FA18087C5}"/>
            </c:ext>
          </c:extLst>
        </c:ser>
        <c:dLbls>
          <c:showLegendKey val="0"/>
          <c:showVal val="1"/>
          <c:showCatName val="0"/>
          <c:showSerName val="0"/>
          <c:showPercent val="0"/>
          <c:showBubbleSize val="0"/>
        </c:dLbls>
        <c:gapWidth val="75"/>
        <c:axId val="69913887"/>
        <c:axId val="69915807"/>
      </c:barChart>
      <c:catAx>
        <c:axId val="6991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9915807"/>
        <c:crosses val="autoZero"/>
        <c:auto val="1"/>
        <c:lblAlgn val="ctr"/>
        <c:lblOffset val="100"/>
        <c:noMultiLvlLbl val="0"/>
      </c:catAx>
      <c:valAx>
        <c:axId val="69915807"/>
        <c:scaling>
          <c:orientation val="minMax"/>
        </c:scaling>
        <c:delete val="1"/>
        <c:axPos val="b"/>
        <c:numFmt formatCode="General" sourceLinked="1"/>
        <c:majorTickMark val="none"/>
        <c:minorTickMark val="none"/>
        <c:tickLblPos val="nextTo"/>
        <c:crossAx val="69913887"/>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8100000" algn="tr" rotWithShape="0">
        <a:prstClr val="black">
          <a:alpha val="40000"/>
        </a:prstClr>
      </a:outerShdw>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rPr>
              <a:t>Top 10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s>
    <c:plotArea>
      <c:layout/>
      <c:barChart>
        <c:barDir val="bar"/>
        <c:grouping val="clustered"/>
        <c:varyColors val="0"/>
        <c:ser>
          <c:idx val="0"/>
          <c:order val="0"/>
          <c:tx>
            <c:v>Series1</c:v>
          </c:tx>
          <c:spPr>
            <a:solidFill>
              <a:srgbClr val="009688"/>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Air Zoom</c:v>
              </c:pt>
              <c:pt idx="1">
                <c:v>Tiempo Legend</c:v>
              </c:pt>
              <c:pt idx="2">
                <c:v>Metcon 7</c:v>
              </c:pt>
              <c:pt idx="3">
                <c:v>Air Force 1</c:v>
              </c:pt>
              <c:pt idx="4">
                <c:v>Premier III</c:v>
              </c:pt>
              <c:pt idx="5">
                <c:v>ZoomX Invincible</c:v>
              </c:pt>
              <c:pt idx="6">
                <c:v>SuperRep Go</c:v>
              </c:pt>
              <c:pt idx="7">
                <c:v>Blazer Mid</c:v>
              </c:pt>
              <c:pt idx="8">
                <c:v>Flex Trainer</c:v>
              </c:pt>
              <c:pt idx="9">
                <c:v>LeBron 20</c:v>
              </c:pt>
            </c:strLit>
          </c:cat>
          <c:val>
            <c:numLit>
              <c:formatCode>General</c:formatCode>
              <c:ptCount val="10"/>
              <c:pt idx="0">
                <c:v>114972.55999999998</c:v>
              </c:pt>
              <c:pt idx="1">
                <c:v>119292.98999999999</c:v>
              </c:pt>
              <c:pt idx="2">
                <c:v>123749.89000000004</c:v>
              </c:pt>
              <c:pt idx="3">
                <c:v>130850.51999999996</c:v>
              </c:pt>
              <c:pt idx="4">
                <c:v>143433.95000000001</c:v>
              </c:pt>
              <c:pt idx="5">
                <c:v>144256.02999999997</c:v>
              </c:pt>
              <c:pt idx="6">
                <c:v>145046.64000000001</c:v>
              </c:pt>
              <c:pt idx="7">
                <c:v>156649.39000000004</c:v>
              </c:pt>
              <c:pt idx="8">
                <c:v>165721.36000000007</c:v>
              </c:pt>
              <c:pt idx="9">
                <c:v>173822.00999999992</c:v>
              </c:pt>
            </c:numLit>
          </c:val>
          <c:extLst>
            <c:ext xmlns:c16="http://schemas.microsoft.com/office/drawing/2014/chart" uri="{C3380CC4-5D6E-409C-BE32-E72D297353CC}">
              <c16:uniqueId val="{00000000-568D-40E0-B7D9-CA7F0D6ABF18}"/>
            </c:ext>
          </c:extLst>
        </c:ser>
        <c:ser>
          <c:idx val="1"/>
          <c:order val="1"/>
          <c:tx>
            <c:v>Series2</c:v>
          </c:tx>
          <c:spPr>
            <a:solidFill>
              <a:schemeClr val="accent2"/>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Air Zoom</c:v>
              </c:pt>
              <c:pt idx="1">
                <c:v>Tiempo Legend</c:v>
              </c:pt>
              <c:pt idx="2">
                <c:v>Metcon 7</c:v>
              </c:pt>
              <c:pt idx="3">
                <c:v>Air Force 1</c:v>
              </c:pt>
              <c:pt idx="4">
                <c:v>Premier III</c:v>
              </c:pt>
              <c:pt idx="5">
                <c:v>ZoomX Invincible</c:v>
              </c:pt>
              <c:pt idx="6">
                <c:v>SuperRep Go</c:v>
              </c:pt>
              <c:pt idx="7">
                <c:v>Blazer Mid</c:v>
              </c:pt>
              <c:pt idx="8">
                <c:v>Flex Trainer</c:v>
              </c:pt>
              <c:pt idx="9">
                <c:v>LeBron 20</c:v>
              </c:pt>
            </c:strLit>
          </c:cat>
          <c:val>
            <c:numLit>
              <c:formatCode>General</c:formatCode>
              <c:ptCount val="10"/>
              <c:pt idx="0">
                <c:v>47883.27</c:v>
              </c:pt>
              <c:pt idx="1">
                <c:v>27417.989999999998</c:v>
              </c:pt>
              <c:pt idx="2">
                <c:v>38067.26</c:v>
              </c:pt>
              <c:pt idx="3">
                <c:v>32897.75</c:v>
              </c:pt>
              <c:pt idx="4">
                <c:v>33858.39</c:v>
              </c:pt>
              <c:pt idx="5">
                <c:v>44716.81</c:v>
              </c:pt>
              <c:pt idx="6">
                <c:v>25196.83</c:v>
              </c:pt>
              <c:pt idx="7">
                <c:v>45205.11</c:v>
              </c:pt>
              <c:pt idx="8">
                <c:v>60152.090000000004</c:v>
              </c:pt>
              <c:pt idx="9">
                <c:v>38652.020000000004</c:v>
              </c:pt>
            </c:numLit>
          </c:val>
          <c:extLst>
            <c:ext xmlns:c16="http://schemas.microsoft.com/office/drawing/2014/chart" uri="{C3380CC4-5D6E-409C-BE32-E72D297353CC}">
              <c16:uniqueId val="{00000001-568D-40E0-B7D9-CA7F0D6ABF18}"/>
            </c:ext>
          </c:extLst>
        </c:ser>
        <c:ser>
          <c:idx val="2"/>
          <c:order val="2"/>
          <c:tx>
            <c:v>Series3</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Air Zoom</c:v>
              </c:pt>
              <c:pt idx="1">
                <c:v>Tiempo Legend</c:v>
              </c:pt>
              <c:pt idx="2">
                <c:v>Metcon 7</c:v>
              </c:pt>
              <c:pt idx="3">
                <c:v>Air Force 1</c:v>
              </c:pt>
              <c:pt idx="4">
                <c:v>Premier III</c:v>
              </c:pt>
              <c:pt idx="5">
                <c:v>ZoomX Invincible</c:v>
              </c:pt>
              <c:pt idx="6">
                <c:v>SuperRep Go</c:v>
              </c:pt>
              <c:pt idx="7">
                <c:v>Blazer Mid</c:v>
              </c:pt>
              <c:pt idx="8">
                <c:v>Flex Trainer</c:v>
              </c:pt>
              <c:pt idx="9">
                <c:v>LeBron 20</c:v>
              </c:pt>
            </c:strLit>
          </c:cat>
          <c:val>
            <c:numLit>
              <c:formatCode>General</c:formatCode>
              <c:ptCount val="10"/>
              <c:pt idx="0">
                <c:v>48</c:v>
              </c:pt>
              <c:pt idx="1">
                <c:v>79</c:v>
              </c:pt>
              <c:pt idx="2">
                <c:v>60</c:v>
              </c:pt>
              <c:pt idx="3">
                <c:v>79</c:v>
              </c:pt>
              <c:pt idx="4">
                <c:v>98</c:v>
              </c:pt>
              <c:pt idx="5">
                <c:v>82</c:v>
              </c:pt>
              <c:pt idx="6">
                <c:v>86</c:v>
              </c:pt>
              <c:pt idx="7">
                <c:v>104</c:v>
              </c:pt>
              <c:pt idx="8">
                <c:v>89</c:v>
              </c:pt>
              <c:pt idx="9">
                <c:v>70</c:v>
              </c:pt>
            </c:numLit>
          </c:val>
          <c:extLst>
            <c:ext xmlns:c16="http://schemas.microsoft.com/office/drawing/2014/chart" uri="{C3380CC4-5D6E-409C-BE32-E72D297353CC}">
              <c16:uniqueId val="{00000002-568D-40E0-B7D9-CA7F0D6ABF18}"/>
            </c:ext>
          </c:extLst>
        </c:ser>
        <c:dLbls>
          <c:showLegendKey val="0"/>
          <c:showVal val="1"/>
          <c:showCatName val="0"/>
          <c:showSerName val="0"/>
          <c:showPercent val="0"/>
          <c:showBubbleSize val="0"/>
        </c:dLbls>
        <c:gapWidth val="75"/>
        <c:axId val="1772031535"/>
        <c:axId val="1772029135"/>
      </c:barChart>
      <c:catAx>
        <c:axId val="177203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772029135"/>
        <c:crosses val="autoZero"/>
        <c:auto val="1"/>
        <c:lblAlgn val="ctr"/>
        <c:lblOffset val="100"/>
        <c:noMultiLvlLbl val="0"/>
      </c:catAx>
      <c:valAx>
        <c:axId val="1772029135"/>
        <c:scaling>
          <c:orientation val="minMax"/>
        </c:scaling>
        <c:delete val="1"/>
        <c:axPos val="b"/>
        <c:numFmt formatCode="General" sourceLinked="1"/>
        <c:majorTickMark val="none"/>
        <c:minorTickMark val="none"/>
        <c:tickLblPos val="nextTo"/>
        <c:crossAx val="1772031535"/>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8100000" algn="tr" rotWithShape="0">
        <a:prstClr val="black">
          <a:alpha val="40000"/>
        </a:prstClr>
      </a:outerShdw>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Product Line Compration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s>
    <c:plotArea>
      <c:layout>
        <c:manualLayout>
          <c:layoutTarget val="inner"/>
          <c:xMode val="edge"/>
          <c:yMode val="edge"/>
          <c:x val="1.0227658274142596E-2"/>
          <c:y val="3.9035118428422819E-2"/>
          <c:w val="0.97747570354768953"/>
          <c:h val="0.87892611621195016"/>
        </c:manualLayout>
      </c:layout>
      <c:barChart>
        <c:barDir val="col"/>
        <c:grouping val="clustered"/>
        <c:varyColors val="0"/>
        <c:ser>
          <c:idx val="0"/>
          <c:order val="0"/>
          <c:tx>
            <c:v>Sum of Profit</c:v>
          </c:tx>
          <c:spPr>
            <a:solidFill>
              <a:srgbClr val="009688"/>
            </a:solidFill>
            <a:ln w="19050" cap="rnd">
              <a:solidFill>
                <a:schemeClr val="accent1"/>
              </a:solid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Basketball</c:v>
              </c:pt>
              <c:pt idx="1">
                <c:v>Lifestyle</c:v>
              </c:pt>
              <c:pt idx="2">
                <c:v>Running</c:v>
              </c:pt>
              <c:pt idx="3">
                <c:v>Soccer</c:v>
              </c:pt>
              <c:pt idx="4">
                <c:v>Training</c:v>
              </c:pt>
            </c:strLit>
          </c:cat>
          <c:val>
            <c:numLit>
              <c:formatCode>General</c:formatCode>
              <c:ptCount val="5"/>
              <c:pt idx="0">
                <c:v>540587.10000000033</c:v>
              </c:pt>
              <c:pt idx="1">
                <c:v>570485.58999999985</c:v>
              </c:pt>
              <c:pt idx="2">
                <c:v>526420.96999999939</c:v>
              </c:pt>
              <c:pt idx="3">
                <c:v>525122.61999999988</c:v>
              </c:pt>
              <c:pt idx="4">
                <c:v>578773.91999999934</c:v>
              </c:pt>
            </c:numLit>
          </c:val>
          <c:extLst>
            <c:ext xmlns:c16="http://schemas.microsoft.com/office/drawing/2014/chart" uri="{C3380CC4-5D6E-409C-BE32-E72D297353CC}">
              <c16:uniqueId val="{00000000-31C2-4750-96A8-95D8B38AEF63}"/>
            </c:ext>
          </c:extLst>
        </c:ser>
        <c:ser>
          <c:idx val="1"/>
          <c:order val="1"/>
          <c:tx>
            <c:v>Series2</c:v>
          </c:tx>
          <c:spPr>
            <a:solidFill>
              <a:schemeClr val="accent2"/>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Basketball</c:v>
              </c:pt>
              <c:pt idx="1">
                <c:v>Lifestyle</c:v>
              </c:pt>
              <c:pt idx="2">
                <c:v>Running</c:v>
              </c:pt>
              <c:pt idx="3">
                <c:v>Soccer</c:v>
              </c:pt>
              <c:pt idx="4">
                <c:v>Training</c:v>
              </c:pt>
            </c:strLit>
          </c:cat>
          <c:val>
            <c:numLit>
              <c:formatCode>General</c:formatCode>
              <c:ptCount val="5"/>
              <c:pt idx="0">
                <c:v>81021.599999999977</c:v>
              </c:pt>
              <c:pt idx="1">
                <c:v>125860.19999999997</c:v>
              </c:pt>
              <c:pt idx="2">
                <c:v>62785.94999999999</c:v>
              </c:pt>
              <c:pt idx="3">
                <c:v>91665.849999999991</c:v>
              </c:pt>
              <c:pt idx="4">
                <c:v>168132.98999999996</c:v>
              </c:pt>
            </c:numLit>
          </c:val>
          <c:extLst>
            <c:ext xmlns:c16="http://schemas.microsoft.com/office/drawing/2014/chart" uri="{C3380CC4-5D6E-409C-BE32-E72D297353CC}">
              <c16:uniqueId val="{00000001-31C2-4750-96A8-95D8B38AEF63}"/>
            </c:ext>
          </c:extLst>
        </c:ser>
        <c:ser>
          <c:idx val="2"/>
          <c:order val="2"/>
          <c:tx>
            <c:v>Series3</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Basketball</c:v>
              </c:pt>
              <c:pt idx="1">
                <c:v>Lifestyle</c:v>
              </c:pt>
              <c:pt idx="2">
                <c:v>Running</c:v>
              </c:pt>
              <c:pt idx="3">
                <c:v>Soccer</c:v>
              </c:pt>
              <c:pt idx="4">
                <c:v>Training</c:v>
              </c:pt>
            </c:strLit>
          </c:cat>
          <c:val>
            <c:numLit>
              <c:formatCode>General</c:formatCode>
              <c:ptCount val="5"/>
              <c:pt idx="0">
                <c:v>265</c:v>
              </c:pt>
              <c:pt idx="1">
                <c:v>345</c:v>
              </c:pt>
              <c:pt idx="2">
                <c:v>256</c:v>
              </c:pt>
              <c:pt idx="3">
                <c:v>332</c:v>
              </c:pt>
              <c:pt idx="4">
                <c:v>317</c:v>
              </c:pt>
            </c:numLit>
          </c:val>
          <c:extLst>
            <c:ext xmlns:c16="http://schemas.microsoft.com/office/drawing/2014/chart" uri="{C3380CC4-5D6E-409C-BE32-E72D297353CC}">
              <c16:uniqueId val="{00000002-31C2-4750-96A8-95D8B38AEF63}"/>
            </c:ext>
          </c:extLst>
        </c:ser>
        <c:dLbls>
          <c:showLegendKey val="0"/>
          <c:showVal val="1"/>
          <c:showCatName val="0"/>
          <c:showSerName val="0"/>
          <c:showPercent val="0"/>
          <c:showBubbleSize val="0"/>
        </c:dLbls>
        <c:gapWidth val="75"/>
        <c:axId val="2094565119"/>
        <c:axId val="2094563679"/>
      </c:barChart>
      <c:catAx>
        <c:axId val="20945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563679"/>
        <c:crosses val="autoZero"/>
        <c:auto val="1"/>
        <c:lblAlgn val="ctr"/>
        <c:lblOffset val="100"/>
        <c:noMultiLvlLbl val="0"/>
      </c:catAx>
      <c:valAx>
        <c:axId val="2094563679"/>
        <c:scaling>
          <c:orientation val="minMax"/>
        </c:scaling>
        <c:delete val="1"/>
        <c:axPos val="l"/>
        <c:numFmt formatCode="General" sourceLinked="1"/>
        <c:majorTickMark val="none"/>
        <c:minorTickMark val="none"/>
        <c:tickLblPos val="nextTo"/>
        <c:crossAx val="2094565119"/>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8100000" algn="tr" rotWithShape="0">
        <a:prstClr val="black">
          <a:alpha val="40000"/>
        </a:prstClr>
      </a:outerShdw>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Insight''s &amp; Reccomedations'!A1"/><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11" Type="http://schemas.openxmlformats.org/officeDocument/2006/relationships/hyperlink" Target="#Dimentions!A1"/><Relationship Id="rId5" Type="http://schemas.openxmlformats.org/officeDocument/2006/relationships/chart" Target="../charts/chart5.xml"/><Relationship Id="rId10" Type="http://schemas.openxmlformats.org/officeDocument/2006/relationships/hyperlink" Target="#'Fact Table'!A1"/><Relationship Id="rId4" Type="http://schemas.openxmlformats.org/officeDocument/2006/relationships/chart" Target="../charts/chart4.xml"/><Relationship Id="rId9"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17</xdr:col>
      <xdr:colOff>518509</xdr:colOff>
      <xdr:row>37</xdr:row>
      <xdr:rowOff>186493</xdr:rowOff>
    </xdr:from>
    <xdr:to>
      <xdr:col>28</xdr:col>
      <xdr:colOff>380999</xdr:colOff>
      <xdr:row>59</xdr:row>
      <xdr:rowOff>127470</xdr:rowOff>
    </xdr:to>
    <xdr:graphicFrame macro="">
      <xdr:nvGraphicFramePr>
        <xdr:cNvPr id="2" name="Chart 1">
          <a:extLst>
            <a:ext uri="{FF2B5EF4-FFF2-40B4-BE49-F238E27FC236}">
              <a16:creationId xmlns:a16="http://schemas.microsoft.com/office/drawing/2014/main" id="{01BE3461-FF89-4C95-9965-FFE4B783C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28221</xdr:colOff>
      <xdr:row>37</xdr:row>
      <xdr:rowOff>177290</xdr:rowOff>
    </xdr:from>
    <xdr:to>
      <xdr:col>38</xdr:col>
      <xdr:colOff>435700</xdr:colOff>
      <xdr:row>59</xdr:row>
      <xdr:rowOff>127439</xdr:rowOff>
    </xdr:to>
    <xdr:graphicFrame macro="">
      <xdr:nvGraphicFramePr>
        <xdr:cNvPr id="3" name="Chart 2">
          <a:extLst>
            <a:ext uri="{FF2B5EF4-FFF2-40B4-BE49-F238E27FC236}">
              <a16:creationId xmlns:a16="http://schemas.microsoft.com/office/drawing/2014/main" id="{C5F42F50-A737-448A-BA6F-19F6A435E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239890</xdr:colOff>
      <xdr:row>0</xdr:row>
      <xdr:rowOff>53630</xdr:rowOff>
    </xdr:from>
    <xdr:to>
      <xdr:col>29</xdr:col>
      <xdr:colOff>44419</xdr:colOff>
      <xdr:row>7</xdr:row>
      <xdr:rowOff>9299</xdr:rowOff>
    </xdr:to>
    <xdr:sp macro="" textlink="">
      <xdr:nvSpPr>
        <xdr:cNvPr id="4" name="Rectangle: Rounded Corners 3">
          <a:extLst>
            <a:ext uri="{FF2B5EF4-FFF2-40B4-BE49-F238E27FC236}">
              <a16:creationId xmlns:a16="http://schemas.microsoft.com/office/drawing/2014/main" id="{9FC1F72C-9CA4-4D47-880D-C42BFFECCCDA}"/>
            </a:ext>
          </a:extLst>
        </xdr:cNvPr>
        <xdr:cNvSpPr/>
      </xdr:nvSpPr>
      <xdr:spPr>
        <a:xfrm>
          <a:off x="7521223" y="53630"/>
          <a:ext cx="10119752" cy="1338558"/>
        </a:xfrm>
        <a:prstGeom prst="roundRect">
          <a:avLst/>
        </a:prstGeom>
        <a:solidFill>
          <a:srgbClr val="009688"/>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India</a:t>
          </a:r>
          <a:r>
            <a:rPr lang="en-US" sz="4000" baseline="0"/>
            <a:t> Retail Sales Performance Dashboard</a:t>
          </a:r>
          <a:endParaRPr lang="en-US" sz="4000"/>
        </a:p>
      </xdr:txBody>
    </xdr:sp>
    <xdr:clientData/>
  </xdr:twoCellAnchor>
  <xdr:twoCellAnchor>
    <xdr:from>
      <xdr:col>17</xdr:col>
      <xdr:colOff>517240</xdr:colOff>
      <xdr:row>15</xdr:row>
      <xdr:rowOff>121307</xdr:rowOff>
    </xdr:from>
    <xdr:to>
      <xdr:col>38</xdr:col>
      <xdr:colOff>367194</xdr:colOff>
      <xdr:row>37</xdr:row>
      <xdr:rowOff>59463</xdr:rowOff>
    </xdr:to>
    <xdr:graphicFrame macro="">
      <xdr:nvGraphicFramePr>
        <xdr:cNvPr id="5" name="Chart 4">
          <a:extLst>
            <a:ext uri="{FF2B5EF4-FFF2-40B4-BE49-F238E27FC236}">
              <a16:creationId xmlns:a16="http://schemas.microsoft.com/office/drawing/2014/main" id="{48673353-F21C-4488-989D-05C1F6383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183445</xdr:colOff>
      <xdr:row>8</xdr:row>
      <xdr:rowOff>70556</xdr:rowOff>
    </xdr:from>
    <xdr:to>
      <xdr:col>25</xdr:col>
      <xdr:colOff>56446</xdr:colOff>
      <xdr:row>14</xdr:row>
      <xdr:rowOff>126061</xdr:rowOff>
    </xdr:to>
    <xdr:sp macro="" textlink="">
      <xdr:nvSpPr>
        <xdr:cNvPr id="6" name="Rectangle: Rounded Corners 5">
          <a:extLst>
            <a:ext uri="{FF2B5EF4-FFF2-40B4-BE49-F238E27FC236}">
              <a16:creationId xmlns:a16="http://schemas.microsoft.com/office/drawing/2014/main" id="{64C952E5-5BC6-448C-8601-7AC446D075CA}"/>
            </a:ext>
          </a:extLst>
        </xdr:cNvPr>
        <xdr:cNvSpPr/>
      </xdr:nvSpPr>
      <xdr:spPr>
        <a:xfrm>
          <a:off x="11105445" y="1651000"/>
          <a:ext cx="4120445" cy="1240839"/>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tx1"/>
              </a:solidFill>
              <a:latin typeface="Segoe UI" panose="020B0502040204020203" pitchFamily="34" charset="0"/>
              <a:cs typeface="Segoe UI" panose="020B0502040204020203" pitchFamily="34" charset="0"/>
            </a:rPr>
            <a:t> Total</a:t>
          </a:r>
          <a:r>
            <a:rPr lang="en-US" sz="3200" baseline="0">
              <a:solidFill>
                <a:schemeClr val="tx1"/>
              </a:solidFill>
              <a:latin typeface="Segoe UI" panose="020B0502040204020203" pitchFamily="34" charset="0"/>
              <a:cs typeface="Segoe UI" panose="020B0502040204020203" pitchFamily="34" charset="0"/>
            </a:rPr>
            <a:t> Revenue</a:t>
          </a:r>
          <a:endParaRPr lang="en-US" sz="3200">
            <a:solidFill>
              <a:schemeClr val="tx1"/>
            </a:solidFill>
            <a:latin typeface="Segoe UI" panose="020B0502040204020203" pitchFamily="34" charset="0"/>
            <a:cs typeface="Segoe UI" panose="020B0502040204020203" pitchFamily="34" charset="0"/>
          </a:endParaRPr>
        </a:p>
      </xdr:txBody>
    </xdr:sp>
    <xdr:clientData/>
  </xdr:twoCellAnchor>
  <xdr:oneCellAnchor>
    <xdr:from>
      <xdr:col>19</xdr:col>
      <xdr:colOff>423335</xdr:colOff>
      <xdr:row>10</xdr:row>
      <xdr:rowOff>155221</xdr:rowOff>
    </xdr:from>
    <xdr:ext cx="1354665" cy="691445"/>
    <xdr:sp macro="" textlink="'PIVOT TABLE'!L31">
      <xdr:nvSpPr>
        <xdr:cNvPr id="7" name="TextBox 6">
          <a:extLst>
            <a:ext uri="{FF2B5EF4-FFF2-40B4-BE49-F238E27FC236}">
              <a16:creationId xmlns:a16="http://schemas.microsoft.com/office/drawing/2014/main" id="{4BA8D7C3-D234-4BF8-A2E4-3209D0D61652}"/>
            </a:ext>
          </a:extLst>
        </xdr:cNvPr>
        <xdr:cNvSpPr txBox="1"/>
      </xdr:nvSpPr>
      <xdr:spPr>
        <a:xfrm>
          <a:off x="11952113" y="2130777"/>
          <a:ext cx="1354665" cy="691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29476F4-FCD7-4238-AD0B-FDA7847359A5}" type="TxLink">
            <a:rPr lang="en-US" sz="4000" b="0" i="0" u="none" strike="noStrike">
              <a:solidFill>
                <a:schemeClr val="tx1"/>
              </a:solidFill>
              <a:latin typeface="Segoe UI" panose="020B0502040204020203" pitchFamily="34" charset="0"/>
              <a:cs typeface="Segoe UI" panose="020B0502040204020203" pitchFamily="34" charset="0"/>
            </a:rPr>
            <a:pPr/>
            <a:t>2.7M</a:t>
          </a:fld>
          <a:endParaRPr lang="en-US" sz="4000">
            <a:solidFill>
              <a:schemeClr val="tx1"/>
            </a:solidFill>
            <a:latin typeface="Segoe UI" panose="020B0502040204020203" pitchFamily="34" charset="0"/>
            <a:cs typeface="Segoe UI" panose="020B0502040204020203" pitchFamily="34" charset="0"/>
          </a:endParaRPr>
        </a:p>
      </xdr:txBody>
    </xdr:sp>
    <xdr:clientData/>
  </xdr:oneCellAnchor>
  <xdr:twoCellAnchor>
    <xdr:from>
      <xdr:col>32</xdr:col>
      <xdr:colOff>451556</xdr:colOff>
      <xdr:row>8</xdr:row>
      <xdr:rowOff>84667</xdr:rowOff>
    </xdr:from>
    <xdr:to>
      <xdr:col>39</xdr:col>
      <xdr:colOff>352778</xdr:colOff>
      <xdr:row>14</xdr:row>
      <xdr:rowOff>183444</xdr:rowOff>
    </xdr:to>
    <xdr:sp macro="" textlink="">
      <xdr:nvSpPr>
        <xdr:cNvPr id="10" name="Rectangle: Rounded Corners 9">
          <a:extLst>
            <a:ext uri="{FF2B5EF4-FFF2-40B4-BE49-F238E27FC236}">
              <a16:creationId xmlns:a16="http://schemas.microsoft.com/office/drawing/2014/main" id="{C788F96B-84AF-4CC3-BD38-99794EA431F4}"/>
            </a:ext>
          </a:extLst>
        </xdr:cNvPr>
        <xdr:cNvSpPr/>
      </xdr:nvSpPr>
      <xdr:spPr>
        <a:xfrm>
          <a:off x="19868445" y="1665111"/>
          <a:ext cx="4148666" cy="1284111"/>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3200">
              <a:solidFill>
                <a:schemeClr val="tx1"/>
              </a:solidFill>
              <a:effectLst/>
              <a:latin typeface="Segoe UI" panose="020B0502040204020203" pitchFamily="34" charset="0"/>
              <a:ea typeface="+mn-ea"/>
              <a:cs typeface="Segoe UI" panose="020B0502040204020203" pitchFamily="34" charset="0"/>
            </a:rPr>
            <a:t>Total </a:t>
          </a:r>
          <a:r>
            <a:rPr lang="en-US" sz="3200">
              <a:solidFill>
                <a:schemeClr val="tx1"/>
              </a:solidFill>
              <a:effectLst/>
              <a:latin typeface="+mn-lt"/>
              <a:ea typeface="+mn-ea"/>
              <a:cs typeface="+mn-cs"/>
            </a:rPr>
            <a:t>Profit</a:t>
          </a:r>
          <a:endParaRPr lang="en-US" sz="320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39</xdr:col>
      <xdr:colOff>38861</xdr:colOff>
      <xdr:row>18</xdr:row>
      <xdr:rowOff>27999</xdr:rowOff>
    </xdr:from>
    <xdr:to>
      <xdr:col>47</xdr:col>
      <xdr:colOff>511917</xdr:colOff>
      <xdr:row>39</xdr:row>
      <xdr:rowOff>112578</xdr:rowOff>
    </xdr:to>
    <xdr:graphicFrame macro="">
      <xdr:nvGraphicFramePr>
        <xdr:cNvPr id="12" name="Chart 11">
          <a:extLst>
            <a:ext uri="{FF2B5EF4-FFF2-40B4-BE49-F238E27FC236}">
              <a16:creationId xmlns:a16="http://schemas.microsoft.com/office/drawing/2014/main" id="{1F1C987F-C9CD-4F62-AC43-45FB98B3A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54810</xdr:colOff>
      <xdr:row>40</xdr:row>
      <xdr:rowOff>33024</xdr:rowOff>
    </xdr:from>
    <xdr:to>
      <xdr:col>47</xdr:col>
      <xdr:colOff>467078</xdr:colOff>
      <xdr:row>61</xdr:row>
      <xdr:rowOff>133921</xdr:rowOff>
    </xdr:to>
    <xdr:graphicFrame macro="">
      <xdr:nvGraphicFramePr>
        <xdr:cNvPr id="13" name="Chart 12">
          <a:extLst>
            <a:ext uri="{FF2B5EF4-FFF2-40B4-BE49-F238E27FC236}">
              <a16:creationId xmlns:a16="http://schemas.microsoft.com/office/drawing/2014/main" id="{348FFCE2-BDA4-4D7D-8E5E-034F2B0BF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48</xdr:col>
      <xdr:colOff>133414</xdr:colOff>
      <xdr:row>9</xdr:row>
      <xdr:rowOff>28221</xdr:rowOff>
    </xdr:from>
    <xdr:ext cx="4473280" cy="5813780"/>
    <xdr:pic>
      <xdr:nvPicPr>
        <xdr:cNvPr id="14" name="Picture 13" descr="‪Route Map : All INDIA 29 States 17200 Kms 74 Days 50000/- By Public  Transport On my last post at HC regarding my All India journey,many  Travellers asked me about my route‬‏">
          <a:extLst>
            <a:ext uri="{FF2B5EF4-FFF2-40B4-BE49-F238E27FC236}">
              <a16:creationId xmlns:a16="http://schemas.microsoft.com/office/drawing/2014/main" id="{736FEC71-F2D7-4FBF-89F6-6550B590CB4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9258747" y="1806221"/>
          <a:ext cx="4473280" cy="581378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530343</xdr:colOff>
      <xdr:row>60</xdr:row>
      <xdr:rowOff>60658</xdr:rowOff>
    </xdr:from>
    <xdr:to>
      <xdr:col>38</xdr:col>
      <xdr:colOff>323332</xdr:colOff>
      <xdr:row>80</xdr:row>
      <xdr:rowOff>108587</xdr:rowOff>
    </xdr:to>
    <xdr:graphicFrame macro="">
      <xdr:nvGraphicFramePr>
        <xdr:cNvPr id="15" name="Chart 14">
          <a:extLst>
            <a:ext uri="{FF2B5EF4-FFF2-40B4-BE49-F238E27FC236}">
              <a16:creationId xmlns:a16="http://schemas.microsoft.com/office/drawing/2014/main" id="{7DFEB760-58D5-4924-9D78-C89B27560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29</xdr:col>
      <xdr:colOff>448025</xdr:colOff>
      <xdr:row>4</xdr:row>
      <xdr:rowOff>75735</xdr:rowOff>
    </xdr:from>
    <xdr:ext cx="12280197" cy="770931"/>
    <mc:AlternateContent xmlns:mc="http://schemas.openxmlformats.org/markup-compatibility/2006">
      <mc:Choice xmlns:a14="http://schemas.microsoft.com/office/drawing/2010/main" Requires="a14">
        <xdr:graphicFrame macro="">
          <xdr:nvGraphicFramePr>
            <xdr:cNvPr id="16" name="Months (Order_Date)">
              <a:extLst>
                <a:ext uri="{FF2B5EF4-FFF2-40B4-BE49-F238E27FC236}">
                  <a16:creationId xmlns:a16="http://schemas.microsoft.com/office/drawing/2014/main" id="{18F50449-0A06-4D52-830B-54A16B85F5C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7986120" y="861925"/>
              <a:ext cx="12280197" cy="770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29</xdr:col>
      <xdr:colOff>496891</xdr:colOff>
      <xdr:row>0</xdr:row>
      <xdr:rowOff>112890</xdr:rowOff>
    </xdr:from>
    <xdr:ext cx="5373331" cy="762000"/>
    <mc:AlternateContent xmlns:mc="http://schemas.openxmlformats.org/markup-compatibility/2006">
      <mc:Choice xmlns:a14="http://schemas.microsoft.com/office/drawing/2010/main" Requires="a14">
        <xdr:graphicFrame macro="">
          <xdr:nvGraphicFramePr>
            <xdr:cNvPr id="17" name="Product_Line">
              <a:extLst>
                <a:ext uri="{FF2B5EF4-FFF2-40B4-BE49-F238E27FC236}">
                  <a16:creationId xmlns:a16="http://schemas.microsoft.com/office/drawing/2014/main" id="{70D58BC8-08A6-4F75-934E-272C86390F58}"/>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dr:sp macro="" textlink="">
          <xdr:nvSpPr>
            <xdr:cNvPr id="0" name=""/>
            <xdr:cNvSpPr>
              <a:spLocks noTextEdit="1"/>
            </xdr:cNvSpPr>
          </xdr:nvSpPr>
          <xdr:spPr>
            <a:xfrm>
              <a:off x="18034986" y="112890"/>
              <a:ext cx="5373331"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38</xdr:col>
      <xdr:colOff>479778</xdr:colOff>
      <xdr:row>0</xdr:row>
      <xdr:rowOff>70555</xdr:rowOff>
    </xdr:from>
    <xdr:ext cx="5729111" cy="776112"/>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9BA2CA58-F43C-4A73-AD98-3293E7EE51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460730" y="70555"/>
              <a:ext cx="5729111" cy="776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48</xdr:col>
      <xdr:colOff>200476</xdr:colOff>
      <xdr:row>0</xdr:row>
      <xdr:rowOff>75460</xdr:rowOff>
    </xdr:from>
    <xdr:ext cx="2085524" cy="757096"/>
    <mc:AlternateContent xmlns:mc="http://schemas.openxmlformats.org/markup-compatibility/2006">
      <mc:Choice xmlns:a14="http://schemas.microsoft.com/office/drawing/2010/main" Requires="a14">
        <xdr:graphicFrame macro="">
          <xdr:nvGraphicFramePr>
            <xdr:cNvPr id="19" name="Sales_Channel">
              <a:extLst>
                <a:ext uri="{FF2B5EF4-FFF2-40B4-BE49-F238E27FC236}">
                  <a16:creationId xmlns:a16="http://schemas.microsoft.com/office/drawing/2014/main" id="{0178956B-9C17-417E-8AA3-AF5A341AE487}"/>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29229047" y="75460"/>
              <a:ext cx="2085524" cy="757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39</xdr:col>
      <xdr:colOff>98182</xdr:colOff>
      <xdr:row>62</xdr:row>
      <xdr:rowOff>94999</xdr:rowOff>
    </xdr:from>
    <xdr:ext cx="5701485" cy="2021668"/>
    <mc:AlternateContent xmlns:mc="http://schemas.openxmlformats.org/markup-compatibility/2006">
      <mc:Choice xmlns:a14="http://schemas.microsoft.com/office/drawing/2010/main" Requires="a14">
        <xdr:graphicFrame macro="">
          <xdr:nvGraphicFramePr>
            <xdr:cNvPr id="20" name="Product_Name">
              <a:extLst>
                <a:ext uri="{FF2B5EF4-FFF2-40B4-BE49-F238E27FC236}">
                  <a16:creationId xmlns:a16="http://schemas.microsoft.com/office/drawing/2014/main" id="{47C694E0-293F-42CB-A185-0505425B31C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23683896" y="13868451"/>
              <a:ext cx="5701485" cy="2021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12</xdr:col>
      <xdr:colOff>324556</xdr:colOff>
      <xdr:row>7</xdr:row>
      <xdr:rowOff>70555</xdr:rowOff>
    </xdr:from>
    <xdr:to>
      <xdr:col>17</xdr:col>
      <xdr:colOff>225778</xdr:colOff>
      <xdr:row>80</xdr:row>
      <xdr:rowOff>98779</xdr:rowOff>
    </xdr:to>
    <xdr:sp macro="" textlink="">
      <xdr:nvSpPr>
        <xdr:cNvPr id="21" name="Rectangle: Rounded Corners 20">
          <a:extLst>
            <a:ext uri="{FF2B5EF4-FFF2-40B4-BE49-F238E27FC236}">
              <a16:creationId xmlns:a16="http://schemas.microsoft.com/office/drawing/2014/main" id="{AEAED1F0-6284-4827-9033-8565CE888094}"/>
            </a:ext>
          </a:extLst>
        </xdr:cNvPr>
        <xdr:cNvSpPr/>
      </xdr:nvSpPr>
      <xdr:spPr>
        <a:xfrm>
          <a:off x="7605889" y="1453444"/>
          <a:ext cx="2935111" cy="14449779"/>
        </a:xfrm>
        <a:prstGeom prst="roundRect">
          <a:avLst/>
        </a:prstGeom>
        <a:solidFill>
          <a:srgbClr val="009688"/>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437445</xdr:colOff>
      <xdr:row>9</xdr:row>
      <xdr:rowOff>112889</xdr:rowOff>
    </xdr:from>
    <xdr:to>
      <xdr:col>17</xdr:col>
      <xdr:colOff>84667</xdr:colOff>
      <xdr:row>17</xdr:row>
      <xdr:rowOff>112889</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F6431503-9261-53AE-2B99-19A56AEEDA1D}"/>
            </a:ext>
          </a:extLst>
        </xdr:cNvPr>
        <xdr:cNvSpPr/>
      </xdr:nvSpPr>
      <xdr:spPr>
        <a:xfrm>
          <a:off x="7718778" y="1763889"/>
          <a:ext cx="2681111" cy="1467556"/>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tx1"/>
              </a:solidFill>
              <a:latin typeface="Arial Black" panose="020B0A04020102020204" pitchFamily="34" charset="0"/>
              <a:ea typeface="+mn-ea"/>
              <a:cs typeface="Segoe UI" panose="020B0502040204020203" pitchFamily="34" charset="0"/>
            </a:rPr>
            <a:t>Insight's &amp; Reccomedations</a:t>
          </a:r>
        </a:p>
      </xdr:txBody>
    </xdr:sp>
    <xdr:clientData/>
  </xdr:twoCellAnchor>
  <xdr:twoCellAnchor>
    <xdr:from>
      <xdr:col>12</xdr:col>
      <xdr:colOff>505179</xdr:colOff>
      <xdr:row>19</xdr:row>
      <xdr:rowOff>11290</xdr:rowOff>
    </xdr:from>
    <xdr:to>
      <xdr:col>16</xdr:col>
      <xdr:colOff>533401</xdr:colOff>
      <xdr:row>26</xdr:row>
      <xdr:rowOff>180623</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769F74A0-319C-42FC-BBB5-3C58B2EC76FC}"/>
            </a:ext>
          </a:extLst>
        </xdr:cNvPr>
        <xdr:cNvSpPr/>
      </xdr:nvSpPr>
      <xdr:spPr>
        <a:xfrm>
          <a:off x="7786512" y="3496734"/>
          <a:ext cx="2455333" cy="1467556"/>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tx1"/>
              </a:solidFill>
              <a:latin typeface="Arial Black" panose="020B0A04020102020204" pitchFamily="34" charset="0"/>
              <a:ea typeface="+mn-ea"/>
              <a:cs typeface="Segoe UI" panose="020B0502040204020203" pitchFamily="34" charset="0"/>
            </a:rPr>
            <a:t>PIVOT TABLE</a:t>
          </a:r>
        </a:p>
      </xdr:txBody>
    </xdr:sp>
    <xdr:clientData/>
  </xdr:twoCellAnchor>
  <xdr:twoCellAnchor>
    <xdr:from>
      <xdr:col>12</xdr:col>
      <xdr:colOff>544689</xdr:colOff>
      <xdr:row>28</xdr:row>
      <xdr:rowOff>149578</xdr:rowOff>
    </xdr:from>
    <xdr:to>
      <xdr:col>16</xdr:col>
      <xdr:colOff>572911</xdr:colOff>
      <xdr:row>36</xdr:row>
      <xdr:rowOff>149579</xdr:rowOff>
    </xdr:to>
    <xdr:sp macro="" textlink="">
      <xdr:nvSpPr>
        <xdr:cNvPr id="29" name="Rectangle: Rounded Corners 28">
          <a:hlinkClick xmlns:r="http://schemas.openxmlformats.org/officeDocument/2006/relationships" r:id="rId10"/>
          <a:extLst>
            <a:ext uri="{FF2B5EF4-FFF2-40B4-BE49-F238E27FC236}">
              <a16:creationId xmlns:a16="http://schemas.microsoft.com/office/drawing/2014/main" id="{8CFD5FD2-1480-4208-B375-4335B1C280BE}"/>
            </a:ext>
          </a:extLst>
        </xdr:cNvPr>
        <xdr:cNvSpPr/>
      </xdr:nvSpPr>
      <xdr:spPr>
        <a:xfrm>
          <a:off x="7826022" y="5300134"/>
          <a:ext cx="2455333" cy="1467556"/>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tx1"/>
              </a:solidFill>
              <a:latin typeface="Arial Black" panose="020B0A04020102020204" pitchFamily="34" charset="0"/>
              <a:ea typeface="+mn-ea"/>
              <a:cs typeface="Segoe UI" panose="020B0502040204020203" pitchFamily="34" charset="0"/>
            </a:rPr>
            <a:t>Fact Table</a:t>
          </a:r>
        </a:p>
      </xdr:txBody>
    </xdr:sp>
    <xdr:clientData/>
  </xdr:twoCellAnchor>
  <xdr:twoCellAnchor>
    <xdr:from>
      <xdr:col>12</xdr:col>
      <xdr:colOff>570087</xdr:colOff>
      <xdr:row>39</xdr:row>
      <xdr:rowOff>47979</xdr:rowOff>
    </xdr:from>
    <xdr:to>
      <xdr:col>16</xdr:col>
      <xdr:colOff>598309</xdr:colOff>
      <xdr:row>47</xdr:row>
      <xdr:rowOff>47979</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E10C4B7B-4458-4AFB-9AB2-9DE7BCB4FE75}"/>
            </a:ext>
          </a:extLst>
        </xdr:cNvPr>
        <xdr:cNvSpPr/>
      </xdr:nvSpPr>
      <xdr:spPr>
        <a:xfrm>
          <a:off x="7851420" y="7752646"/>
          <a:ext cx="2455333" cy="1580444"/>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tx1"/>
              </a:solidFill>
              <a:latin typeface="Arial Black" panose="020B0A04020102020204" pitchFamily="34" charset="0"/>
              <a:ea typeface="+mn-ea"/>
              <a:cs typeface="Segoe UI" panose="020B0502040204020203" pitchFamily="34" charset="0"/>
            </a:rPr>
            <a:t>Dimentions</a:t>
          </a:r>
        </a:p>
      </xdr:txBody>
    </xdr:sp>
    <xdr:clientData/>
  </xdr:twoCellAnchor>
  <xdr:twoCellAnchor>
    <xdr:from>
      <xdr:col>25</xdr:col>
      <xdr:colOff>341393</xdr:colOff>
      <xdr:row>8</xdr:row>
      <xdr:rowOff>70555</xdr:rowOff>
    </xdr:from>
    <xdr:to>
      <xdr:col>32</xdr:col>
      <xdr:colOff>225777</xdr:colOff>
      <xdr:row>14</xdr:row>
      <xdr:rowOff>141582</xdr:rowOff>
    </xdr:to>
    <xdr:sp macro="" textlink="">
      <xdr:nvSpPr>
        <xdr:cNvPr id="25" name="Rectangle: Rounded Corners 24">
          <a:extLst>
            <a:ext uri="{FF2B5EF4-FFF2-40B4-BE49-F238E27FC236}">
              <a16:creationId xmlns:a16="http://schemas.microsoft.com/office/drawing/2014/main" id="{BA4146E0-EC97-4821-88B9-5EF23FBF9B2A}"/>
            </a:ext>
          </a:extLst>
        </xdr:cNvPr>
        <xdr:cNvSpPr/>
      </xdr:nvSpPr>
      <xdr:spPr>
        <a:xfrm>
          <a:off x="15510837" y="1650999"/>
          <a:ext cx="4131829" cy="1256361"/>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tx1"/>
              </a:solidFill>
              <a:effectLst/>
              <a:latin typeface="Segoe UI" panose="020B0502040204020203" pitchFamily="34" charset="0"/>
              <a:ea typeface="+mn-ea"/>
              <a:cs typeface="Segoe UI" panose="020B0502040204020203" pitchFamily="34" charset="0"/>
            </a:rPr>
            <a:t>Unit</a:t>
          </a:r>
          <a:r>
            <a:rPr lang="en-US" sz="3200" baseline="0">
              <a:solidFill>
                <a:schemeClr val="tx1"/>
              </a:solidFill>
              <a:effectLst/>
              <a:latin typeface="Segoe UI" panose="020B0502040204020203" pitchFamily="34" charset="0"/>
              <a:ea typeface="+mn-ea"/>
              <a:cs typeface="Segoe UI" panose="020B0502040204020203" pitchFamily="34" charset="0"/>
            </a:rPr>
            <a:t> Solds</a:t>
          </a:r>
          <a:endParaRPr lang="en-US" sz="3200">
            <a:solidFill>
              <a:schemeClr val="tx1"/>
            </a:solidFill>
            <a:effectLst/>
            <a:latin typeface="Segoe UI" panose="020B0502040204020203" pitchFamily="34" charset="0"/>
            <a:cs typeface="Segoe UI" panose="020B0502040204020203" pitchFamily="34" charset="0"/>
          </a:endParaRPr>
        </a:p>
      </xdr:txBody>
    </xdr:sp>
    <xdr:clientData/>
  </xdr:twoCellAnchor>
  <xdr:oneCellAnchor>
    <xdr:from>
      <xdr:col>28</xdr:col>
      <xdr:colOff>214392</xdr:colOff>
      <xdr:row>11</xdr:row>
      <xdr:rowOff>12518</xdr:rowOff>
    </xdr:from>
    <xdr:ext cx="928607" cy="693037"/>
    <xdr:sp macro="" textlink="'PIVOT TABLE'!K35">
      <xdr:nvSpPr>
        <xdr:cNvPr id="26" name="TextBox 25">
          <a:extLst>
            <a:ext uri="{FF2B5EF4-FFF2-40B4-BE49-F238E27FC236}">
              <a16:creationId xmlns:a16="http://schemas.microsoft.com/office/drawing/2014/main" id="{F791A02D-432D-4FEE-ADD1-517FD6048527}"/>
            </a:ext>
          </a:extLst>
        </xdr:cNvPr>
        <xdr:cNvSpPr txBox="1"/>
      </xdr:nvSpPr>
      <xdr:spPr>
        <a:xfrm>
          <a:off x="17204170" y="2185629"/>
          <a:ext cx="928607" cy="693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ABD4B70-86FA-422B-BE8C-244F6C99848A}" type="TxLink">
            <a:rPr lang="en-US" sz="4000" b="0" i="0" u="none" strike="noStrike">
              <a:solidFill>
                <a:sysClr val="windowText" lastClr="000000"/>
              </a:solidFill>
              <a:latin typeface="Segoe UI" panose="020B0502040204020203" pitchFamily="34" charset="0"/>
              <a:cs typeface="Segoe UI" panose="020B0502040204020203" pitchFamily="34" charset="0"/>
            </a:rPr>
            <a:pPr/>
            <a:t>2K</a:t>
          </a:fld>
          <a:endParaRPr lang="en-US" sz="4000">
            <a:solidFill>
              <a:sysClr val="windowText" lastClr="000000"/>
            </a:solidFill>
            <a:latin typeface="Segoe UI" panose="020B0502040204020203" pitchFamily="34" charset="0"/>
            <a:cs typeface="Segoe UI" panose="020B0502040204020203" pitchFamily="34" charset="0"/>
          </a:endParaRPr>
        </a:p>
      </xdr:txBody>
    </xdr:sp>
    <xdr:clientData/>
  </xdr:oneCellAnchor>
  <xdr:oneCellAnchor>
    <xdr:from>
      <xdr:col>35</xdr:col>
      <xdr:colOff>2008</xdr:colOff>
      <xdr:row>11</xdr:row>
      <xdr:rowOff>24829</xdr:rowOff>
    </xdr:from>
    <xdr:ext cx="1311898" cy="624281"/>
    <xdr:sp macro="" textlink="'PIVOT TABLE'!L38">
      <xdr:nvSpPr>
        <xdr:cNvPr id="33" name="TextBox 32">
          <a:extLst>
            <a:ext uri="{FF2B5EF4-FFF2-40B4-BE49-F238E27FC236}">
              <a16:creationId xmlns:a16="http://schemas.microsoft.com/office/drawing/2014/main" id="{32AC09A6-1515-4236-8F70-253280E1C5DF}"/>
            </a:ext>
          </a:extLst>
        </xdr:cNvPr>
        <xdr:cNvSpPr txBox="1"/>
      </xdr:nvSpPr>
      <xdr:spPr>
        <a:xfrm>
          <a:off x="21239230" y="2197940"/>
          <a:ext cx="1311898" cy="624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8CDAE30-DADA-4740-A066-5F2E21122BDB}" type="TxLink">
            <a:rPr lang="en-US" sz="4000" b="0" i="0" u="none" strike="noStrike">
              <a:solidFill>
                <a:schemeClr val="tx1"/>
              </a:solidFill>
              <a:latin typeface="Segoe UI" panose="020B0502040204020203" pitchFamily="34" charset="0"/>
              <a:cs typeface="Segoe UI" panose="020B0502040204020203" pitchFamily="34" charset="0"/>
            </a:rPr>
            <a:pPr/>
            <a:t>529K</a:t>
          </a:fld>
          <a:endParaRPr lang="en-US" sz="4000">
            <a:solidFill>
              <a:schemeClr val="tx1"/>
            </a:solidFill>
            <a:latin typeface="Segoe UI" panose="020B0502040204020203" pitchFamily="34" charset="0"/>
            <a:cs typeface="Segoe UI" panose="020B0502040204020203" pitchFamily="34" charset="0"/>
          </a:endParaRPr>
        </a:p>
      </xdr:txBody>
    </xdr:sp>
    <xdr:clientData/>
  </xdr:oneCellAnchor>
  <xdr:twoCellAnchor>
    <xdr:from>
      <xdr:col>16</xdr:col>
      <xdr:colOff>296334</xdr:colOff>
      <xdr:row>81</xdr:row>
      <xdr:rowOff>70556</xdr:rowOff>
    </xdr:from>
    <xdr:to>
      <xdr:col>30</xdr:col>
      <xdr:colOff>522111</xdr:colOff>
      <xdr:row>103</xdr:row>
      <xdr:rowOff>42334</xdr:rowOff>
    </xdr:to>
    <xdr:sp macro="" textlink="">
      <xdr:nvSpPr>
        <xdr:cNvPr id="34" name="Rectangle: Rounded Corners 33">
          <a:extLst>
            <a:ext uri="{FF2B5EF4-FFF2-40B4-BE49-F238E27FC236}">
              <a16:creationId xmlns:a16="http://schemas.microsoft.com/office/drawing/2014/main" id="{224FB6AA-5EAA-4857-84D5-A641398A1D76}"/>
            </a:ext>
          </a:extLst>
        </xdr:cNvPr>
        <xdr:cNvSpPr/>
      </xdr:nvSpPr>
      <xdr:spPr>
        <a:xfrm>
          <a:off x="10004778" y="16072556"/>
          <a:ext cx="8720666" cy="4318000"/>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a:solidFill>
                <a:schemeClr val="accent3"/>
              </a:solidFill>
              <a:latin typeface="Segoe UI" panose="020B0502040204020203" pitchFamily="34" charset="0"/>
              <a:ea typeface="+mn-ea"/>
              <a:cs typeface="Segoe UI" panose="020B0502040204020203" pitchFamily="34" charset="0"/>
            </a:rPr>
            <a:t>Business Insights </a:t>
          </a:r>
        </a:p>
        <a:p>
          <a:pPr marL="0" indent="0" algn="ctr"/>
          <a:r>
            <a:rPr lang="en-US" sz="2000">
              <a:solidFill>
                <a:schemeClr val="tx1"/>
              </a:solidFill>
              <a:latin typeface="Segoe UI" panose="020B0502040204020203" pitchFamily="34" charset="0"/>
              <a:ea typeface="+mn-ea"/>
              <a:cs typeface="Segoe UI" panose="020B0502040204020203" pitchFamily="34" charset="0"/>
            </a:rPr>
            <a:t>• Bangalore recorded the highest total sales among all regions, indicating a strong market demand in this area. </a:t>
          </a:r>
        </a:p>
        <a:p>
          <a:pPr marL="0" indent="0" algn="ctr"/>
          <a:r>
            <a:rPr lang="en-US" sz="2000">
              <a:solidFill>
                <a:schemeClr val="tx1"/>
              </a:solidFill>
              <a:latin typeface="Segoe UI" panose="020B0502040204020203" pitchFamily="34" charset="0"/>
              <a:ea typeface="+mn-ea"/>
              <a:cs typeface="Segoe UI" panose="020B0502040204020203" pitchFamily="34" charset="0"/>
            </a:rPr>
            <a:t>• Online sales channels generated significantly higher revenue compared to retail stores, showing the growing importance of e-commerce. </a:t>
          </a:r>
        </a:p>
        <a:p>
          <a:pPr marL="0" indent="0" algn="ctr"/>
          <a:r>
            <a:rPr lang="en-US" sz="2000">
              <a:solidFill>
                <a:schemeClr val="tx1"/>
              </a:solidFill>
              <a:latin typeface="Segoe UI" panose="020B0502040204020203" pitchFamily="34" charset="0"/>
              <a:ea typeface="+mn-ea"/>
              <a:cs typeface="Segoe UI" panose="020B0502040204020203" pitchFamily="34" charset="0"/>
            </a:rPr>
            <a:t>• A small group of products contributes to the majority of total revenue, particularly high-performing items such as ZoomX Invincible and Tempo Legend. </a:t>
          </a:r>
        </a:p>
        <a:p>
          <a:pPr marL="0" indent="0" algn="ctr"/>
          <a:r>
            <a:rPr lang="en-US" sz="2000">
              <a:solidFill>
                <a:schemeClr val="tx1"/>
              </a:solidFill>
              <a:latin typeface="Segoe UI" panose="020B0502040204020203" pitchFamily="34" charset="0"/>
              <a:ea typeface="+mn-ea"/>
              <a:cs typeface="Segoe UI" panose="020B0502040204020203" pitchFamily="34" charset="0"/>
            </a:rPr>
            <a:t>• Sales trends show noticeable fluctuations across months, with a peak in mid-year followed by a decline toward the later months.</a:t>
          </a:r>
        </a:p>
      </xdr:txBody>
    </xdr:sp>
    <xdr:clientData/>
  </xdr:twoCellAnchor>
  <xdr:twoCellAnchor>
    <xdr:from>
      <xdr:col>31</xdr:col>
      <xdr:colOff>70556</xdr:colOff>
      <xdr:row>81</xdr:row>
      <xdr:rowOff>-1</xdr:rowOff>
    </xdr:from>
    <xdr:to>
      <xdr:col>44</xdr:col>
      <xdr:colOff>431095</xdr:colOff>
      <xdr:row>99</xdr:row>
      <xdr:rowOff>56444</xdr:rowOff>
    </xdr:to>
    <xdr:sp macro="" textlink="">
      <xdr:nvSpPr>
        <xdr:cNvPr id="35" name="Rectangle: Rounded Corners 34">
          <a:extLst>
            <a:ext uri="{FF2B5EF4-FFF2-40B4-BE49-F238E27FC236}">
              <a16:creationId xmlns:a16="http://schemas.microsoft.com/office/drawing/2014/main" id="{4F0B5678-9033-495E-A386-549B6BB5D77E}"/>
            </a:ext>
          </a:extLst>
        </xdr:cNvPr>
        <xdr:cNvSpPr/>
      </xdr:nvSpPr>
      <xdr:spPr>
        <a:xfrm>
          <a:off x="18880667" y="16001999"/>
          <a:ext cx="8248650" cy="3612445"/>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a:solidFill>
                <a:schemeClr val="accent3"/>
              </a:solidFill>
              <a:latin typeface="Segoe UI" panose="020B0502040204020203" pitchFamily="34" charset="0"/>
              <a:ea typeface="+mn-ea"/>
              <a:cs typeface="Segoe UI" panose="020B0502040204020203" pitchFamily="34" charset="0"/>
            </a:rPr>
            <a:t> Business Recommendations </a:t>
          </a:r>
        </a:p>
        <a:p>
          <a:pPr marL="0" indent="0" algn="ctr"/>
          <a:r>
            <a:rPr lang="en-US" sz="2000">
              <a:solidFill>
                <a:schemeClr val="tx1"/>
              </a:solidFill>
              <a:latin typeface="Segoe UI" panose="020B0502040204020203" pitchFamily="34" charset="0"/>
              <a:ea typeface="+mn-ea"/>
              <a:cs typeface="Segoe UI" panose="020B0502040204020203" pitchFamily="34" charset="0"/>
            </a:rPr>
            <a:t>• Increase marketing campaigns and promotional activities in low-performing regions to improve market penetration.</a:t>
          </a:r>
        </a:p>
        <a:p>
          <a:pPr marL="0" indent="0" algn="ctr"/>
          <a:r>
            <a:rPr lang="en-US" sz="2000">
              <a:solidFill>
                <a:schemeClr val="tx1"/>
              </a:solidFill>
              <a:latin typeface="Segoe UI" panose="020B0502040204020203" pitchFamily="34" charset="0"/>
              <a:ea typeface="+mn-ea"/>
              <a:cs typeface="Segoe UI" panose="020B0502040204020203" pitchFamily="34" charset="0"/>
            </a:rPr>
            <a:t>• Strengthen the retail sales channel by improving in-store promotions, customer experience, and pricing strategies.</a:t>
          </a:r>
        </a:p>
        <a:p>
          <a:pPr marL="0" indent="0" algn="ctr"/>
          <a:r>
            <a:rPr lang="en-US" sz="2000">
              <a:solidFill>
                <a:schemeClr val="tx1"/>
              </a:solidFill>
              <a:latin typeface="Segoe UI" panose="020B0502040204020203" pitchFamily="34" charset="0"/>
              <a:ea typeface="+mn-ea"/>
              <a:cs typeface="Segoe UI" panose="020B0502040204020203" pitchFamily="34" charset="0"/>
            </a:rPr>
            <a:t>• Diversify the product portfolio and promote mid-performing products to reduce reliance on a few top sellers.</a:t>
          </a:r>
        </a:p>
        <a:p>
          <a:pPr marL="0" indent="0" algn="ctr"/>
          <a:r>
            <a:rPr lang="en-US" sz="2000">
              <a:solidFill>
                <a:schemeClr val="tx1"/>
              </a:solidFill>
              <a:latin typeface="Segoe UI" panose="020B0502040204020203" pitchFamily="34" charset="0"/>
              <a:ea typeface="+mn-ea"/>
              <a:cs typeface="Segoe UI" panose="020B0502040204020203" pitchFamily="34" charset="0"/>
            </a:rPr>
            <a:t>• Conduct deeper analysis on seasonal patterns and customer behavior to stabilize sales performance.</a:t>
          </a:r>
        </a:p>
      </xdr:txBody>
    </xdr:sp>
    <xdr:clientData/>
  </xdr:twoCellAnchor>
  <xdr:twoCellAnchor>
    <xdr:from>
      <xdr:col>22</xdr:col>
      <xdr:colOff>127002</xdr:colOff>
      <xdr:row>11</xdr:row>
      <xdr:rowOff>155224</xdr:rowOff>
    </xdr:from>
    <xdr:to>
      <xdr:col>24</xdr:col>
      <xdr:colOff>592666</xdr:colOff>
      <xdr:row>14</xdr:row>
      <xdr:rowOff>84666</xdr:rowOff>
    </xdr:to>
    <xdr:sp macro="" textlink="'PIVOT TABLE'!K24">
      <xdr:nvSpPr>
        <xdr:cNvPr id="37" name="TextBox 36">
          <a:extLst>
            <a:ext uri="{FF2B5EF4-FFF2-40B4-BE49-F238E27FC236}">
              <a16:creationId xmlns:a16="http://schemas.microsoft.com/office/drawing/2014/main" id="{5EEC072B-26F7-A9E4-2BDA-CADE62AD3229}"/>
            </a:ext>
          </a:extLst>
        </xdr:cNvPr>
        <xdr:cNvSpPr txBox="1"/>
      </xdr:nvSpPr>
      <xdr:spPr>
        <a:xfrm>
          <a:off x="13476113" y="2328335"/>
          <a:ext cx="1679220" cy="5221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0" i="0" u="none" strike="noStrike">
              <a:solidFill>
                <a:schemeClr val="accent3">
                  <a:lumMod val="40000"/>
                  <a:lumOff val="60000"/>
                </a:schemeClr>
              </a:solidFill>
              <a:latin typeface="Aptos Narrow"/>
            </a:rPr>
            <a:t>+</a:t>
          </a:r>
          <a:fld id="{28FEAF01-074C-4351-AE64-1F798019A4EF}" type="TxLink">
            <a:rPr lang="en-US" sz="3200" b="0" i="0" u="none" strike="noStrike">
              <a:solidFill>
                <a:schemeClr val="accent3">
                  <a:lumMod val="40000"/>
                  <a:lumOff val="60000"/>
                </a:schemeClr>
              </a:solidFill>
              <a:latin typeface="Aptos Narrow"/>
            </a:rPr>
            <a:t>38.34%</a:t>
          </a:fld>
          <a:endParaRPr lang="en-US" sz="6600">
            <a:solidFill>
              <a:schemeClr val="accent3">
                <a:lumMod val="40000"/>
                <a:lumOff val="60000"/>
              </a:schemeClr>
            </a:solidFill>
          </a:endParaRPr>
        </a:p>
      </xdr:txBody>
    </xdr:sp>
    <xdr:clientData/>
  </xdr:twoCellAnchor>
  <xdr:twoCellAnchor>
    <xdr:from>
      <xdr:col>40</xdr:col>
      <xdr:colOff>42333</xdr:colOff>
      <xdr:row>8</xdr:row>
      <xdr:rowOff>70556</xdr:rowOff>
    </xdr:from>
    <xdr:to>
      <xdr:col>45</xdr:col>
      <xdr:colOff>578556</xdr:colOff>
      <xdr:row>15</xdr:row>
      <xdr:rowOff>14111</xdr:rowOff>
    </xdr:to>
    <xdr:sp macro="" textlink="">
      <xdr:nvSpPr>
        <xdr:cNvPr id="38" name="Rectangle: Rounded Corners 37">
          <a:extLst>
            <a:ext uri="{FF2B5EF4-FFF2-40B4-BE49-F238E27FC236}">
              <a16:creationId xmlns:a16="http://schemas.microsoft.com/office/drawing/2014/main" id="{E39A14AF-5DEA-F978-1E21-8872EFD4ECAD}"/>
            </a:ext>
          </a:extLst>
        </xdr:cNvPr>
        <xdr:cNvSpPr/>
      </xdr:nvSpPr>
      <xdr:spPr>
        <a:xfrm>
          <a:off x="24313444" y="1651000"/>
          <a:ext cx="3570112" cy="1326444"/>
        </a:xfrm>
        <a:prstGeom prst="roundRect">
          <a:avLst/>
        </a:prstGeom>
        <a:solidFill>
          <a:srgbClr val="FFFFFF"/>
        </a:solidFill>
        <a:ln w="12700">
          <a:solidFill>
            <a:srgbClr val="DCDCDC"/>
          </a:solidFill>
        </a:ln>
        <a:effectLst>
          <a:outerShdw blurRad="63500" dist="37357" dir="2700000" rotWithShape="0">
            <a:scrgbClr r="0" g="0" b="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3200">
              <a:solidFill>
                <a:schemeClr val="tx1"/>
              </a:solidFill>
              <a:effectLst/>
              <a:latin typeface="Segoe UI" panose="020B0502040204020203" pitchFamily="34" charset="0"/>
              <a:ea typeface="+mn-ea"/>
              <a:cs typeface="Segoe UI" panose="020B0502040204020203" pitchFamily="34" charset="0"/>
            </a:rPr>
            <a:t>Profit Margin</a:t>
          </a:r>
        </a:p>
      </xdr:txBody>
    </xdr:sp>
    <xdr:clientData/>
  </xdr:twoCellAnchor>
  <xdr:oneCellAnchor>
    <xdr:from>
      <xdr:col>41</xdr:col>
      <xdr:colOff>352779</xdr:colOff>
      <xdr:row>11</xdr:row>
      <xdr:rowOff>14112</xdr:rowOff>
    </xdr:from>
    <xdr:ext cx="1989666" cy="804332"/>
    <xdr:sp macro="" textlink="'PIVOT TABLE'!K40">
      <xdr:nvSpPr>
        <xdr:cNvPr id="39" name="TextBox 38">
          <a:extLst>
            <a:ext uri="{FF2B5EF4-FFF2-40B4-BE49-F238E27FC236}">
              <a16:creationId xmlns:a16="http://schemas.microsoft.com/office/drawing/2014/main" id="{23FD7EB5-ADC7-0AC7-3533-09CD405D07C9}"/>
            </a:ext>
          </a:extLst>
        </xdr:cNvPr>
        <xdr:cNvSpPr txBox="1"/>
      </xdr:nvSpPr>
      <xdr:spPr>
        <a:xfrm>
          <a:off x="25230668" y="2187223"/>
          <a:ext cx="1989666" cy="804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FA93F94F-82DD-4703-B32E-09D20C4706A9}" type="TxLink">
            <a:rPr lang="en-US" sz="4000" b="0" i="0" u="none" strike="noStrike">
              <a:solidFill>
                <a:schemeClr val="tx1"/>
              </a:solidFill>
              <a:latin typeface="Segoe UI" panose="020B0502040204020203" pitchFamily="34" charset="0"/>
              <a:ea typeface="+mn-ea"/>
              <a:cs typeface="Segoe UI" panose="020B0502040204020203" pitchFamily="34" charset="0"/>
            </a:rPr>
            <a:pPr marL="0" indent="0"/>
            <a:t>19.31%</a:t>
          </a:fld>
          <a:endParaRPr lang="en-US" sz="4000" b="0" i="0" u="none" strike="noStrike">
            <a:solidFill>
              <a:schemeClr val="tx1"/>
            </a:solidFill>
            <a:latin typeface="Segoe UI" panose="020B0502040204020203" pitchFamily="34" charset="0"/>
            <a:ea typeface="+mn-ea"/>
            <a:cs typeface="Segoe UI" panose="020B05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OneDrive/Documents/Excel%20Work/Projects/Project%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5.290600115739" createdVersion="8" refreshedVersion="8" minRefreshableVersion="3" recordCount="1990" xr:uid="{D9CE5C3B-9616-4CF9-8F25-D2297F9D01D9}">
  <cacheSource type="worksheet">
    <worksheetSource name="Nike_Sales_Uncleaned" r:id="rId2"/>
  </cacheSource>
  <cacheFields count="15">
    <cacheField name="Order_ID" numFmtId="0">
      <sharedItems containsSemiMixedTypes="0" containsString="0" containsNumber="1" containsInteger="1" minValue="2000" maxValue="4499"/>
    </cacheField>
    <cacheField name="Gender_Category" numFmtId="0">
      <sharedItems count="3">
        <s v="Kids"/>
        <s v="Women"/>
        <s v="Men"/>
      </sharedItems>
    </cacheField>
    <cacheField name="Product_Line" numFmtId="0">
      <sharedItems count="5">
        <s v="Training"/>
        <s v="Soccer"/>
        <s v="Lifestyle"/>
        <s v="Running"/>
        <s v="Basketball"/>
      </sharedItems>
    </cacheField>
    <cacheField name="Product_Name" numFmtId="0">
      <sharedItems count="20">
        <s v="SuperRep Go"/>
        <s v="Tiempo Legend"/>
        <s v="Premier III"/>
        <s v="Blazer Mid"/>
        <s v="React Infinity"/>
        <s v="Flex Trainer"/>
        <s v="Mercurial Superfly"/>
        <s v="Waffle One"/>
        <s v="Air Jordan"/>
        <s v="Metcon 7"/>
        <s v="Air Zoom"/>
        <s v="Free RN"/>
        <s v="Kyrie Flytrap"/>
        <s v="Zoom Freak"/>
        <s v="ZoomX Invincible"/>
        <s v="Phantom GT"/>
        <s v="Pegasus Turbo"/>
        <s v="Dunk Low"/>
        <s v="Air Force 1"/>
        <s v="LeBron 20"/>
      </sharedItems>
    </cacheField>
    <cacheField name="Size" numFmtId="0">
      <sharedItems/>
    </cacheField>
    <cacheField name="Units_Sold" numFmtId="0">
      <sharedItems containsSemiMixedTypes="0" containsString="0" containsNumber="1" containsInteger="1" minValue="-1" maxValue="4"/>
    </cacheField>
    <cacheField name="MRP" numFmtId="0">
      <sharedItems containsSemiMixedTypes="0" containsString="0" containsNumber="1" minValue="0" maxValue="9996.2199999999993"/>
    </cacheField>
    <cacheField name="Discount_Applied" numFmtId="0">
      <sharedItems containsSemiMixedTypes="0" containsString="0" containsNumber="1" minValue="0" maxValue="1.25"/>
    </cacheField>
    <cacheField name="Revenue" numFmtId="0">
      <sharedItems containsSemiMixedTypes="0" containsString="0" containsNumber="1" minValue="-6492.08" maxValue="37169.35"/>
    </cacheField>
    <cacheField name="Order_Date" numFmtId="14">
      <sharedItems containsSemiMixedTypes="0" containsNonDate="0" containsDate="1" containsString="0" minDate="2023-07-28T00:00:00" maxDate="2025-07-23T00:00:00" count="527">
        <d v="2024-03-09T00:00:00"/>
        <d v="2024-07-09T00:00:00"/>
        <d v="2024-10-04T00:00:00"/>
        <d v="2024-09-12T00:00:00"/>
        <d v="2025-06-04T00:00:00"/>
        <d v="2024-10-11T00:00:00"/>
        <d v="2025-01-16T00:00:00"/>
        <d v="2025-04-12T00:00:00"/>
        <d v="2025-03-17T00:00:00"/>
        <d v="2025-01-17T00:00:00"/>
        <d v="2025-03-28T00:00:00"/>
        <d v="2024-11-19T00:00:00"/>
        <d v="2024-09-24T00:00:00"/>
        <d v="2025-01-10T00:00:00"/>
        <d v="2024-12-28T00:00:00"/>
        <d v="2024-08-10T00:00:00"/>
        <d v="2023-10-28T00:00:00"/>
        <d v="2025-07-14T00:00:00"/>
        <d v="2025-04-11T00:00:00"/>
        <d v="2025-04-30T00:00:00"/>
        <d v="2025-04-22T00:00:00"/>
        <d v="2025-03-07T00:00:00"/>
        <d v="2025-03-05T00:00:00"/>
        <d v="2025-04-19T00:00:00"/>
        <d v="2024-05-02T00:00:00"/>
        <d v="2025-04-06T00:00:00"/>
        <d v="2024-06-13T00:00:00"/>
        <d v="2024-10-27T00:00:00"/>
        <d v="2024-01-05T00:00:00"/>
        <d v="2024-10-08T00:00:00"/>
        <d v="2024-10-02T00:00:00"/>
        <d v="2025-06-23T00:00:00"/>
        <d v="2024-10-26T00:00:00"/>
        <d v="2024-05-31T00:00:00"/>
        <d v="2024-09-14T00:00:00"/>
        <d v="2024-07-11T00:00:00"/>
        <d v="2024-09-10T00:00:00"/>
        <d v="2024-09-06T00:00:00"/>
        <d v="2025-03-02T00:00:00"/>
        <d v="2024-02-11T00:00:00"/>
        <d v="2024-12-10T00:00:00"/>
        <d v="2025-05-06T00:00:00"/>
        <d v="2025-01-12T00:00:00"/>
        <d v="2024-11-03T00:00:00"/>
        <d v="2024-10-13T00:00:00"/>
        <d v="2023-11-21T00:00:00"/>
        <d v="2025-01-19T00:00:00"/>
        <d v="2025-03-31T00:00:00"/>
        <d v="2023-12-24T00:00:00"/>
        <d v="2025-04-26T00:00:00"/>
        <d v="2024-12-02T00:00:00"/>
        <d v="2024-11-10T00:00:00"/>
        <d v="2024-10-16T00:00:00"/>
        <d v="2024-12-24T00:00:00"/>
        <d v="2024-01-24T00:00:00"/>
        <d v="2025-02-01T00:00:00"/>
        <d v="2025-07-11T00:00:00"/>
        <d v="2025-07-03T00:00:00"/>
        <d v="2025-04-10T00:00:00"/>
        <d v="2025-01-08T00:00:00"/>
        <d v="2024-08-30T00:00:00"/>
        <d v="2024-11-15T00:00:00"/>
        <d v="2025-01-29T00:00:00"/>
        <d v="2024-12-25T00:00:00"/>
        <d v="2023-12-19T00:00:00"/>
        <d v="2024-10-30T00:00:00"/>
        <d v="2023-09-21T00:00:00"/>
        <d v="2025-04-05T00:00:00"/>
        <d v="2024-12-14T00:00:00"/>
        <d v="2023-11-20T00:00:00"/>
        <d v="2024-09-15T00:00:00"/>
        <d v="2025-07-04T00:00:00"/>
        <d v="2023-08-19T00:00:00"/>
        <d v="2024-10-10T00:00:00"/>
        <d v="2024-08-06T00:00:00"/>
        <d v="2025-06-14T00:00:00"/>
        <d v="2025-06-19T00:00:00"/>
        <d v="2025-04-28T00:00:00"/>
        <d v="2025-03-10T00:00:00"/>
        <d v="2024-07-30T00:00:00"/>
        <d v="2025-02-15T00:00:00"/>
        <d v="2025-07-06T00:00:00"/>
        <d v="2025-05-27T00:00:00"/>
        <d v="2025-04-01T00:00:00"/>
        <d v="2024-08-31T00:00:00"/>
        <d v="2025-01-28T00:00:00"/>
        <d v="2025-03-01T00:00:00"/>
        <d v="2025-03-06T00:00:00"/>
        <d v="2024-10-23T00:00:00"/>
        <d v="2024-11-11T00:00:00"/>
        <d v="2025-06-28T00:00:00"/>
        <d v="2023-10-29T00:00:00"/>
        <d v="2024-12-17T00:00:00"/>
        <d v="2025-03-29T00:00:00"/>
        <d v="2025-06-27T00:00:00"/>
        <d v="2024-01-26T00:00:00"/>
        <d v="2024-05-15T00:00:00"/>
        <d v="2025-01-06T00:00:00"/>
        <d v="2025-06-08T00:00:00"/>
        <d v="2024-11-09T00:00:00"/>
        <d v="2024-09-28T00:00:00"/>
        <d v="2023-10-13T00:00:00"/>
        <d v="2025-06-30T00:00:00"/>
        <d v="2024-10-06T00:00:00"/>
        <d v="2025-01-05T00:00:00"/>
        <d v="2024-05-10T00:00:00"/>
        <d v="2025-05-17T00:00:00"/>
        <d v="2025-04-24T00:00:00"/>
        <d v="2024-08-09T00:00:00"/>
        <d v="2024-09-23T00:00:00"/>
        <d v="2024-12-16T00:00:00"/>
        <d v="2025-04-15T00:00:00"/>
        <d v="2024-09-09T00:00:00"/>
        <d v="2024-01-06T00:00:00"/>
        <d v="2024-12-21T00:00:00"/>
        <d v="2025-03-26T00:00:00"/>
        <d v="2025-01-04T00:00:00"/>
        <d v="2024-11-17T00:00:00"/>
        <d v="2025-02-26T00:00:00"/>
        <d v="2025-06-26T00:00:00"/>
        <d v="2024-08-04T00:00:00"/>
        <d v="2025-01-22T00:00:00"/>
        <d v="2025-02-19T00:00:00"/>
        <d v="2024-11-07T00:00:00"/>
        <d v="2024-01-16T00:00:00"/>
        <d v="2024-05-28T00:00:00"/>
        <d v="2024-10-01T00:00:00"/>
        <d v="2025-05-18T00:00:00"/>
        <d v="2025-02-09T00:00:00"/>
        <d v="2024-10-20T00:00:00"/>
        <d v="2024-12-12T00:00:00"/>
        <d v="2024-11-23T00:00:00"/>
        <d v="2025-07-19T00:00:00"/>
        <d v="2024-12-20T00:00:00"/>
        <d v="2023-11-16T00:00:00"/>
        <d v="2024-07-14T00:00:00"/>
        <d v="2025-06-06T00:00:00"/>
        <d v="2024-05-03T00:00:00"/>
        <d v="2024-10-21T00:00:00"/>
        <d v="2024-01-30T00:00:00"/>
        <d v="2025-06-13T00:00:00"/>
        <d v="2023-08-29T00:00:00"/>
        <d v="2024-08-03T00:00:00"/>
        <d v="2025-02-13T00:00:00"/>
        <d v="2025-07-13T00:00:00"/>
        <d v="2024-08-21T00:00:00"/>
        <d v="2024-11-05T00:00:00"/>
        <d v="2025-05-13T00:00:00"/>
        <d v="2024-12-31T00:00:00"/>
        <d v="2024-08-17T00:00:00"/>
        <d v="2024-12-29T00:00:00"/>
        <d v="2025-02-27T00:00:00"/>
        <d v="2024-11-28T00:00:00"/>
        <d v="2025-06-18T00:00:00"/>
        <d v="2025-02-23T00:00:00"/>
        <d v="2025-02-04T00:00:00"/>
        <d v="2024-09-25T00:00:00"/>
        <d v="2024-12-09T00:00:00"/>
        <d v="2024-11-12T00:00:00"/>
        <d v="2024-09-13T00:00:00"/>
        <d v="2025-04-04T00:00:00"/>
        <d v="2025-06-29T00:00:00"/>
        <d v="2025-01-23T00:00:00"/>
        <d v="2024-06-10T00:00:00"/>
        <d v="2025-04-07T00:00:00"/>
        <d v="2025-03-21T00:00:00"/>
        <d v="2025-06-05T00:00:00"/>
        <d v="2024-10-22T00:00:00"/>
        <d v="2024-06-06T00:00:00"/>
        <d v="2023-10-22T00:00:00"/>
        <d v="2024-08-07T00:00:00"/>
        <d v="2024-08-19T00:00:00"/>
        <d v="2025-06-20T00:00:00"/>
        <d v="2024-09-21T00:00:00"/>
        <d v="2025-04-29T00:00:00"/>
        <d v="2023-10-25T00:00:00"/>
        <d v="2024-07-29T00:00:00"/>
        <d v="2025-03-24T00:00:00"/>
        <d v="2024-10-03T00:00:00"/>
        <d v="2024-07-26T00:00:00"/>
        <d v="2025-02-17T00:00:00"/>
        <d v="2025-02-24T00:00:00"/>
        <d v="2024-12-07T00:00:00"/>
        <d v="2025-07-01T00:00:00"/>
        <d v="2025-05-08T00:00:00"/>
        <d v="2023-08-04T00:00:00"/>
        <d v="2024-09-22T00:00:00"/>
        <d v="2023-08-13T00:00:00"/>
        <d v="2024-11-04T00:00:00"/>
        <d v="2024-04-09T00:00:00"/>
        <d v="2024-10-12T00:00:00"/>
        <d v="2024-09-02T00:00:00"/>
        <d v="2025-05-24T00:00:00"/>
        <d v="2023-08-18T00:00:00"/>
        <d v="2025-07-08T00:00:00"/>
        <d v="2025-06-09T00:00:00"/>
        <d v="2023-12-27T00:00:00"/>
        <d v="2024-10-09T00:00:00"/>
        <d v="2024-08-24T00:00:00"/>
        <d v="2024-01-25T00:00:00"/>
        <d v="2023-09-17T00:00:00"/>
        <d v="2023-12-30T00:00:00"/>
        <d v="2024-07-22T00:00:00"/>
        <d v="2024-04-11T00:00:00"/>
        <d v="2024-12-30T00:00:00"/>
        <d v="2025-05-25T00:00:00"/>
        <d v="2025-07-09T00:00:00"/>
        <d v="2025-02-11T00:00:00"/>
        <d v="2024-04-01T00:00:00"/>
        <d v="2024-07-31T00:00:00"/>
        <d v="2024-11-24T00:00:00"/>
        <d v="2025-03-03T00:00:00"/>
        <d v="2025-01-26T00:00:00"/>
        <d v="2025-03-15T00:00:00"/>
        <d v="2024-05-04T00:00:00"/>
        <d v="2023-09-30T00:00:00"/>
        <d v="2025-02-25T00:00:00"/>
        <d v="2024-04-20T00:00:00"/>
        <d v="2024-06-30T00:00:00"/>
        <d v="2025-03-22T00:00:00"/>
        <d v="2023-11-05T00:00:00"/>
        <d v="2025-05-21T00:00:00"/>
        <d v="2025-01-07T00:00:00"/>
        <d v="2024-09-30T00:00:00"/>
        <d v="2024-08-20T00:00:00"/>
        <d v="2025-04-17T00:00:00"/>
        <d v="2025-05-10T00:00:00"/>
        <d v="2024-11-26T00:00:00"/>
        <d v="2025-05-28T00:00:00"/>
        <d v="2023-11-29T00:00:00"/>
        <d v="2024-06-07T00:00:00"/>
        <d v="2023-09-10T00:00:00"/>
        <d v="2025-01-20T00:00:00"/>
        <d v="2024-03-13T00:00:00"/>
        <d v="2025-05-26T00:00:00"/>
        <d v="2024-07-03T00:00:00"/>
        <d v="2024-02-13T00:00:00"/>
        <d v="2024-11-21T00:00:00"/>
        <d v="2025-02-18T00:00:00"/>
        <d v="2024-08-01T00:00:00"/>
        <d v="2024-03-18T00:00:00"/>
        <d v="2025-06-10T00:00:00"/>
        <d v="2025-04-09T00:00:00"/>
        <d v="2024-01-31T00:00:00"/>
        <d v="2025-01-25T00:00:00"/>
        <d v="2025-05-30T00:00:00"/>
        <d v="2025-01-09T00:00:00"/>
        <d v="2025-05-19T00:00:00"/>
        <d v="2025-04-23T00:00:00"/>
        <d v="2023-09-08T00:00:00"/>
        <d v="2025-05-03T00:00:00"/>
        <d v="2025-01-13T00:00:00"/>
        <d v="2025-02-10T00:00:00"/>
        <d v="2024-03-25T00:00:00"/>
        <d v="2025-04-13T00:00:00"/>
        <d v="2023-08-07T00:00:00"/>
        <d v="2024-09-18T00:00:00"/>
        <d v="2023-11-28T00:00:00"/>
        <d v="2024-12-06T00:00:00"/>
        <d v="2024-09-03T00:00:00"/>
        <d v="2024-09-17T00:00:00"/>
        <d v="2024-02-23T00:00:00"/>
        <d v="2024-09-27T00:00:00"/>
        <d v="2025-03-18T00:00:00"/>
        <d v="2023-08-10T00:00:00"/>
        <d v="2024-08-05T00:00:00"/>
        <d v="2024-01-22T00:00:00"/>
        <d v="2024-05-19T00:00:00"/>
        <d v="2025-04-08T00:00:00"/>
        <d v="2025-02-05T00:00:00"/>
        <d v="2025-04-21T00:00:00"/>
        <d v="2023-12-31T00:00:00"/>
        <d v="2024-03-10T00:00:00"/>
        <d v="2024-02-28T00:00:00"/>
        <d v="2025-04-20T00:00:00"/>
        <d v="2025-06-25T00:00:00"/>
        <d v="2024-08-02T00:00:00"/>
        <d v="2024-11-27T00:00:00"/>
        <d v="2024-07-21T00:00:00"/>
        <d v="2025-05-12T00:00:00"/>
        <d v="2025-06-17T00:00:00"/>
        <d v="2024-12-11T00:00:00"/>
        <d v="2025-03-23T00:00:00"/>
        <d v="2025-06-15T00:00:00"/>
        <d v="2024-07-05T00:00:00"/>
        <d v="2024-08-28T00:00:00"/>
        <d v="2025-06-12T00:00:00"/>
        <d v="2025-05-22T00:00:00"/>
        <d v="2024-07-12T00:00:00"/>
        <d v="2024-06-02T00:00:00"/>
        <d v="2025-05-11T00:00:00"/>
        <d v="2024-07-25T00:00:00"/>
        <d v="2024-11-22T00:00:00"/>
        <d v="2025-02-21T00:00:00"/>
        <d v="2024-11-29T00:00:00"/>
        <d v="2025-06-24T00:00:00"/>
        <d v="2024-10-14T00:00:00"/>
        <d v="2025-03-08T00:00:00"/>
        <d v="2023-11-11T00:00:00"/>
        <d v="2025-01-15T00:00:00"/>
        <d v="2024-11-14T00:00:00"/>
        <d v="2024-08-14T00:00:00"/>
        <d v="2025-03-09T00:00:00"/>
        <d v="2025-01-03T00:00:00"/>
        <d v="2025-07-21T00:00:00"/>
        <d v="2024-08-22T00:00:00"/>
        <d v="2025-04-02T00:00:00"/>
        <d v="2023-09-03T00:00:00"/>
        <d v="2024-01-04T00:00:00"/>
        <d v="2024-01-15T00:00:00"/>
        <d v="2024-05-29T00:00:00"/>
        <d v="2023-11-08T00:00:00"/>
        <d v="2025-03-13T00:00:00"/>
        <d v="2024-01-19T00:00:00"/>
        <d v="2023-11-02T00:00:00"/>
        <d v="2023-08-28T00:00:00"/>
        <d v="2024-02-10T00:00:00"/>
        <d v="2025-01-24T00:00:00"/>
        <d v="2024-10-07T00:00:00"/>
        <d v="2025-07-10T00:00:00"/>
        <d v="2024-07-27T00:00:00"/>
        <d v="2024-11-02T00:00:00"/>
        <d v="2025-01-27T00:00:00"/>
        <d v="2024-09-05T00:00:00"/>
        <d v="2024-07-17T00:00:00"/>
        <d v="2025-07-22T00:00:00"/>
        <d v="2025-04-25T00:00:00"/>
        <d v="2024-10-29T00:00:00"/>
        <d v="2024-11-16T00:00:00"/>
        <d v="2025-02-06T00:00:00"/>
        <d v="2023-10-12T00:00:00"/>
        <d v="2024-08-25T00:00:00"/>
        <d v="2025-02-20T00:00:00"/>
        <d v="2024-10-05T00:00:00"/>
        <d v="2024-01-08T00:00:00"/>
        <d v="2024-03-04T00:00:00"/>
        <d v="2024-09-16T00:00:00"/>
        <d v="2025-02-03T00:00:00"/>
        <d v="2024-02-25T00:00:00"/>
        <d v="2024-09-01T00:00:00"/>
        <d v="2025-05-23T00:00:00"/>
        <d v="2024-11-20T00:00:00"/>
        <d v="2023-09-26T00:00:00"/>
        <d v="2025-07-15T00:00:00"/>
        <d v="2023-10-26T00:00:00"/>
        <d v="2024-03-07T00:00:00"/>
        <d v="2025-03-25T00:00:00"/>
        <d v="2024-09-07T00:00:00"/>
        <d v="2023-08-25T00:00:00"/>
        <d v="2024-03-14T00:00:00"/>
        <d v="2024-05-13T00:00:00"/>
        <d v="2025-01-14T00:00:00"/>
        <d v="2025-05-02T00:00:00"/>
        <d v="2025-04-16T00:00:00"/>
        <d v="2024-12-04T00:00:00"/>
        <d v="2025-07-05T00:00:00"/>
        <d v="2024-10-31T00:00:00"/>
        <d v="2025-06-07T00:00:00"/>
        <d v="2024-08-08T00:00:00"/>
        <d v="2024-02-14T00:00:00"/>
        <d v="2024-10-24T00:00:00"/>
        <d v="2023-08-03T00:00:00"/>
        <d v="2024-08-15T00:00:00"/>
        <d v="2025-06-16T00:00:00"/>
        <d v="2025-05-14T00:00:00"/>
        <d v="2025-03-12T00:00:00"/>
        <d v="2024-10-25T00:00:00"/>
        <d v="2023-10-11T00:00:00"/>
        <d v="2024-10-15T00:00:00"/>
        <d v="2024-03-17T00:00:00"/>
        <d v="2024-08-12T00:00:00"/>
        <d v="2025-07-17T00:00:00"/>
        <d v="2025-06-22T00:00:00"/>
        <d v="2024-07-28T00:00:00"/>
        <d v="2023-08-01T00:00:00"/>
        <d v="2024-03-01T00:00:00"/>
        <d v="2024-03-05T00:00:00"/>
        <d v="2024-08-26T00:00:00"/>
        <d v="2024-01-10T00:00:00"/>
        <d v="2024-08-11T00:00:00"/>
        <d v="2024-08-29T00:00:00"/>
        <d v="2025-05-31T00:00:00"/>
        <d v="2025-02-16T00:00:00"/>
        <d v="2025-04-14T00:00:00"/>
        <d v="2024-11-30T00:00:00"/>
        <d v="2025-03-27T00:00:00"/>
        <d v="2025-05-16T00:00:00"/>
        <d v="2024-04-15T00:00:00"/>
        <d v="2023-11-19T00:00:00"/>
        <d v="2024-08-23T00:00:00"/>
        <d v="2023-09-11T00:00:00"/>
        <d v="2025-02-02T00:00:00"/>
        <d v="2025-01-11T00:00:00"/>
        <d v="2024-02-24T00:00:00"/>
        <d v="2025-02-28T00:00:00"/>
        <d v="2025-05-15T00:00:00"/>
        <d v="2023-11-14T00:00:00"/>
        <d v="2024-09-19T00:00:00"/>
        <d v="2025-02-08T00:00:00"/>
        <d v="2025-03-16T00:00:00"/>
        <d v="2023-10-21T00:00:00"/>
        <d v="2025-03-11T00:00:00"/>
        <d v="2024-09-11T00:00:00"/>
        <d v="2024-02-20T00:00:00"/>
        <d v="2023-08-14T00:00:00"/>
        <d v="2024-09-29T00:00:00"/>
        <d v="2023-12-20T00:00:00"/>
        <d v="2024-08-16T00:00:00"/>
        <d v="2024-05-27T00:00:00"/>
        <d v="2024-03-26T00:00:00"/>
        <d v="2024-12-26T00:00:00"/>
        <d v="2024-12-03T00:00:00"/>
        <d v="2025-06-03T00:00:00"/>
        <d v="2024-02-04T00:00:00"/>
        <d v="2024-10-18T00:00:00"/>
        <d v="2025-02-07T00:00:00"/>
        <d v="2024-12-18T00:00:00"/>
        <d v="2024-10-19T00:00:00"/>
        <d v="2025-04-18T00:00:00"/>
        <d v="2024-04-25T00:00:00"/>
        <d v="2024-11-06T00:00:00"/>
        <d v="2024-04-28T00:00:00"/>
        <d v="2024-03-23T00:00:00"/>
        <d v="2024-09-26T00:00:00"/>
        <d v="2024-11-01T00:00:00"/>
        <d v="2024-12-15T00:00:00"/>
        <d v="2025-06-21T00:00:00"/>
        <d v="2023-08-27T00:00:00"/>
        <d v="2025-01-18T00:00:00"/>
        <d v="2024-09-08T00:00:00"/>
        <d v="2023-07-31T00:00:00"/>
        <d v="2025-01-21T00:00:00"/>
        <d v="2024-03-06T00:00:00"/>
        <d v="2025-03-30T00:00:00"/>
        <d v="2024-01-18T00:00:00"/>
        <d v="2025-01-02T00:00:00"/>
        <d v="2025-06-11T00:00:00"/>
        <d v="2024-12-05T00:00:00"/>
        <d v="2023-10-15T00:00:00"/>
        <d v="2024-08-18T00:00:00"/>
        <d v="2024-11-13T00:00:00"/>
        <d v="2024-08-13T00:00:00"/>
        <d v="2024-12-08T00:00:00"/>
        <d v="2023-11-09T00:00:00"/>
        <d v="2024-03-22T00:00:00"/>
        <d v="2024-06-09T00:00:00"/>
        <d v="2024-05-07T00:00:00"/>
        <d v="2024-12-01T00:00:00"/>
        <d v="2024-09-04T00:00:00"/>
        <d v="2023-08-02T00:00:00"/>
        <d v="2024-07-24T00:00:00"/>
        <d v="2024-08-27T00:00:00"/>
        <d v="2024-12-23T00:00:00"/>
        <d v="2025-03-19T00:00:00"/>
        <d v="2024-11-08T00:00:00"/>
        <d v="2023-09-05T00:00:00"/>
        <d v="2025-02-14T00:00:00"/>
        <d v="2025-03-14T00:00:00"/>
        <d v="2025-05-29T00:00:00"/>
        <d v="2025-05-20T00:00:00"/>
        <d v="2024-01-07T00:00:00"/>
        <d v="2024-07-23T00:00:00"/>
        <d v="2025-07-02T00:00:00"/>
        <d v="2024-11-18T00:00:00"/>
        <d v="2025-03-04T00:00:00"/>
        <d v="2024-02-22T00:00:00"/>
        <d v="2024-02-03T00:00:00"/>
        <d v="2024-02-21T00:00:00"/>
        <d v="2025-07-07T00:00:00"/>
        <d v="2024-09-20T00:00:00"/>
        <d v="2024-01-03T00:00:00"/>
        <d v="2025-05-09T00:00:00"/>
        <d v="2025-03-20T00:00:00"/>
        <d v="2025-01-31T00:00:00"/>
        <d v="2023-11-17T00:00:00"/>
        <d v="2025-05-01T00:00:00"/>
        <d v="2025-04-27T00:00:00"/>
        <d v="2024-06-08T00:00:00"/>
        <d v="2025-05-07T00:00:00"/>
        <d v="2024-06-12T00:00:00"/>
        <d v="2023-07-28T00:00:00"/>
        <d v="2024-04-27T00:00:00"/>
        <d v="2023-12-21T00:00:00"/>
        <d v="2023-12-15T00:00:00"/>
        <d v="2024-03-30T00:00:00"/>
        <d v="2024-06-25T00:00:00"/>
        <d v="2023-08-08T00:00:00"/>
        <d v="2024-12-13T00:00:00"/>
        <d v="2023-09-22T00:00:00"/>
        <d v="2024-03-28T00:00:00"/>
        <d v="2025-01-01T00:00:00"/>
        <d v="2025-04-03T00:00:00"/>
        <d v="2024-04-03T00:00:00"/>
        <d v="2024-03-19T00:00:00"/>
        <d v="2025-07-16T00:00:00"/>
        <d v="2024-05-25T00:00:00"/>
        <d v="2023-11-25T00:00:00"/>
        <d v="2023-10-16T00:00:00"/>
        <d v="2025-07-20T00:00:00"/>
        <d v="2025-07-18T00:00:00"/>
        <d v="2024-05-20T00:00:00"/>
        <d v="2023-09-02T00:00:00"/>
        <d v="2025-06-01T00:00:00"/>
        <d v="2024-10-28T00:00:00"/>
        <d v="2023-09-23T00:00:00"/>
        <d v="2023-12-03T00:00:00"/>
        <d v="2023-07-29T00:00:00"/>
        <d v="2024-05-26T00:00:00"/>
        <d v="2024-01-11T00:00:00"/>
        <d v="2024-02-08T00:00:00"/>
        <d v="2024-07-07T00:00:00"/>
        <d v="2023-08-16T00:00:00"/>
        <d v="2023-11-22T00:00:00"/>
        <d v="2025-05-04T00:00:00"/>
        <d v="2024-05-30T00:00:00"/>
        <d v="2023-12-13T00:00:00"/>
        <d v="2024-06-29T00:00:00"/>
        <d v="2024-11-25T00:00:00"/>
        <d v="2023-09-29T00:00:00"/>
        <d v="2023-09-04T00:00:00"/>
        <d v="2024-05-05T00:00:00"/>
        <d v="2024-05-22T00:00:00"/>
        <d v="2023-12-16T00:00:00"/>
        <d v="2023-11-27T00:00:00"/>
        <d v="2025-05-05T00:00:00"/>
        <d v="2024-07-16T00:00:00"/>
        <d v="2025-02-12T00:00:00"/>
      </sharedItems>
      <fieldGroup par="14"/>
    </cacheField>
    <cacheField name="Sales_Channel" numFmtId="0">
      <sharedItems count="2">
        <s v="Online"/>
        <s v="Retail"/>
      </sharedItems>
    </cacheField>
    <cacheField name="Region" numFmtId="0">
      <sharedItems count="6">
        <s v="Bangalore"/>
        <s v="Hyderabad"/>
        <s v="Mumbai"/>
        <s v="Pune"/>
        <s v="Delhi"/>
        <s v="Kolkata"/>
      </sharedItems>
    </cacheField>
    <cacheField name="Profit" numFmtId="0">
      <sharedItems containsSemiMixedTypes="0" containsString="0" containsNumber="1" minValue="-1199.45" maxValue="3999.21"/>
    </cacheField>
    <cacheField name="Months (Order_Date)" numFmtId="0" databaseField="0">
      <fieldGroup base="9">
        <rangePr groupBy="months" startDate="2023-07-28T00:00:00" endDate="2025-07-23T00:00:00"/>
        <groupItems count="14">
          <s v="&lt;7/28/2023"/>
          <s v="Jan"/>
          <s v="Feb"/>
          <s v="Mar"/>
          <s v="Apr"/>
          <s v="May"/>
          <s v="Jun"/>
          <s v="Jul"/>
          <s v="Aug"/>
          <s v="Sep"/>
          <s v="Oct"/>
          <s v="Nov"/>
          <s v="Dec"/>
          <s v="&gt;7/23/2025"/>
        </groupItems>
      </fieldGroup>
    </cacheField>
    <cacheField name="Years (Order_Date)" numFmtId="0" databaseField="0">
      <fieldGroup base="9">
        <rangePr groupBy="years" startDate="2023-07-28T00:00:00" endDate="2025-07-23T00:00:00"/>
        <groupItems count="5">
          <s v="&lt;7/28/2023"/>
          <s v="2023"/>
          <s v="2024"/>
          <s v="2025"/>
          <s v="&gt;7/23/2025"/>
        </groupItems>
      </fieldGroup>
    </cacheField>
  </cacheFields>
  <extLst>
    <ext xmlns:x14="http://schemas.microsoft.com/office/spreadsheetml/2009/9/main" uri="{725AE2AE-9491-48be-B2B4-4EB974FC3084}">
      <x14:pivotCacheDefinition pivotCacheId="2584724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7.228043518517" backgroundQuery="1" createdVersion="8" refreshedVersion="8" minRefreshableVersion="3" recordCount="0" supportSubquery="1" supportAdvancedDrill="1" xr:uid="{93DA128D-5DE4-48D2-80A2-16CC992774B9}">
  <cacheSource type="external" connectionId="8"/>
  <cacheFields count="3">
    <cacheField name="[DImDate].[Order_Date (Year)].[Order_Date (Year)]" caption="Order_Date (Year)" numFmtId="0" hierarchy="3" level="1">
      <sharedItems count="3">
        <s v="2023"/>
        <s v="2024"/>
        <s v="2025"/>
      </sharedItems>
    </cacheField>
    <cacheField name="[Measures].[Sum of Revenue]" caption="Sum of Revenue" numFmtId="0" hierarchy="36" level="32767"/>
    <cacheField name="[Measures].[Sum of Profit]" caption="Sum of Profit" numFmtId="0" hierarchy="37" level="32767"/>
  </cacheFields>
  <cacheHierarchies count="38">
    <cacheHierarchy uniqueName="[DimChannel].[Sales_Channel]" caption="Sales_Channel" attribute="1" defaultMemberUniqueName="[DimChannel].[Sales_Channel].[All]" allUniqueName="[DimChannel].[Sales_Channel].[All]" dimensionUniqueName="[DimChannel]" displayFolder="" count="0" memberValueDatatype="130" unbalanced="0"/>
    <cacheHierarchy uniqueName="[DimCustomer].[Gender_Category]" caption="Gender_Category" attribute="1" defaultMemberUniqueName="[DimCustomer].[Gender_Category].[All]" allUniqueName="[DimCustomer].[Gender_Category].[All]" dimensionUniqueName="[DimCustomer]" displayFolder="" count="0" memberValueDatatype="130" unbalanced="0"/>
    <cacheHierarchy uniqueName="[DImDate].[Order_Date]" caption="Order_Date" attribute="1" time="1" defaultMemberUniqueName="[DImDate].[Order_Date].[All]" allUniqueName="[DImDate].[Order_Date].[All]" dimensionUniqueName="[DImDate]" displayFolder="" count="0" memberValueDatatype="7" unbalanced="0"/>
    <cacheHierarchy uniqueName="[DImDate].[Order_Date (Year)]" caption="Order_Date (Year)" attribute="1" defaultMemberUniqueName="[DImDate].[Order_Date (Year)].[All]" allUniqueName="[DImDate].[Order_Date (Year)].[All]" dimensionUniqueName="[DImDate]" displayFolder="" count="2" memberValueDatatype="130" unbalanced="0">
      <fieldsUsage count="2">
        <fieldUsage x="-1"/>
        <fieldUsage x="0"/>
      </fieldsUsage>
    </cacheHierarchy>
    <cacheHierarchy uniqueName="[DImDate].[Order_Date (Quarter)]" caption="Order_Date (Quarter)" attribute="1" defaultMemberUniqueName="[DImDate].[Order_Date (Quarter)].[All]" allUniqueName="[DImDate].[Order_Date (Quarter)].[All]" dimensionUniqueName="[DImDate]" displayFolder="" count="0" memberValueDatatype="130" unbalanced="0"/>
    <cacheHierarchy uniqueName="[DImDate].[Order_Date (Month)]" caption="Order_Date (Month)" attribute="1" defaultMemberUniqueName="[DImDate].[Order_Date (Month)].[All]" allUniqueName="[DImDate].[Order_Date (Month)].[All]" dimensionUniqueName="[DImDate]" displayFolder="" count="0" memberValueDatatype="130" unbalanced="0"/>
    <cacheHierarchy uniqueName="[DimProduct].[Product_Name]" caption="Product_Name" attribute="1" defaultMemberUniqueName="[DimProduct].[Product_Name].[All]" allUniqueName="[DimProduct].[Product_Name].[All]" dimensionUniqueName="[DimProduct]" displayFolder="" count="0" memberValueDatatype="130" unbalanced="0"/>
    <cacheHierarchy uniqueName="[DimProduct].[Product_Line]" caption="Product_Line" attribute="1" defaultMemberUniqueName="[DimProduct].[Product_Line].[All]" allUniqueName="[DimProduct].[Product_Lin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MRP]" caption="MRP" attribute="1" defaultMemberUniqueName="[DimProduct].[MRP].[All]" allUniqueName="[DimProduct].[MRP].[All]" dimensionUniqueName="[DimProduct]" displayFolder="" count="0" memberValueDatatype="5" unbalanced="0"/>
    <cacheHierarchy uniqueName="[DimProfitability].[Profit]" caption="Profit" attribute="1" defaultMemberUniqueName="[DimProfitability].[Profit].[All]" allUniqueName="[DimProfitability].[Profit].[All]" dimensionUniqueName="[DimProfitability]" displayFolder="" count="0" memberValueDatatype="5" unbalanced="0"/>
    <cacheHierarchy uniqueName="[DimProfitability].[Status]" caption="Status" attribute="1" defaultMemberUniqueName="[DimProfitability].[Status].[All]" allUniqueName="[DimProfitability].[Status].[All]" dimensionUniqueName="[DimProfitability]"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Fact_Table].[Order_ID]" caption="Order_ID" attribute="1" defaultMemberUniqueName="[Fact_Table].[Order_ID].[All]" allUniqueName="[Fact_Table].[Order_ID].[All]" dimensionUniqueName="[Fact_Table]" displayFolder="" count="0" memberValueDatatype="20" unbalanced="0"/>
    <cacheHierarchy uniqueName="[Fact_Table].[Gender_Category]" caption="Gender_Category" attribute="1" defaultMemberUniqueName="[Fact_Table].[Gender_Category].[All]" allUniqueName="[Fact_Table].[Gender_Category].[All]" dimensionUniqueName="[Fact_Table]" displayFolder="" count="0" memberValueDatatype="130" unbalanced="0"/>
    <cacheHierarchy uniqueName="[Fact_Table].[Product_Line]" caption="Product_Line" attribute="1" defaultMemberUniqueName="[Fact_Table].[Product_Line].[All]" allUniqueName="[Fact_Table].[Product_Line].[All]" dimensionUniqueName="[Fact_Table]" displayFolder="" count="0" memberValueDatatype="130" unbalanced="0"/>
    <cacheHierarchy uniqueName="[Fact_Table].[Product_Name]" caption="Product_Name" attribute="1" defaultMemberUniqueName="[Fact_Table].[Product_Name].[All]" allUniqueName="[Fact_Table].[Product_Name].[All]" dimensionUniqueName="[Fact_Table]" displayFolder="" count="0" memberValueDatatype="130" unbalanced="0"/>
    <cacheHierarchy uniqueName="[Fact_Table].[Size]" caption="Size" attribute="1" defaultMemberUniqueName="[Fact_Table].[Size].[All]" allUniqueName="[Fact_Table].[Size].[All]" dimensionUniqueName="[Fact_Table]" displayFolder="" count="0" memberValueDatatype="130" unbalanced="0"/>
    <cacheHierarchy uniqueName="[Fact_Table].[Units_Sold]" caption="Units_Sold" attribute="1" defaultMemberUniqueName="[Fact_Table].[Units_Sold].[All]" allUniqueName="[Fact_Table].[Units_Sold].[All]" dimensionUniqueName="[Fact_Table]" displayFolder="" count="0" memberValueDatatype="20" unbalanced="0"/>
    <cacheHierarchy uniqueName="[Fact_Table].[MRP]" caption="MRP" attribute="1" defaultMemberUniqueName="[Fact_Table].[MRP].[All]" allUniqueName="[Fact_Table].[MRP].[All]" dimensionUniqueName="[Fact_Table]" displayFolder="" count="0" memberValueDatatype="5" unbalanced="0"/>
    <cacheHierarchy uniqueName="[Fact_Table].[Discount_Applied]" caption="Discount_Applied" attribute="1" defaultMemberUniqueName="[Fact_Table].[Discount_Applied].[All]" allUniqueName="[Fact_Table].[Discount_Applied].[All]" dimensionUniqueName="[Fact_Table]" displayFolder="" count="0" memberValueDatatype="5" unbalanced="0"/>
    <cacheHierarchy uniqueName="[Fact_Table].[Revenue]" caption="Revenue" attribute="1" defaultMemberUniqueName="[Fact_Table].[Revenue].[All]" allUniqueName="[Fact_Table].[Revenue].[All]" dimensionUniqueName="[Fact_Table]" displayFolder="" count="0" memberValueDatatype="5" unbalanced="0"/>
    <cacheHierarchy uniqueName="[Fact_Table].[Order_Date]" caption="Order_Date" attribute="1" time="1" defaultMemberUniqueName="[Fact_Table].[Order_Date].[All]" allUniqueName="[Fact_Table].[Order_Date].[All]" dimensionUniqueName="[Fact_Table]" displayFolder="" count="0" memberValueDatatype="7" unbalanced="0"/>
    <cacheHierarchy uniqueName="[Fact_Table].[Sales_Channel]" caption="Sales_Channel" attribute="1" defaultMemberUniqueName="[Fact_Table].[Sales_Channel].[All]" allUniqueName="[Fact_Table].[Sales_Channel].[All]" dimensionUniqueName="[Fact_Table]" displayFolder="" count="0" memberValueDatatype="130" unbalanced="0"/>
    <cacheHierarchy uniqueName="[Fact_Table].[Region]" caption="Region" attribute="1" defaultMemberUniqueName="[Fact_Table].[Region].[All]" allUniqueName="[Fact_Table].[Region].[All]" dimensionUniqueName="[Fact_Table]" displayFolder="" count="0" memberValueDatatype="130" unbalanced="0"/>
    <cacheHierarchy uniqueName="[Fact_Table].[Profit]" caption="Profit" attribute="1" defaultMemberUniqueName="[Fact_Table].[Profit].[All]" allUniqueName="[Fact_Table].[Profit].[All]" dimensionUniqueName="[Fact_Table]" displayFolder="" count="0" memberValueDatatype="5" unbalanced="0"/>
    <cacheHierarchy uniqueName="[DImDate].[Order_Date (Month Index)]" caption="Order_Date (Month Index)" attribute="1" defaultMemberUniqueName="[DImDate].[Order_Date (Month Index)].[All]" allUniqueName="[DImDate].[Order_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_Table]" caption="__XL_Count Fact_Table" measure="1" displayFolder="" measureGroup="Fact_Table" count="0" hidden="1"/>
    <cacheHierarchy uniqueName="[Measures].[__XL_Count DimProduct_1]" caption="__XL_Count DimProduct_1" measure="1" displayFolder="" measureGroup="DimProduct" count="0" hidden="1"/>
    <cacheHierarchy uniqueName="[Measures].[__XL_Count DimChannel]" caption="__XL_Count DimChannel" measure="1" displayFolder="" measureGroup="DimChannel" count="0" hidden="1"/>
    <cacheHierarchy uniqueName="[Measures].[__XL_Count Table9]" caption="__XL_Count Table9" measure="1" displayFolder="" measureGroup="DimRegion" count="0" hidden="1"/>
    <cacheHierarchy uniqueName="[Measures].[__XL_Count DimCustomer]" caption="__XL_Count DimCustomer" measure="1" displayFolder="" measureGroup="DimCustomer" count="0" hidden="1"/>
    <cacheHierarchy uniqueName="[Measures].[__XL_Count DimProfitability]" caption="__XL_Count DimProfitability" measure="1" displayFolder="" measureGroup="DimProfitability" count="0" hidden="1"/>
    <cacheHierarchy uniqueName="[Measures].[__No measures defined]" caption="__No measures defined" measure="1" displayFolder="" count="0" hidden="1"/>
    <cacheHierarchy uniqueName="[Measures].[Count of Order_Date (Year)]" caption="Count of Order_Date (Year)" measure="1" displayFolder="" measureGroup="DImDat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Fact_Tabl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DimProfitability"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8">
    <dimension name="DimChannel" uniqueName="[DimChannel]" caption="DimChannel"/>
    <dimension name="DimCustomer" uniqueName="[DimCustomer]" caption="DimCustomer"/>
    <dimension name="DImDate" uniqueName="[DImDate]" caption="DImDate"/>
    <dimension name="DimProduct" uniqueName="[DimProduct]" caption="DimProduct"/>
    <dimension name="DimProfitability" uniqueName="[DimProfitability]" caption="DimProfitability"/>
    <dimension name="DimRegion" uniqueName="[DimRegion]" caption="DimRegion"/>
    <dimension name="Fact_Table" uniqueName="[Fact_Table]" caption="Fact_Table"/>
    <dimension measure="1" name="Measures" uniqueName="[Measures]" caption="Measures"/>
  </dimensions>
  <measureGroups count="7">
    <measureGroup name="DimChannel" caption="DimChannel"/>
    <measureGroup name="DimCustomer" caption="DimCustomer"/>
    <measureGroup name="DImDate" caption="DImDate"/>
    <measureGroup name="DimProduct" caption="DimProduct"/>
    <measureGroup name="DimProfitability" caption="DimProfitability"/>
    <measureGroup name="DimRegion" caption="DimRegion"/>
    <measureGroup name="Fact_Table" caption="Fact_Table"/>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7.262780324076" backgroundQuery="1" createdVersion="8" refreshedVersion="8" minRefreshableVersion="3" recordCount="0" supportSubquery="1" supportAdvancedDrill="1" xr:uid="{186311BA-BBE2-4B50-996B-041FFB2D45B7}">
  <cacheSource type="external" connectionId="8"/>
  <cacheFields count="3">
    <cacheField name="[DImDate].[Order_Date (Month)].[Order_Date (Month)]" caption="Order_Date (Month)" numFmtId="0" hierarchy="5" level="1">
      <sharedItems count="12">
        <s v="Jan"/>
        <s v="Feb"/>
        <s v="Mar"/>
        <s v="Apr"/>
        <s v="May"/>
        <s v="Jun"/>
        <s v="Jul"/>
        <s v="Aug"/>
        <s v="Sep"/>
        <s v="Oct"/>
        <s v="Nov"/>
        <s v="Dec"/>
      </sharedItems>
    </cacheField>
    <cacheField name="[DImDate].[Order_Date (Year)].[Order_Date (Year)]" caption="Order_Date (Year)" numFmtId="0" hierarchy="3" level="1">
      <sharedItems count="2">
        <s v="2024"/>
        <s v="2025"/>
      </sharedItems>
    </cacheField>
    <cacheField name="[Measures].[Sum of Revenue]" caption="Sum of Revenue" numFmtId="0" hierarchy="36" level="32767"/>
  </cacheFields>
  <cacheHierarchies count="38">
    <cacheHierarchy uniqueName="[DimChannel].[Sales_Channel]" caption="Sales_Channel" attribute="1" defaultMemberUniqueName="[DimChannel].[Sales_Channel].[All]" allUniqueName="[DimChannel].[Sales_Channel].[All]" dimensionUniqueName="[DimChannel]" displayFolder="" count="0" memberValueDatatype="130" unbalanced="0"/>
    <cacheHierarchy uniqueName="[DimCustomer].[Gender_Category]" caption="Gender_Category" attribute="1" defaultMemberUniqueName="[DimCustomer].[Gender_Category].[All]" allUniqueName="[DimCustomer].[Gender_Category].[All]" dimensionUniqueName="[DimCustomer]" displayFolder="" count="0" memberValueDatatype="130" unbalanced="0"/>
    <cacheHierarchy uniqueName="[DImDate].[Order_Date]" caption="Order_Date" attribute="1" time="1" defaultMemberUniqueName="[DImDate].[Order_Date].[All]" allUniqueName="[DImDate].[Order_Date].[All]" dimensionUniqueName="[DImDate]" displayFolder="" count="0" memberValueDatatype="7" unbalanced="0"/>
    <cacheHierarchy uniqueName="[DImDate].[Order_Date (Year)]" caption="Order_Date (Year)" attribute="1" defaultMemberUniqueName="[DImDate].[Order_Date (Year)].[All]" allUniqueName="[DImDate].[Order_Date (Year)].[All]" dimensionUniqueName="[DImDate]" displayFolder="" count="2" memberValueDatatype="130" unbalanced="0">
      <fieldsUsage count="2">
        <fieldUsage x="-1"/>
        <fieldUsage x="1"/>
      </fieldsUsage>
    </cacheHierarchy>
    <cacheHierarchy uniqueName="[DImDate].[Order_Date (Quarter)]" caption="Order_Date (Quarter)" attribute="1" defaultMemberUniqueName="[DImDate].[Order_Date (Quarter)].[All]" allUniqueName="[DImDate].[Order_Date (Quarter)].[All]" dimensionUniqueName="[DImDate]" displayFolder="" count="0" memberValueDatatype="130" unbalanced="0"/>
    <cacheHierarchy uniqueName="[DImDate].[Order_Date (Month)]" caption="Order_Date (Month)" attribute="1" defaultMemberUniqueName="[DImDate].[Order_Date (Month)].[All]" allUniqueName="[DImDate].[Order_Date (Month)].[All]" dimensionUniqueName="[DImDate]" displayFolder="" count="2" memberValueDatatype="130" unbalanced="0">
      <fieldsUsage count="2">
        <fieldUsage x="-1"/>
        <fieldUsage x="0"/>
      </fieldsUsage>
    </cacheHierarchy>
    <cacheHierarchy uniqueName="[DimProduct].[Product_Name]" caption="Product_Name" attribute="1" defaultMemberUniqueName="[DimProduct].[Product_Name].[All]" allUniqueName="[DimProduct].[Product_Name].[All]" dimensionUniqueName="[DimProduct]" displayFolder="" count="0" memberValueDatatype="130" unbalanced="0"/>
    <cacheHierarchy uniqueName="[DimProduct].[Product_Line]" caption="Product_Line" attribute="1" defaultMemberUniqueName="[DimProduct].[Product_Line].[All]" allUniqueName="[DimProduct].[Product_Lin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MRP]" caption="MRP" attribute="1" defaultMemberUniqueName="[DimProduct].[MRP].[All]" allUniqueName="[DimProduct].[MRP].[All]" dimensionUniqueName="[DimProduct]" displayFolder="" count="0" memberValueDatatype="5" unbalanced="0"/>
    <cacheHierarchy uniqueName="[DimProfitability].[Profit]" caption="Profit" attribute="1" defaultMemberUniqueName="[DimProfitability].[Profit].[All]" allUniqueName="[DimProfitability].[Profit].[All]" dimensionUniqueName="[DimProfitability]" displayFolder="" count="0" memberValueDatatype="5" unbalanced="0"/>
    <cacheHierarchy uniqueName="[DimProfitability].[Status]" caption="Status" attribute="1" defaultMemberUniqueName="[DimProfitability].[Status].[All]" allUniqueName="[DimProfitability].[Status].[All]" dimensionUniqueName="[DimProfitability]"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Fact_Table].[Order_ID]" caption="Order_ID" attribute="1" defaultMemberUniqueName="[Fact_Table].[Order_ID].[All]" allUniqueName="[Fact_Table].[Order_ID].[All]" dimensionUniqueName="[Fact_Table]" displayFolder="" count="0" memberValueDatatype="20" unbalanced="0"/>
    <cacheHierarchy uniqueName="[Fact_Table].[Gender_Category]" caption="Gender_Category" attribute="1" defaultMemberUniqueName="[Fact_Table].[Gender_Category].[All]" allUniqueName="[Fact_Table].[Gender_Category].[All]" dimensionUniqueName="[Fact_Table]" displayFolder="" count="0" memberValueDatatype="130" unbalanced="0"/>
    <cacheHierarchy uniqueName="[Fact_Table].[Product_Line]" caption="Product_Line" attribute="1" defaultMemberUniqueName="[Fact_Table].[Product_Line].[All]" allUniqueName="[Fact_Table].[Product_Line].[All]" dimensionUniqueName="[Fact_Table]" displayFolder="" count="0" memberValueDatatype="130" unbalanced="0"/>
    <cacheHierarchy uniqueName="[Fact_Table].[Product_Name]" caption="Product_Name" attribute="1" defaultMemberUniqueName="[Fact_Table].[Product_Name].[All]" allUniqueName="[Fact_Table].[Product_Name].[All]" dimensionUniqueName="[Fact_Table]" displayFolder="" count="0" memberValueDatatype="130" unbalanced="0"/>
    <cacheHierarchy uniqueName="[Fact_Table].[Size]" caption="Size" attribute="1" defaultMemberUniqueName="[Fact_Table].[Size].[All]" allUniqueName="[Fact_Table].[Size].[All]" dimensionUniqueName="[Fact_Table]" displayFolder="" count="0" memberValueDatatype="130" unbalanced="0"/>
    <cacheHierarchy uniqueName="[Fact_Table].[Units_Sold]" caption="Units_Sold" attribute="1" defaultMemberUniqueName="[Fact_Table].[Units_Sold].[All]" allUniqueName="[Fact_Table].[Units_Sold].[All]" dimensionUniqueName="[Fact_Table]" displayFolder="" count="0" memberValueDatatype="20" unbalanced="0"/>
    <cacheHierarchy uniqueName="[Fact_Table].[MRP]" caption="MRP" attribute="1" defaultMemberUniqueName="[Fact_Table].[MRP].[All]" allUniqueName="[Fact_Table].[MRP].[All]" dimensionUniqueName="[Fact_Table]" displayFolder="" count="0" memberValueDatatype="5" unbalanced="0"/>
    <cacheHierarchy uniqueName="[Fact_Table].[Discount_Applied]" caption="Discount_Applied" attribute="1" defaultMemberUniqueName="[Fact_Table].[Discount_Applied].[All]" allUniqueName="[Fact_Table].[Discount_Applied].[All]" dimensionUniqueName="[Fact_Table]" displayFolder="" count="0" memberValueDatatype="5" unbalanced="0"/>
    <cacheHierarchy uniqueName="[Fact_Table].[Revenue]" caption="Revenue" attribute="1" defaultMemberUniqueName="[Fact_Table].[Revenue].[All]" allUniqueName="[Fact_Table].[Revenue].[All]" dimensionUniqueName="[Fact_Table]" displayFolder="" count="0" memberValueDatatype="5" unbalanced="0"/>
    <cacheHierarchy uniqueName="[Fact_Table].[Order_Date]" caption="Order_Date" attribute="1" time="1" defaultMemberUniqueName="[Fact_Table].[Order_Date].[All]" allUniqueName="[Fact_Table].[Order_Date].[All]" dimensionUniqueName="[Fact_Table]" displayFolder="" count="0" memberValueDatatype="7" unbalanced="0"/>
    <cacheHierarchy uniqueName="[Fact_Table].[Sales_Channel]" caption="Sales_Channel" attribute="1" defaultMemberUniqueName="[Fact_Table].[Sales_Channel].[All]" allUniqueName="[Fact_Table].[Sales_Channel].[All]" dimensionUniqueName="[Fact_Table]" displayFolder="" count="0" memberValueDatatype="130" unbalanced="0"/>
    <cacheHierarchy uniqueName="[Fact_Table].[Region]" caption="Region" attribute="1" defaultMemberUniqueName="[Fact_Table].[Region].[All]" allUniqueName="[Fact_Table].[Region].[All]" dimensionUniqueName="[Fact_Table]" displayFolder="" count="0" memberValueDatatype="130" unbalanced="0"/>
    <cacheHierarchy uniqueName="[Fact_Table].[Profit]" caption="Profit" attribute="1" defaultMemberUniqueName="[Fact_Table].[Profit].[All]" allUniqueName="[Fact_Table].[Profit].[All]" dimensionUniqueName="[Fact_Table]" displayFolder="" count="0" memberValueDatatype="5" unbalanced="0"/>
    <cacheHierarchy uniqueName="[DImDate].[Order_Date (Month Index)]" caption="Order_Date (Month Index)" attribute="1" defaultMemberUniqueName="[DImDate].[Order_Date (Month Index)].[All]" allUniqueName="[DImDate].[Order_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_Table]" caption="__XL_Count Fact_Table" measure="1" displayFolder="" measureGroup="Fact_Table" count="0" hidden="1"/>
    <cacheHierarchy uniqueName="[Measures].[__XL_Count DimProduct_1]" caption="__XL_Count DimProduct_1" measure="1" displayFolder="" measureGroup="DimProduct" count="0" hidden="1"/>
    <cacheHierarchy uniqueName="[Measures].[__XL_Count DimChannel]" caption="__XL_Count DimChannel" measure="1" displayFolder="" measureGroup="DimChannel" count="0" hidden="1"/>
    <cacheHierarchy uniqueName="[Measures].[__XL_Count Table9]" caption="__XL_Count Table9" measure="1" displayFolder="" measureGroup="DimRegion" count="0" hidden="1"/>
    <cacheHierarchy uniqueName="[Measures].[__XL_Count DimCustomer]" caption="__XL_Count DimCustomer" measure="1" displayFolder="" measureGroup="DimCustomer" count="0" hidden="1"/>
    <cacheHierarchy uniqueName="[Measures].[__XL_Count DimProfitability]" caption="__XL_Count DimProfitability" measure="1" displayFolder="" measureGroup="DimProfitability" count="0" hidden="1"/>
    <cacheHierarchy uniqueName="[Measures].[__No measures defined]" caption="__No measures defined" measure="1" displayFolder="" count="0" hidden="1"/>
    <cacheHierarchy uniqueName="[Measures].[Count of Order_Date (Year)]" caption="Count of Order_Date (Year)" measure="1" displayFolder="" measureGroup="DImDat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Fact_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DimProfitability" count="0" hidden="1">
      <extLst>
        <ext xmlns:x15="http://schemas.microsoft.com/office/spreadsheetml/2010/11/main" uri="{B97F6D7D-B522-45F9-BDA1-12C45D357490}">
          <x15:cacheHierarchy aggregatedColumn="10"/>
        </ext>
      </extLst>
    </cacheHierarchy>
  </cacheHierarchies>
  <kpis count="0"/>
  <dimensions count="8">
    <dimension name="DimChannel" uniqueName="[DimChannel]" caption="DimChannel"/>
    <dimension name="DimCustomer" uniqueName="[DimCustomer]" caption="DimCustomer"/>
    <dimension name="DImDate" uniqueName="[DImDate]" caption="DImDate"/>
    <dimension name="DimProduct" uniqueName="[DimProduct]" caption="DimProduct"/>
    <dimension name="DimProfitability" uniqueName="[DimProfitability]" caption="DimProfitability"/>
    <dimension name="DimRegion" uniqueName="[DimRegion]" caption="DimRegion"/>
    <dimension name="Fact_Table" uniqueName="[Fact_Table]" caption="Fact_Table"/>
    <dimension measure="1" name="Measures" uniqueName="[Measures]" caption="Measures"/>
  </dimensions>
  <measureGroups count="7">
    <measureGroup name="DimChannel" caption="DimChannel"/>
    <measureGroup name="DimCustomer" caption="DimCustomer"/>
    <measureGroup name="DImDate" caption="DImDate"/>
    <measureGroup name="DimProduct" caption="DimProduct"/>
    <measureGroup name="DimProfitability" caption="DimProfitability"/>
    <measureGroup name="DimRegion" caption="DimRegion"/>
    <measureGroup name="Fact_Table" caption="Fact_Table"/>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0">
  <r>
    <n v="2000"/>
    <x v="0"/>
    <x v="0"/>
    <x v="0"/>
    <s v="M"/>
    <n v="0"/>
    <n v="0"/>
    <n v="0.47"/>
    <n v="0"/>
    <x v="0"/>
    <x v="0"/>
    <x v="0"/>
    <n v="-770.45"/>
  </r>
  <r>
    <n v="2001"/>
    <x v="1"/>
    <x v="1"/>
    <x v="1"/>
    <s v="M"/>
    <n v="3"/>
    <n v="4957.93"/>
    <n v="0"/>
    <n v="0"/>
    <x v="1"/>
    <x v="1"/>
    <x v="1"/>
    <n v="-112.53"/>
  </r>
  <r>
    <n v="2002"/>
    <x v="1"/>
    <x v="1"/>
    <x v="2"/>
    <s v="M"/>
    <n v="4"/>
    <n v="0"/>
    <n v="0"/>
    <n v="0"/>
    <x v="1"/>
    <x v="1"/>
    <x v="2"/>
    <n v="3337.34"/>
  </r>
  <r>
    <n v="2003"/>
    <x v="0"/>
    <x v="2"/>
    <x v="3"/>
    <s v="L"/>
    <n v="0"/>
    <n v="9673.57"/>
    <n v="0"/>
    <n v="0"/>
    <x v="2"/>
    <x v="0"/>
    <x v="3"/>
    <n v="3376.85"/>
  </r>
  <r>
    <n v="2004"/>
    <x v="0"/>
    <x v="3"/>
    <x v="4"/>
    <s v="XL"/>
    <n v="0"/>
    <n v="0"/>
    <n v="0"/>
    <n v="0"/>
    <x v="3"/>
    <x v="1"/>
    <x v="4"/>
    <n v="187.89"/>
  </r>
  <r>
    <n v="2005"/>
    <x v="1"/>
    <x v="0"/>
    <x v="5"/>
    <s v="M"/>
    <n v="1"/>
    <n v="7363.96"/>
    <n v="0"/>
    <n v="0"/>
    <x v="3"/>
    <x v="1"/>
    <x v="4"/>
    <n v="1415.98"/>
  </r>
  <r>
    <n v="2006"/>
    <x v="2"/>
    <x v="0"/>
    <x v="0"/>
    <s v="M"/>
    <n v="0"/>
    <n v="6819.78"/>
    <n v="0"/>
    <n v="0"/>
    <x v="4"/>
    <x v="0"/>
    <x v="0"/>
    <n v="1802.09"/>
  </r>
  <r>
    <n v="2007"/>
    <x v="0"/>
    <x v="0"/>
    <x v="0"/>
    <s v="M"/>
    <n v="1"/>
    <n v="0"/>
    <n v="0.32"/>
    <n v="0"/>
    <x v="4"/>
    <x v="1"/>
    <x v="0"/>
    <n v="2928.36"/>
  </r>
  <r>
    <n v="2008"/>
    <x v="1"/>
    <x v="1"/>
    <x v="2"/>
    <s v="M"/>
    <n v="-1"/>
    <n v="0"/>
    <n v="0"/>
    <n v="0"/>
    <x v="5"/>
    <x v="0"/>
    <x v="1"/>
    <n v="-731.18"/>
  </r>
  <r>
    <n v="2009"/>
    <x v="2"/>
    <x v="1"/>
    <x v="6"/>
    <s v="M"/>
    <n v="4"/>
    <n v="0"/>
    <n v="0"/>
    <n v="0"/>
    <x v="5"/>
    <x v="0"/>
    <x v="3"/>
    <n v="3929.61"/>
  </r>
  <r>
    <n v="2010"/>
    <x v="0"/>
    <x v="2"/>
    <x v="7"/>
    <s v="L"/>
    <n v="1"/>
    <n v="7949.83"/>
    <n v="0"/>
    <n v="0"/>
    <x v="6"/>
    <x v="0"/>
    <x v="3"/>
    <n v="1965.56"/>
  </r>
  <r>
    <n v="2011"/>
    <x v="1"/>
    <x v="0"/>
    <x v="5"/>
    <s v="L"/>
    <n v="-1"/>
    <n v="9586.08"/>
    <n v="0"/>
    <n v="0"/>
    <x v="6"/>
    <x v="1"/>
    <x v="1"/>
    <n v="1667.08"/>
  </r>
  <r>
    <n v="2014"/>
    <x v="1"/>
    <x v="3"/>
    <x v="4"/>
    <s v="M"/>
    <n v="0"/>
    <n v="0"/>
    <n v="0"/>
    <n v="0"/>
    <x v="7"/>
    <x v="0"/>
    <x v="0"/>
    <n v="-1044.4000000000001"/>
  </r>
  <r>
    <n v="2016"/>
    <x v="1"/>
    <x v="4"/>
    <x v="8"/>
    <s v="M"/>
    <n v="1"/>
    <n v="9871.75"/>
    <n v="0.3"/>
    <n v="6910.22"/>
    <x v="7"/>
    <x v="1"/>
    <x v="1"/>
    <n v="2452.69"/>
  </r>
  <r>
    <n v="2017"/>
    <x v="1"/>
    <x v="4"/>
    <x v="8"/>
    <s v="M"/>
    <n v="4"/>
    <n v="0"/>
    <n v="0"/>
    <n v="0"/>
    <x v="8"/>
    <x v="1"/>
    <x v="4"/>
    <n v="1946.24"/>
  </r>
  <r>
    <n v="2018"/>
    <x v="2"/>
    <x v="0"/>
    <x v="9"/>
    <s v="XL"/>
    <n v="0"/>
    <n v="0"/>
    <n v="1.17"/>
    <n v="0"/>
    <x v="8"/>
    <x v="0"/>
    <x v="0"/>
    <n v="-966.89"/>
  </r>
  <r>
    <n v="2019"/>
    <x v="0"/>
    <x v="3"/>
    <x v="10"/>
    <s v="M"/>
    <n v="0"/>
    <n v="3424.06"/>
    <n v="0.32"/>
    <n v="0"/>
    <x v="9"/>
    <x v="0"/>
    <x v="1"/>
    <n v="1915.24"/>
  </r>
  <r>
    <n v="2020"/>
    <x v="0"/>
    <x v="1"/>
    <x v="1"/>
    <s v="L"/>
    <n v="-1"/>
    <n v="0"/>
    <n v="0.67"/>
    <n v="0"/>
    <x v="10"/>
    <x v="1"/>
    <x v="2"/>
    <n v="439.96"/>
  </r>
  <r>
    <n v="2021"/>
    <x v="2"/>
    <x v="3"/>
    <x v="11"/>
    <s v="L"/>
    <n v="-1"/>
    <n v="7086.7"/>
    <n v="0.66"/>
    <n v="-2409.48"/>
    <x v="11"/>
    <x v="1"/>
    <x v="1"/>
    <n v="-1120.49"/>
  </r>
  <r>
    <n v="2022"/>
    <x v="1"/>
    <x v="1"/>
    <x v="2"/>
    <s v="M"/>
    <n v="0"/>
    <n v="0"/>
    <n v="0"/>
    <n v="0"/>
    <x v="12"/>
    <x v="0"/>
    <x v="3"/>
    <n v="3427.16"/>
  </r>
  <r>
    <n v="2023"/>
    <x v="2"/>
    <x v="2"/>
    <x v="7"/>
    <s v="M"/>
    <n v="0"/>
    <n v="5003.95"/>
    <n v="0"/>
    <n v="0"/>
    <x v="13"/>
    <x v="0"/>
    <x v="2"/>
    <n v="1498.37"/>
  </r>
  <r>
    <n v="2024"/>
    <x v="0"/>
    <x v="0"/>
    <x v="0"/>
    <s v="XL"/>
    <n v="0"/>
    <n v="0"/>
    <n v="0.5"/>
    <n v="0"/>
    <x v="14"/>
    <x v="1"/>
    <x v="0"/>
    <n v="1842.35"/>
  </r>
  <r>
    <n v="2025"/>
    <x v="1"/>
    <x v="4"/>
    <x v="12"/>
    <s v="M"/>
    <n v="3"/>
    <n v="9820.5"/>
    <n v="0"/>
    <n v="0"/>
    <x v="14"/>
    <x v="1"/>
    <x v="2"/>
    <n v="1900.15"/>
  </r>
  <r>
    <n v="2026"/>
    <x v="0"/>
    <x v="2"/>
    <x v="3"/>
    <s v="XL"/>
    <n v="1"/>
    <n v="0"/>
    <n v="0.16"/>
    <n v="0"/>
    <x v="15"/>
    <x v="1"/>
    <x v="5"/>
    <n v="2301.64"/>
  </r>
  <r>
    <n v="2027"/>
    <x v="2"/>
    <x v="4"/>
    <x v="13"/>
    <s v="XL"/>
    <n v="0"/>
    <n v="0"/>
    <n v="0.22"/>
    <n v="0"/>
    <x v="15"/>
    <x v="0"/>
    <x v="3"/>
    <n v="-138.74"/>
  </r>
  <r>
    <n v="2028"/>
    <x v="2"/>
    <x v="0"/>
    <x v="5"/>
    <s v="M"/>
    <n v="0"/>
    <n v="3270.23"/>
    <n v="0"/>
    <n v="0"/>
    <x v="15"/>
    <x v="1"/>
    <x v="4"/>
    <n v="-946.86"/>
  </r>
  <r>
    <n v="2029"/>
    <x v="2"/>
    <x v="0"/>
    <x v="14"/>
    <s v="M"/>
    <n v="0"/>
    <n v="0"/>
    <n v="0"/>
    <n v="0"/>
    <x v="16"/>
    <x v="0"/>
    <x v="0"/>
    <n v="-185.67"/>
  </r>
  <r>
    <n v="2030"/>
    <x v="2"/>
    <x v="1"/>
    <x v="15"/>
    <s v="XL"/>
    <n v="0"/>
    <n v="0"/>
    <n v="1.05"/>
    <n v="0"/>
    <x v="17"/>
    <x v="1"/>
    <x v="1"/>
    <n v="-122.93"/>
  </r>
  <r>
    <n v="2032"/>
    <x v="1"/>
    <x v="2"/>
    <x v="3"/>
    <s v="XL"/>
    <n v="1"/>
    <n v="0"/>
    <n v="1.07"/>
    <n v="0"/>
    <x v="18"/>
    <x v="1"/>
    <x v="2"/>
    <n v="-555.16"/>
  </r>
  <r>
    <n v="2033"/>
    <x v="2"/>
    <x v="1"/>
    <x v="6"/>
    <s v="XL"/>
    <n v="-1"/>
    <n v="0"/>
    <n v="0"/>
    <n v="0"/>
    <x v="18"/>
    <x v="1"/>
    <x v="5"/>
    <n v="-1005.71"/>
  </r>
  <r>
    <n v="2034"/>
    <x v="2"/>
    <x v="4"/>
    <x v="8"/>
    <s v="M"/>
    <n v="0"/>
    <n v="6235.71"/>
    <n v="0"/>
    <n v="0"/>
    <x v="19"/>
    <x v="1"/>
    <x v="4"/>
    <n v="-267.37"/>
  </r>
  <r>
    <n v="2037"/>
    <x v="0"/>
    <x v="3"/>
    <x v="16"/>
    <s v="M"/>
    <n v="3"/>
    <n v="5653.14"/>
    <n v="1.01"/>
    <n v="-169.59"/>
    <x v="19"/>
    <x v="1"/>
    <x v="3"/>
    <n v="2776.96"/>
  </r>
  <r>
    <n v="2039"/>
    <x v="1"/>
    <x v="0"/>
    <x v="5"/>
    <s v="M"/>
    <n v="0"/>
    <n v="2767.7"/>
    <n v="0.63"/>
    <n v="0"/>
    <x v="20"/>
    <x v="1"/>
    <x v="1"/>
    <n v="-336.3"/>
  </r>
  <r>
    <n v="2002"/>
    <x v="1"/>
    <x v="4"/>
    <x v="13"/>
    <s v="XL"/>
    <n v="3"/>
    <n v="5075.22"/>
    <n v="0"/>
    <n v="0"/>
    <x v="21"/>
    <x v="1"/>
    <x v="4"/>
    <n v="145.08000000000001"/>
  </r>
  <r>
    <n v="2041"/>
    <x v="0"/>
    <x v="1"/>
    <x v="1"/>
    <s v="M"/>
    <n v="0"/>
    <n v="5553.88"/>
    <n v="0"/>
    <n v="0"/>
    <x v="22"/>
    <x v="0"/>
    <x v="1"/>
    <n v="2371.66"/>
  </r>
  <r>
    <n v="2042"/>
    <x v="1"/>
    <x v="4"/>
    <x v="12"/>
    <s v="L"/>
    <n v="0"/>
    <n v="0"/>
    <n v="0"/>
    <n v="0"/>
    <x v="23"/>
    <x v="0"/>
    <x v="1"/>
    <n v="-862.16"/>
  </r>
  <r>
    <n v="2043"/>
    <x v="2"/>
    <x v="1"/>
    <x v="2"/>
    <s v="XL"/>
    <n v="0"/>
    <n v="3492.89"/>
    <n v="0.77"/>
    <n v="0"/>
    <x v="24"/>
    <x v="1"/>
    <x v="4"/>
    <n v="3770.75"/>
  </r>
  <r>
    <n v="2045"/>
    <x v="0"/>
    <x v="2"/>
    <x v="17"/>
    <s v="XL"/>
    <n v="4"/>
    <n v="0"/>
    <n v="0"/>
    <n v="0"/>
    <x v="25"/>
    <x v="1"/>
    <x v="4"/>
    <n v="1833.94"/>
  </r>
  <r>
    <n v="2046"/>
    <x v="0"/>
    <x v="3"/>
    <x v="10"/>
    <s v="M"/>
    <n v="0"/>
    <n v="0"/>
    <n v="1.04"/>
    <n v="0"/>
    <x v="25"/>
    <x v="0"/>
    <x v="5"/>
    <n v="1284.33"/>
  </r>
  <r>
    <n v="2047"/>
    <x v="1"/>
    <x v="0"/>
    <x v="0"/>
    <s v="M"/>
    <n v="1"/>
    <n v="8577.75"/>
    <n v="0"/>
    <n v="0"/>
    <x v="26"/>
    <x v="1"/>
    <x v="0"/>
    <n v="2888.68"/>
  </r>
  <r>
    <n v="2048"/>
    <x v="1"/>
    <x v="4"/>
    <x v="8"/>
    <s v="XL"/>
    <n v="0"/>
    <n v="0"/>
    <n v="0"/>
    <n v="0"/>
    <x v="27"/>
    <x v="0"/>
    <x v="0"/>
    <n v="2875.86"/>
  </r>
  <r>
    <n v="2049"/>
    <x v="0"/>
    <x v="1"/>
    <x v="1"/>
    <s v="L"/>
    <n v="1"/>
    <n v="7767.2"/>
    <n v="0"/>
    <n v="0"/>
    <x v="27"/>
    <x v="1"/>
    <x v="3"/>
    <n v="311.48"/>
  </r>
  <r>
    <n v="2050"/>
    <x v="2"/>
    <x v="3"/>
    <x v="10"/>
    <s v="L"/>
    <n v="1"/>
    <n v="0"/>
    <n v="0.56999999999999995"/>
    <n v="0"/>
    <x v="27"/>
    <x v="1"/>
    <x v="5"/>
    <n v="682.12"/>
  </r>
  <r>
    <n v="2051"/>
    <x v="1"/>
    <x v="4"/>
    <x v="8"/>
    <s v="XL"/>
    <n v="0"/>
    <n v="0"/>
    <n v="0.37"/>
    <n v="0"/>
    <x v="28"/>
    <x v="1"/>
    <x v="4"/>
    <n v="3135.98"/>
  </r>
  <r>
    <n v="2052"/>
    <x v="2"/>
    <x v="0"/>
    <x v="5"/>
    <s v="M"/>
    <n v="3"/>
    <n v="9155.9599999999991"/>
    <n v="0"/>
    <n v="0"/>
    <x v="29"/>
    <x v="1"/>
    <x v="3"/>
    <n v="2184.8000000000002"/>
  </r>
  <r>
    <n v="2053"/>
    <x v="2"/>
    <x v="2"/>
    <x v="18"/>
    <s v="XL"/>
    <n v="3"/>
    <n v="6009.58"/>
    <n v="0"/>
    <n v="0"/>
    <x v="30"/>
    <x v="0"/>
    <x v="4"/>
    <n v="3384.92"/>
  </r>
  <r>
    <n v="2054"/>
    <x v="1"/>
    <x v="0"/>
    <x v="5"/>
    <s v="M"/>
    <n v="-1"/>
    <n v="0"/>
    <n v="0"/>
    <n v="0"/>
    <x v="31"/>
    <x v="0"/>
    <x v="2"/>
    <n v="-549.76"/>
  </r>
  <r>
    <n v="2055"/>
    <x v="2"/>
    <x v="4"/>
    <x v="12"/>
    <s v="L"/>
    <n v="0"/>
    <n v="0"/>
    <n v="0"/>
    <n v="0"/>
    <x v="32"/>
    <x v="0"/>
    <x v="1"/>
    <n v="-1078.76"/>
  </r>
  <r>
    <n v="2056"/>
    <x v="2"/>
    <x v="3"/>
    <x v="4"/>
    <s v="L"/>
    <n v="3"/>
    <n v="0"/>
    <n v="0"/>
    <n v="0"/>
    <x v="33"/>
    <x v="1"/>
    <x v="0"/>
    <n v="-244.44"/>
  </r>
  <r>
    <n v="2048"/>
    <x v="2"/>
    <x v="2"/>
    <x v="7"/>
    <s v="M"/>
    <n v="3"/>
    <n v="6216.29"/>
    <n v="0.94"/>
    <n v="1118.93"/>
    <x v="34"/>
    <x v="0"/>
    <x v="2"/>
    <n v="-642.02"/>
  </r>
  <r>
    <n v="2058"/>
    <x v="1"/>
    <x v="0"/>
    <x v="5"/>
    <s v="M"/>
    <n v="0"/>
    <n v="4985.92"/>
    <n v="0"/>
    <n v="0"/>
    <x v="34"/>
    <x v="0"/>
    <x v="5"/>
    <n v="361.54"/>
  </r>
  <r>
    <n v="2060"/>
    <x v="2"/>
    <x v="2"/>
    <x v="7"/>
    <s v="L"/>
    <n v="2"/>
    <n v="7979.26"/>
    <n v="0"/>
    <n v="0"/>
    <x v="35"/>
    <x v="0"/>
    <x v="0"/>
    <n v="2821.59"/>
  </r>
  <r>
    <n v="2061"/>
    <x v="1"/>
    <x v="4"/>
    <x v="19"/>
    <s v="L"/>
    <n v="0"/>
    <n v="0"/>
    <n v="0"/>
    <n v="0"/>
    <x v="36"/>
    <x v="0"/>
    <x v="2"/>
    <n v="-501.68"/>
  </r>
  <r>
    <n v="2063"/>
    <x v="1"/>
    <x v="4"/>
    <x v="8"/>
    <s v="M"/>
    <n v="1"/>
    <n v="9751"/>
    <n v="0.16"/>
    <n v="8190.84"/>
    <x v="37"/>
    <x v="1"/>
    <x v="3"/>
    <n v="1130.31"/>
  </r>
  <r>
    <n v="2064"/>
    <x v="0"/>
    <x v="3"/>
    <x v="4"/>
    <s v="L"/>
    <n v="2"/>
    <n v="7557.71"/>
    <n v="0"/>
    <n v="0"/>
    <x v="38"/>
    <x v="0"/>
    <x v="0"/>
    <n v="3277.44"/>
  </r>
  <r>
    <n v="2065"/>
    <x v="1"/>
    <x v="2"/>
    <x v="7"/>
    <s v="M"/>
    <n v="0"/>
    <n v="0"/>
    <n v="0.78"/>
    <n v="0"/>
    <x v="39"/>
    <x v="1"/>
    <x v="1"/>
    <n v="21.58"/>
  </r>
  <r>
    <n v="2066"/>
    <x v="2"/>
    <x v="1"/>
    <x v="15"/>
    <s v="XL"/>
    <n v="-1"/>
    <n v="5259.05"/>
    <n v="0"/>
    <n v="0"/>
    <x v="40"/>
    <x v="0"/>
    <x v="2"/>
    <n v="1022.82"/>
  </r>
  <r>
    <n v="2067"/>
    <x v="0"/>
    <x v="4"/>
    <x v="19"/>
    <s v="L"/>
    <n v="4"/>
    <n v="3588.38"/>
    <n v="0"/>
    <n v="0"/>
    <x v="41"/>
    <x v="0"/>
    <x v="5"/>
    <n v="161.5"/>
  </r>
  <r>
    <n v="2070"/>
    <x v="0"/>
    <x v="3"/>
    <x v="4"/>
    <s v="L"/>
    <n v="0"/>
    <n v="0"/>
    <n v="0"/>
    <n v="0"/>
    <x v="41"/>
    <x v="1"/>
    <x v="2"/>
    <n v="1112.43"/>
  </r>
  <r>
    <n v="2071"/>
    <x v="0"/>
    <x v="2"/>
    <x v="3"/>
    <s v="M"/>
    <n v="3"/>
    <n v="7849.81"/>
    <n v="0.49"/>
    <n v="12010.21"/>
    <x v="42"/>
    <x v="1"/>
    <x v="3"/>
    <n v="-882.96"/>
  </r>
  <r>
    <n v="2073"/>
    <x v="1"/>
    <x v="2"/>
    <x v="3"/>
    <s v="M"/>
    <n v="4"/>
    <n v="0"/>
    <n v="0.85"/>
    <n v="0"/>
    <x v="43"/>
    <x v="0"/>
    <x v="1"/>
    <n v="443.86"/>
  </r>
  <r>
    <n v="2074"/>
    <x v="2"/>
    <x v="0"/>
    <x v="5"/>
    <s v="L"/>
    <n v="-1"/>
    <n v="0"/>
    <n v="0.56999999999999995"/>
    <n v="0"/>
    <x v="43"/>
    <x v="0"/>
    <x v="5"/>
    <n v="1958.47"/>
  </r>
  <r>
    <n v="2075"/>
    <x v="0"/>
    <x v="4"/>
    <x v="8"/>
    <s v="L"/>
    <n v="4"/>
    <n v="4251.74"/>
    <n v="0"/>
    <n v="0"/>
    <x v="17"/>
    <x v="0"/>
    <x v="3"/>
    <n v="2345.35"/>
  </r>
  <r>
    <n v="2076"/>
    <x v="1"/>
    <x v="0"/>
    <x v="14"/>
    <s v="M"/>
    <n v="0"/>
    <n v="0"/>
    <n v="0"/>
    <n v="0"/>
    <x v="44"/>
    <x v="1"/>
    <x v="0"/>
    <n v="2011.25"/>
  </r>
  <r>
    <n v="2077"/>
    <x v="2"/>
    <x v="0"/>
    <x v="14"/>
    <s v="L"/>
    <n v="0"/>
    <n v="0"/>
    <n v="0"/>
    <n v="0"/>
    <x v="45"/>
    <x v="0"/>
    <x v="3"/>
    <n v="3332.66"/>
  </r>
  <r>
    <n v="2079"/>
    <x v="2"/>
    <x v="3"/>
    <x v="16"/>
    <s v="XL"/>
    <n v="-1"/>
    <n v="4322.0600000000004"/>
    <n v="0"/>
    <n v="0"/>
    <x v="46"/>
    <x v="0"/>
    <x v="0"/>
    <n v="279.77999999999997"/>
  </r>
  <r>
    <n v="2080"/>
    <x v="2"/>
    <x v="2"/>
    <x v="3"/>
    <s v="L"/>
    <n v="0"/>
    <n v="0"/>
    <n v="0"/>
    <n v="0"/>
    <x v="47"/>
    <x v="0"/>
    <x v="0"/>
    <n v="-1005.89"/>
  </r>
  <r>
    <n v="2081"/>
    <x v="2"/>
    <x v="0"/>
    <x v="14"/>
    <s v="L"/>
    <n v="0"/>
    <n v="0"/>
    <n v="0"/>
    <n v="0"/>
    <x v="47"/>
    <x v="0"/>
    <x v="2"/>
    <n v="2810.49"/>
  </r>
  <r>
    <n v="2084"/>
    <x v="2"/>
    <x v="0"/>
    <x v="9"/>
    <s v="M"/>
    <n v="2"/>
    <n v="0"/>
    <n v="0"/>
    <n v="0"/>
    <x v="48"/>
    <x v="0"/>
    <x v="2"/>
    <n v="408.39"/>
  </r>
  <r>
    <n v="2086"/>
    <x v="2"/>
    <x v="1"/>
    <x v="6"/>
    <s v="L"/>
    <n v="0"/>
    <n v="0"/>
    <n v="0.45"/>
    <n v="0"/>
    <x v="5"/>
    <x v="0"/>
    <x v="5"/>
    <n v="1742.66"/>
  </r>
  <r>
    <n v="2088"/>
    <x v="1"/>
    <x v="3"/>
    <x v="11"/>
    <s v="XL"/>
    <n v="4"/>
    <n v="0"/>
    <n v="0"/>
    <n v="0"/>
    <x v="49"/>
    <x v="0"/>
    <x v="0"/>
    <n v="2702.93"/>
  </r>
  <r>
    <n v="2089"/>
    <x v="1"/>
    <x v="0"/>
    <x v="5"/>
    <s v="L"/>
    <n v="2"/>
    <n v="6874.77"/>
    <n v="0.6"/>
    <n v="5499.82"/>
    <x v="50"/>
    <x v="0"/>
    <x v="2"/>
    <n v="-1076.6600000000001"/>
  </r>
  <r>
    <n v="2090"/>
    <x v="0"/>
    <x v="2"/>
    <x v="17"/>
    <s v="M"/>
    <n v="0"/>
    <n v="0"/>
    <n v="0"/>
    <n v="0"/>
    <x v="50"/>
    <x v="1"/>
    <x v="0"/>
    <n v="163.15"/>
  </r>
  <r>
    <n v="2091"/>
    <x v="0"/>
    <x v="3"/>
    <x v="10"/>
    <s v="M"/>
    <n v="0"/>
    <n v="9246.8799999999992"/>
    <n v="0"/>
    <n v="0"/>
    <x v="50"/>
    <x v="1"/>
    <x v="2"/>
    <n v="1917.55"/>
  </r>
  <r>
    <n v="2092"/>
    <x v="0"/>
    <x v="4"/>
    <x v="13"/>
    <s v="XL"/>
    <n v="2"/>
    <n v="0"/>
    <n v="1.1299999999999999"/>
    <n v="0"/>
    <x v="50"/>
    <x v="0"/>
    <x v="4"/>
    <n v="207.2"/>
  </r>
  <r>
    <n v="2093"/>
    <x v="2"/>
    <x v="3"/>
    <x v="11"/>
    <s v="XL"/>
    <n v="0"/>
    <n v="0"/>
    <n v="0.28999999999999998"/>
    <n v="0"/>
    <x v="50"/>
    <x v="0"/>
    <x v="5"/>
    <n v="-146.72999999999999"/>
  </r>
  <r>
    <n v="2094"/>
    <x v="0"/>
    <x v="0"/>
    <x v="5"/>
    <s v="M"/>
    <n v="1"/>
    <n v="4276.3599999999997"/>
    <n v="0"/>
    <n v="0"/>
    <x v="51"/>
    <x v="1"/>
    <x v="4"/>
    <n v="2974.58"/>
  </r>
  <r>
    <n v="2095"/>
    <x v="2"/>
    <x v="2"/>
    <x v="7"/>
    <s v="M"/>
    <n v="0"/>
    <n v="0"/>
    <n v="0"/>
    <n v="0"/>
    <x v="52"/>
    <x v="0"/>
    <x v="4"/>
    <n v="880.57"/>
  </r>
  <r>
    <n v="2096"/>
    <x v="2"/>
    <x v="3"/>
    <x v="16"/>
    <s v="XL"/>
    <n v="2"/>
    <n v="0"/>
    <n v="0"/>
    <n v="0"/>
    <x v="53"/>
    <x v="0"/>
    <x v="5"/>
    <n v="288.66000000000003"/>
  </r>
  <r>
    <n v="2097"/>
    <x v="1"/>
    <x v="0"/>
    <x v="14"/>
    <s v="XL"/>
    <n v="0"/>
    <n v="7978.89"/>
    <n v="0"/>
    <n v="0"/>
    <x v="53"/>
    <x v="0"/>
    <x v="0"/>
    <n v="769.05"/>
  </r>
  <r>
    <n v="2098"/>
    <x v="2"/>
    <x v="0"/>
    <x v="14"/>
    <s v="L"/>
    <n v="0"/>
    <n v="5690.69"/>
    <n v="0.69"/>
    <n v="0"/>
    <x v="54"/>
    <x v="0"/>
    <x v="1"/>
    <n v="98.3"/>
  </r>
  <r>
    <n v="2099"/>
    <x v="0"/>
    <x v="1"/>
    <x v="6"/>
    <s v="M"/>
    <n v="2"/>
    <n v="0"/>
    <n v="0.32"/>
    <n v="0"/>
    <x v="55"/>
    <x v="1"/>
    <x v="2"/>
    <n v="360.97"/>
  </r>
  <r>
    <n v="2100"/>
    <x v="0"/>
    <x v="1"/>
    <x v="15"/>
    <s v="M"/>
    <n v="1"/>
    <n v="5937.52"/>
    <n v="0"/>
    <n v="0"/>
    <x v="56"/>
    <x v="1"/>
    <x v="2"/>
    <n v="2287.5700000000002"/>
  </r>
  <r>
    <n v="2101"/>
    <x v="0"/>
    <x v="3"/>
    <x v="11"/>
    <s v="XL"/>
    <n v="0"/>
    <n v="2010.07"/>
    <n v="0"/>
    <n v="0"/>
    <x v="57"/>
    <x v="0"/>
    <x v="1"/>
    <n v="3398.01"/>
  </r>
  <r>
    <n v="2102"/>
    <x v="1"/>
    <x v="1"/>
    <x v="6"/>
    <s v="XL"/>
    <n v="-1"/>
    <n v="0"/>
    <n v="0.77"/>
    <n v="0"/>
    <x v="58"/>
    <x v="0"/>
    <x v="3"/>
    <n v="284.17"/>
  </r>
  <r>
    <n v="2103"/>
    <x v="1"/>
    <x v="4"/>
    <x v="19"/>
    <s v="XL"/>
    <n v="-1"/>
    <n v="6777.88"/>
    <n v="0"/>
    <n v="0"/>
    <x v="59"/>
    <x v="0"/>
    <x v="5"/>
    <n v="469.61"/>
  </r>
  <r>
    <n v="2107"/>
    <x v="1"/>
    <x v="3"/>
    <x v="4"/>
    <s v="M"/>
    <n v="4"/>
    <n v="0"/>
    <n v="0"/>
    <n v="0"/>
    <x v="60"/>
    <x v="0"/>
    <x v="1"/>
    <n v="-184.69"/>
  </r>
  <r>
    <n v="2108"/>
    <x v="0"/>
    <x v="2"/>
    <x v="18"/>
    <s v="XL"/>
    <n v="0"/>
    <n v="0"/>
    <n v="0.27"/>
    <n v="0"/>
    <x v="61"/>
    <x v="1"/>
    <x v="2"/>
    <n v="-338.77"/>
  </r>
  <r>
    <n v="2109"/>
    <x v="0"/>
    <x v="4"/>
    <x v="13"/>
    <s v="M"/>
    <n v="0"/>
    <n v="0"/>
    <n v="0"/>
    <n v="0"/>
    <x v="62"/>
    <x v="1"/>
    <x v="5"/>
    <n v="3791.88"/>
  </r>
  <r>
    <n v="2110"/>
    <x v="0"/>
    <x v="3"/>
    <x v="10"/>
    <s v="M"/>
    <n v="1"/>
    <n v="0"/>
    <n v="0.42"/>
    <n v="0"/>
    <x v="63"/>
    <x v="1"/>
    <x v="3"/>
    <n v="-259.29000000000002"/>
  </r>
  <r>
    <n v="2113"/>
    <x v="1"/>
    <x v="4"/>
    <x v="8"/>
    <s v="XL"/>
    <n v="0"/>
    <n v="3939.34"/>
    <n v="0"/>
    <n v="0"/>
    <x v="64"/>
    <x v="1"/>
    <x v="3"/>
    <n v="2918.93"/>
  </r>
  <r>
    <n v="2114"/>
    <x v="1"/>
    <x v="0"/>
    <x v="5"/>
    <s v="XL"/>
    <n v="1"/>
    <n v="3167.33"/>
    <n v="0.53"/>
    <n v="1488.65"/>
    <x v="64"/>
    <x v="1"/>
    <x v="3"/>
    <n v="1567.37"/>
  </r>
  <r>
    <n v="2115"/>
    <x v="0"/>
    <x v="1"/>
    <x v="15"/>
    <s v="M"/>
    <n v="2"/>
    <n v="7607.45"/>
    <n v="0"/>
    <n v="0"/>
    <x v="64"/>
    <x v="0"/>
    <x v="5"/>
    <n v="1969.03"/>
  </r>
  <r>
    <n v="2117"/>
    <x v="1"/>
    <x v="0"/>
    <x v="0"/>
    <s v="L"/>
    <n v="0"/>
    <n v="7645.96"/>
    <n v="0"/>
    <n v="0"/>
    <x v="65"/>
    <x v="0"/>
    <x v="3"/>
    <n v="2037.43"/>
  </r>
  <r>
    <n v="2118"/>
    <x v="0"/>
    <x v="4"/>
    <x v="13"/>
    <s v="XL"/>
    <n v="2"/>
    <n v="8426.5400000000009"/>
    <n v="0"/>
    <n v="0"/>
    <x v="66"/>
    <x v="0"/>
    <x v="1"/>
    <n v="2696.85"/>
  </r>
  <r>
    <n v="2119"/>
    <x v="1"/>
    <x v="0"/>
    <x v="9"/>
    <s v="M"/>
    <n v="-1"/>
    <n v="0"/>
    <n v="0.41"/>
    <n v="0"/>
    <x v="67"/>
    <x v="1"/>
    <x v="5"/>
    <n v="2887.81"/>
  </r>
  <r>
    <n v="2120"/>
    <x v="2"/>
    <x v="1"/>
    <x v="15"/>
    <s v="M"/>
    <n v="0"/>
    <n v="0"/>
    <n v="0"/>
    <n v="0"/>
    <x v="68"/>
    <x v="1"/>
    <x v="3"/>
    <n v="-328"/>
  </r>
  <r>
    <n v="2000"/>
    <x v="0"/>
    <x v="3"/>
    <x v="4"/>
    <s v="M"/>
    <n v="-1"/>
    <n v="0"/>
    <n v="0"/>
    <n v="0"/>
    <x v="69"/>
    <x v="1"/>
    <x v="5"/>
    <n v="929.75"/>
  </r>
  <r>
    <n v="2123"/>
    <x v="2"/>
    <x v="3"/>
    <x v="10"/>
    <s v="L"/>
    <n v="0"/>
    <n v="0"/>
    <n v="0"/>
    <n v="0"/>
    <x v="70"/>
    <x v="1"/>
    <x v="1"/>
    <n v="2195.52"/>
  </r>
  <r>
    <n v="2124"/>
    <x v="0"/>
    <x v="4"/>
    <x v="12"/>
    <s v="L"/>
    <n v="0"/>
    <n v="6436.11"/>
    <n v="1.24"/>
    <n v="0"/>
    <x v="71"/>
    <x v="0"/>
    <x v="5"/>
    <n v="432.04"/>
  </r>
  <r>
    <n v="2125"/>
    <x v="1"/>
    <x v="1"/>
    <x v="1"/>
    <s v="M"/>
    <n v="0"/>
    <n v="0"/>
    <n v="0"/>
    <n v="0"/>
    <x v="40"/>
    <x v="1"/>
    <x v="1"/>
    <n v="1051.22"/>
  </r>
  <r>
    <n v="2126"/>
    <x v="0"/>
    <x v="3"/>
    <x v="16"/>
    <s v="L"/>
    <n v="-1"/>
    <n v="5399.58"/>
    <n v="0"/>
    <n v="0"/>
    <x v="68"/>
    <x v="1"/>
    <x v="3"/>
    <n v="2508.34"/>
  </r>
  <r>
    <n v="2127"/>
    <x v="2"/>
    <x v="0"/>
    <x v="9"/>
    <s v="L"/>
    <n v="-1"/>
    <n v="4020.5"/>
    <n v="0"/>
    <n v="0"/>
    <x v="72"/>
    <x v="0"/>
    <x v="2"/>
    <n v="3718.37"/>
  </r>
  <r>
    <n v="2128"/>
    <x v="1"/>
    <x v="4"/>
    <x v="19"/>
    <s v="L"/>
    <n v="0"/>
    <n v="8750.7099999999991"/>
    <n v="0"/>
    <n v="0"/>
    <x v="72"/>
    <x v="1"/>
    <x v="0"/>
    <n v="1411.29"/>
  </r>
  <r>
    <n v="2129"/>
    <x v="2"/>
    <x v="4"/>
    <x v="13"/>
    <s v="M"/>
    <n v="0"/>
    <n v="0"/>
    <n v="0"/>
    <n v="0"/>
    <x v="72"/>
    <x v="1"/>
    <x v="4"/>
    <n v="841.4"/>
  </r>
  <r>
    <n v="2130"/>
    <x v="2"/>
    <x v="1"/>
    <x v="2"/>
    <s v="M"/>
    <n v="3"/>
    <n v="0"/>
    <n v="0.24"/>
    <n v="0"/>
    <x v="34"/>
    <x v="0"/>
    <x v="0"/>
    <n v="2962.75"/>
  </r>
  <r>
    <n v="2131"/>
    <x v="0"/>
    <x v="3"/>
    <x v="11"/>
    <s v="XL"/>
    <n v="0"/>
    <n v="5561.82"/>
    <n v="0"/>
    <n v="0"/>
    <x v="34"/>
    <x v="1"/>
    <x v="2"/>
    <n v="2227.48"/>
  </r>
  <r>
    <n v="2132"/>
    <x v="2"/>
    <x v="3"/>
    <x v="11"/>
    <s v="L"/>
    <n v="2"/>
    <n v="0"/>
    <n v="0"/>
    <n v="0"/>
    <x v="34"/>
    <x v="0"/>
    <x v="4"/>
    <n v="3882.22"/>
  </r>
  <r>
    <n v="2133"/>
    <x v="2"/>
    <x v="0"/>
    <x v="9"/>
    <s v="XL"/>
    <n v="0"/>
    <n v="6789.53"/>
    <n v="0"/>
    <n v="0"/>
    <x v="73"/>
    <x v="1"/>
    <x v="3"/>
    <n v="-166.81"/>
  </r>
  <r>
    <n v="2134"/>
    <x v="2"/>
    <x v="0"/>
    <x v="14"/>
    <s v="M"/>
    <n v="0"/>
    <n v="4738.62"/>
    <n v="0"/>
    <n v="0"/>
    <x v="74"/>
    <x v="0"/>
    <x v="1"/>
    <n v="1009.28"/>
  </r>
  <r>
    <n v="2135"/>
    <x v="2"/>
    <x v="4"/>
    <x v="13"/>
    <s v="L"/>
    <n v="2"/>
    <n v="9106.61"/>
    <n v="0.74"/>
    <n v="4735.4399999999996"/>
    <x v="43"/>
    <x v="1"/>
    <x v="1"/>
    <n v="2422.38"/>
  </r>
  <r>
    <n v="2136"/>
    <x v="0"/>
    <x v="0"/>
    <x v="14"/>
    <s v="L"/>
    <n v="1"/>
    <n v="0"/>
    <n v="0"/>
    <n v="0"/>
    <x v="70"/>
    <x v="0"/>
    <x v="3"/>
    <n v="3672.24"/>
  </r>
  <r>
    <n v="2138"/>
    <x v="2"/>
    <x v="3"/>
    <x v="16"/>
    <s v="M"/>
    <n v="2"/>
    <n v="8055.2"/>
    <n v="0"/>
    <n v="0"/>
    <x v="75"/>
    <x v="0"/>
    <x v="2"/>
    <n v="1840.09"/>
  </r>
  <r>
    <n v="2139"/>
    <x v="1"/>
    <x v="4"/>
    <x v="8"/>
    <s v="M"/>
    <n v="0"/>
    <n v="0"/>
    <n v="0"/>
    <n v="0"/>
    <x v="76"/>
    <x v="1"/>
    <x v="2"/>
    <n v="-334.52"/>
  </r>
  <r>
    <n v="2140"/>
    <x v="2"/>
    <x v="4"/>
    <x v="13"/>
    <s v="M"/>
    <n v="0"/>
    <n v="6765.74"/>
    <n v="0"/>
    <n v="0"/>
    <x v="77"/>
    <x v="0"/>
    <x v="0"/>
    <n v="-875.45"/>
  </r>
  <r>
    <n v="2143"/>
    <x v="0"/>
    <x v="0"/>
    <x v="14"/>
    <s v="L"/>
    <n v="-1"/>
    <n v="0"/>
    <n v="0"/>
    <n v="0"/>
    <x v="78"/>
    <x v="0"/>
    <x v="4"/>
    <n v="1006.66"/>
  </r>
  <r>
    <n v="2145"/>
    <x v="2"/>
    <x v="2"/>
    <x v="3"/>
    <s v="M"/>
    <n v="0"/>
    <n v="0"/>
    <n v="0.67"/>
    <n v="0"/>
    <x v="79"/>
    <x v="0"/>
    <x v="0"/>
    <n v="1335.45"/>
  </r>
  <r>
    <n v="2146"/>
    <x v="0"/>
    <x v="4"/>
    <x v="8"/>
    <s v="XL"/>
    <n v="0"/>
    <n v="0"/>
    <n v="1.1200000000000001"/>
    <n v="0"/>
    <x v="80"/>
    <x v="1"/>
    <x v="2"/>
    <n v="-908.85"/>
  </r>
  <r>
    <n v="2147"/>
    <x v="1"/>
    <x v="1"/>
    <x v="15"/>
    <s v="XL"/>
    <n v="-1"/>
    <n v="0"/>
    <n v="0"/>
    <n v="0"/>
    <x v="34"/>
    <x v="0"/>
    <x v="1"/>
    <n v="-426.53"/>
  </r>
  <r>
    <n v="2150"/>
    <x v="1"/>
    <x v="4"/>
    <x v="19"/>
    <s v="M"/>
    <n v="2"/>
    <n v="3313.21"/>
    <n v="0.48"/>
    <n v="3445.74"/>
    <x v="81"/>
    <x v="0"/>
    <x v="0"/>
    <n v="3221.62"/>
  </r>
  <r>
    <n v="2151"/>
    <x v="0"/>
    <x v="1"/>
    <x v="1"/>
    <s v="L"/>
    <n v="4"/>
    <n v="5619.75"/>
    <n v="0"/>
    <n v="0"/>
    <x v="82"/>
    <x v="0"/>
    <x v="0"/>
    <n v="2000.85"/>
  </r>
  <r>
    <n v="2152"/>
    <x v="1"/>
    <x v="3"/>
    <x v="11"/>
    <s v="M"/>
    <n v="0"/>
    <n v="0"/>
    <n v="0"/>
    <n v="0"/>
    <x v="82"/>
    <x v="0"/>
    <x v="0"/>
    <n v="3819.41"/>
  </r>
  <r>
    <n v="2154"/>
    <x v="0"/>
    <x v="2"/>
    <x v="3"/>
    <s v="XL"/>
    <n v="0"/>
    <n v="2963.16"/>
    <n v="0"/>
    <n v="0"/>
    <x v="83"/>
    <x v="0"/>
    <x v="0"/>
    <n v="2381.85"/>
  </r>
  <r>
    <n v="2156"/>
    <x v="2"/>
    <x v="1"/>
    <x v="1"/>
    <s v="M"/>
    <n v="0"/>
    <n v="0"/>
    <n v="0"/>
    <n v="0"/>
    <x v="84"/>
    <x v="0"/>
    <x v="3"/>
    <n v="-286.07"/>
  </r>
  <r>
    <n v="2158"/>
    <x v="1"/>
    <x v="3"/>
    <x v="4"/>
    <s v="M"/>
    <n v="-1"/>
    <n v="0"/>
    <n v="0.5"/>
    <n v="0"/>
    <x v="85"/>
    <x v="0"/>
    <x v="2"/>
    <n v="514.79"/>
  </r>
  <r>
    <n v="2159"/>
    <x v="1"/>
    <x v="0"/>
    <x v="14"/>
    <s v="XL"/>
    <n v="2"/>
    <n v="3987.65"/>
    <n v="0"/>
    <n v="0"/>
    <x v="85"/>
    <x v="1"/>
    <x v="4"/>
    <n v="2781.72"/>
  </r>
  <r>
    <n v="2160"/>
    <x v="0"/>
    <x v="3"/>
    <x v="10"/>
    <s v="XL"/>
    <n v="0"/>
    <n v="0"/>
    <n v="0"/>
    <n v="0"/>
    <x v="86"/>
    <x v="1"/>
    <x v="2"/>
    <n v="3744.91"/>
  </r>
  <r>
    <n v="2161"/>
    <x v="0"/>
    <x v="2"/>
    <x v="7"/>
    <s v="M"/>
    <n v="0"/>
    <n v="5119.41"/>
    <n v="0.8"/>
    <n v="0"/>
    <x v="86"/>
    <x v="0"/>
    <x v="3"/>
    <n v="1956.8"/>
  </r>
  <r>
    <n v="2162"/>
    <x v="2"/>
    <x v="2"/>
    <x v="3"/>
    <s v="M"/>
    <n v="0"/>
    <n v="7662.11"/>
    <n v="0"/>
    <n v="0"/>
    <x v="86"/>
    <x v="0"/>
    <x v="2"/>
    <n v="2398.5500000000002"/>
  </r>
  <r>
    <n v="2163"/>
    <x v="2"/>
    <x v="2"/>
    <x v="17"/>
    <s v="M"/>
    <n v="0"/>
    <n v="0"/>
    <n v="1.24"/>
    <n v="0"/>
    <x v="87"/>
    <x v="1"/>
    <x v="1"/>
    <n v="3344.98"/>
  </r>
  <r>
    <n v="2164"/>
    <x v="1"/>
    <x v="1"/>
    <x v="6"/>
    <s v="M"/>
    <n v="0"/>
    <n v="0"/>
    <n v="0.95"/>
    <n v="0"/>
    <x v="88"/>
    <x v="0"/>
    <x v="3"/>
    <n v="-872.9"/>
  </r>
  <r>
    <n v="2165"/>
    <x v="0"/>
    <x v="0"/>
    <x v="0"/>
    <s v="L"/>
    <n v="4"/>
    <n v="4577.6499999999996"/>
    <n v="0"/>
    <n v="0"/>
    <x v="89"/>
    <x v="1"/>
    <x v="5"/>
    <n v="2460.19"/>
  </r>
  <r>
    <n v="2166"/>
    <x v="1"/>
    <x v="2"/>
    <x v="18"/>
    <s v="M"/>
    <n v="0"/>
    <n v="7312.38"/>
    <n v="0"/>
    <n v="0"/>
    <x v="55"/>
    <x v="0"/>
    <x v="2"/>
    <n v="3364.05"/>
  </r>
  <r>
    <n v="2167"/>
    <x v="2"/>
    <x v="3"/>
    <x v="4"/>
    <s v="XL"/>
    <n v="3"/>
    <n v="3055.79"/>
    <n v="0"/>
    <n v="0"/>
    <x v="55"/>
    <x v="1"/>
    <x v="2"/>
    <n v="1259.58"/>
  </r>
  <r>
    <n v="2170"/>
    <x v="0"/>
    <x v="2"/>
    <x v="18"/>
    <s v="M"/>
    <n v="0"/>
    <n v="0"/>
    <n v="0"/>
    <n v="0"/>
    <x v="90"/>
    <x v="0"/>
    <x v="5"/>
    <n v="3218.82"/>
  </r>
  <r>
    <n v="2022"/>
    <x v="1"/>
    <x v="2"/>
    <x v="18"/>
    <s v="L"/>
    <n v="0"/>
    <n v="9378.52"/>
    <n v="1.06"/>
    <n v="0"/>
    <x v="91"/>
    <x v="1"/>
    <x v="2"/>
    <n v="128.91999999999999"/>
  </r>
  <r>
    <n v="2172"/>
    <x v="1"/>
    <x v="0"/>
    <x v="14"/>
    <s v="M"/>
    <n v="0"/>
    <n v="7988.99"/>
    <n v="1.2"/>
    <n v="0"/>
    <x v="92"/>
    <x v="0"/>
    <x v="0"/>
    <n v="-909.86"/>
  </r>
  <r>
    <n v="2173"/>
    <x v="2"/>
    <x v="3"/>
    <x v="11"/>
    <s v="L"/>
    <n v="-1"/>
    <n v="6620.78"/>
    <n v="0"/>
    <n v="0"/>
    <x v="93"/>
    <x v="0"/>
    <x v="0"/>
    <n v="3770.03"/>
  </r>
  <r>
    <n v="2174"/>
    <x v="1"/>
    <x v="1"/>
    <x v="15"/>
    <s v="L"/>
    <n v="0"/>
    <n v="3883.92"/>
    <n v="0"/>
    <n v="0"/>
    <x v="93"/>
    <x v="1"/>
    <x v="3"/>
    <n v="428.5"/>
  </r>
  <r>
    <n v="2177"/>
    <x v="1"/>
    <x v="2"/>
    <x v="7"/>
    <s v="XL"/>
    <n v="0"/>
    <n v="0"/>
    <n v="0"/>
    <n v="0"/>
    <x v="94"/>
    <x v="1"/>
    <x v="2"/>
    <n v="885.37"/>
  </r>
  <r>
    <n v="2179"/>
    <x v="1"/>
    <x v="0"/>
    <x v="14"/>
    <s v="M"/>
    <n v="3"/>
    <n v="0"/>
    <n v="0"/>
    <n v="0"/>
    <x v="95"/>
    <x v="1"/>
    <x v="3"/>
    <n v="3135.92"/>
  </r>
  <r>
    <n v="2180"/>
    <x v="1"/>
    <x v="4"/>
    <x v="19"/>
    <s v="XL"/>
    <n v="0"/>
    <n v="0"/>
    <n v="0"/>
    <n v="0"/>
    <x v="96"/>
    <x v="0"/>
    <x v="3"/>
    <n v="2189.84"/>
  </r>
  <r>
    <n v="2181"/>
    <x v="1"/>
    <x v="2"/>
    <x v="18"/>
    <s v="XL"/>
    <n v="2"/>
    <n v="0"/>
    <n v="0"/>
    <n v="0"/>
    <x v="97"/>
    <x v="1"/>
    <x v="4"/>
    <n v="419.58"/>
  </r>
  <r>
    <n v="2182"/>
    <x v="0"/>
    <x v="4"/>
    <x v="13"/>
    <s v="M"/>
    <n v="0"/>
    <n v="7214.55"/>
    <n v="0"/>
    <n v="0"/>
    <x v="97"/>
    <x v="0"/>
    <x v="2"/>
    <n v="-662.77"/>
  </r>
  <r>
    <n v="2183"/>
    <x v="0"/>
    <x v="2"/>
    <x v="7"/>
    <s v="M"/>
    <n v="0"/>
    <n v="5389.56"/>
    <n v="0"/>
    <n v="0"/>
    <x v="97"/>
    <x v="0"/>
    <x v="3"/>
    <n v="2927.93"/>
  </r>
  <r>
    <n v="2184"/>
    <x v="2"/>
    <x v="1"/>
    <x v="6"/>
    <s v="XL"/>
    <n v="4"/>
    <n v="0"/>
    <n v="0"/>
    <n v="0"/>
    <x v="97"/>
    <x v="1"/>
    <x v="1"/>
    <n v="1980.73"/>
  </r>
  <r>
    <n v="2185"/>
    <x v="1"/>
    <x v="0"/>
    <x v="14"/>
    <s v="XL"/>
    <n v="4"/>
    <n v="4207.4399999999996"/>
    <n v="0.59"/>
    <n v="6900.2"/>
    <x v="98"/>
    <x v="0"/>
    <x v="5"/>
    <n v="-615.48"/>
  </r>
  <r>
    <n v="2187"/>
    <x v="2"/>
    <x v="3"/>
    <x v="4"/>
    <s v="L"/>
    <n v="0"/>
    <n v="7795.32"/>
    <n v="0"/>
    <n v="0"/>
    <x v="99"/>
    <x v="0"/>
    <x v="2"/>
    <n v="2402.9899999999998"/>
  </r>
  <r>
    <n v="2188"/>
    <x v="2"/>
    <x v="3"/>
    <x v="4"/>
    <s v="L"/>
    <n v="-1"/>
    <n v="0"/>
    <n v="0"/>
    <n v="0"/>
    <x v="99"/>
    <x v="0"/>
    <x v="3"/>
    <n v="1278.03"/>
  </r>
  <r>
    <n v="2189"/>
    <x v="2"/>
    <x v="0"/>
    <x v="0"/>
    <s v="L"/>
    <n v="3"/>
    <n v="0"/>
    <n v="0.9"/>
    <n v="0"/>
    <x v="30"/>
    <x v="0"/>
    <x v="1"/>
    <n v="3628.46"/>
  </r>
  <r>
    <n v="2190"/>
    <x v="0"/>
    <x v="4"/>
    <x v="12"/>
    <s v="L"/>
    <n v="0"/>
    <n v="4280.01"/>
    <n v="0.66"/>
    <n v="0"/>
    <x v="30"/>
    <x v="0"/>
    <x v="4"/>
    <n v="1949.77"/>
  </r>
  <r>
    <n v="2191"/>
    <x v="2"/>
    <x v="2"/>
    <x v="18"/>
    <s v="M"/>
    <n v="3"/>
    <n v="0"/>
    <n v="0"/>
    <n v="0"/>
    <x v="100"/>
    <x v="1"/>
    <x v="3"/>
    <n v="-1032.8800000000001"/>
  </r>
  <r>
    <n v="2192"/>
    <x v="2"/>
    <x v="4"/>
    <x v="12"/>
    <s v="XL"/>
    <n v="-1"/>
    <n v="0"/>
    <n v="0"/>
    <n v="0"/>
    <x v="101"/>
    <x v="1"/>
    <x v="4"/>
    <n v="554.91"/>
  </r>
  <r>
    <n v="2193"/>
    <x v="1"/>
    <x v="2"/>
    <x v="7"/>
    <s v="XL"/>
    <n v="-1"/>
    <n v="0"/>
    <n v="1.24"/>
    <n v="0"/>
    <x v="9"/>
    <x v="1"/>
    <x v="4"/>
    <n v="1803.66"/>
  </r>
  <r>
    <n v="2194"/>
    <x v="2"/>
    <x v="1"/>
    <x v="6"/>
    <s v="M"/>
    <n v="0"/>
    <n v="6196.01"/>
    <n v="0"/>
    <n v="0"/>
    <x v="27"/>
    <x v="0"/>
    <x v="1"/>
    <n v="926.03"/>
  </r>
  <r>
    <n v="2196"/>
    <x v="0"/>
    <x v="1"/>
    <x v="2"/>
    <s v="L"/>
    <n v="2"/>
    <n v="2708.73"/>
    <n v="0"/>
    <n v="0"/>
    <x v="102"/>
    <x v="0"/>
    <x v="4"/>
    <n v="925.63"/>
  </r>
  <r>
    <n v="2197"/>
    <x v="0"/>
    <x v="0"/>
    <x v="14"/>
    <s v="L"/>
    <n v="3"/>
    <n v="0"/>
    <n v="0"/>
    <n v="0"/>
    <x v="103"/>
    <x v="0"/>
    <x v="0"/>
    <n v="-418.5"/>
  </r>
  <r>
    <n v="2198"/>
    <x v="2"/>
    <x v="0"/>
    <x v="0"/>
    <s v="M"/>
    <n v="4"/>
    <n v="0"/>
    <n v="0.65"/>
    <n v="0"/>
    <x v="104"/>
    <x v="0"/>
    <x v="3"/>
    <n v="-169.33"/>
  </r>
  <r>
    <n v="2199"/>
    <x v="2"/>
    <x v="1"/>
    <x v="2"/>
    <s v="M"/>
    <n v="1"/>
    <n v="0"/>
    <n v="0"/>
    <n v="0"/>
    <x v="104"/>
    <x v="1"/>
    <x v="5"/>
    <n v="389.94"/>
  </r>
  <r>
    <n v="2200"/>
    <x v="2"/>
    <x v="4"/>
    <x v="8"/>
    <s v="M"/>
    <n v="3"/>
    <n v="5570.72"/>
    <n v="0"/>
    <n v="0"/>
    <x v="104"/>
    <x v="0"/>
    <x v="4"/>
    <n v="1513.76"/>
  </r>
  <r>
    <n v="2201"/>
    <x v="1"/>
    <x v="0"/>
    <x v="0"/>
    <s v="M"/>
    <n v="0"/>
    <n v="0"/>
    <n v="0"/>
    <n v="0"/>
    <x v="105"/>
    <x v="0"/>
    <x v="2"/>
    <n v="1403.56"/>
  </r>
  <r>
    <n v="2202"/>
    <x v="2"/>
    <x v="4"/>
    <x v="12"/>
    <s v="M"/>
    <n v="-1"/>
    <n v="7918.93"/>
    <n v="1.06"/>
    <n v="475.14"/>
    <x v="71"/>
    <x v="1"/>
    <x v="0"/>
    <n v="1994.42"/>
  </r>
  <r>
    <n v="2203"/>
    <x v="2"/>
    <x v="2"/>
    <x v="18"/>
    <s v="M"/>
    <n v="0"/>
    <n v="6903.22"/>
    <n v="0"/>
    <n v="0"/>
    <x v="71"/>
    <x v="0"/>
    <x v="3"/>
    <n v="1556.95"/>
  </r>
  <r>
    <n v="2204"/>
    <x v="2"/>
    <x v="4"/>
    <x v="19"/>
    <s v="M"/>
    <n v="0"/>
    <n v="7660.41"/>
    <n v="0"/>
    <n v="0"/>
    <x v="106"/>
    <x v="0"/>
    <x v="4"/>
    <n v="2076.75"/>
  </r>
  <r>
    <n v="2205"/>
    <x v="1"/>
    <x v="3"/>
    <x v="4"/>
    <s v="XL"/>
    <n v="0"/>
    <n v="0"/>
    <n v="0"/>
    <n v="0"/>
    <x v="107"/>
    <x v="1"/>
    <x v="3"/>
    <n v="-467.52"/>
  </r>
  <r>
    <n v="2206"/>
    <x v="2"/>
    <x v="0"/>
    <x v="5"/>
    <s v="M"/>
    <n v="2"/>
    <n v="0"/>
    <n v="0"/>
    <n v="0"/>
    <x v="107"/>
    <x v="0"/>
    <x v="4"/>
    <n v="-524.85"/>
  </r>
  <r>
    <n v="2207"/>
    <x v="1"/>
    <x v="3"/>
    <x v="16"/>
    <s v="XL"/>
    <n v="0"/>
    <n v="0"/>
    <n v="0"/>
    <n v="0"/>
    <x v="107"/>
    <x v="0"/>
    <x v="1"/>
    <n v="2101.41"/>
  </r>
  <r>
    <n v="2208"/>
    <x v="1"/>
    <x v="4"/>
    <x v="19"/>
    <s v="M"/>
    <n v="0"/>
    <n v="5172.62"/>
    <n v="0.97"/>
    <n v="0"/>
    <x v="107"/>
    <x v="1"/>
    <x v="1"/>
    <n v="-1074.04"/>
  </r>
  <r>
    <n v="2210"/>
    <x v="2"/>
    <x v="2"/>
    <x v="3"/>
    <s v="XL"/>
    <n v="0"/>
    <n v="0"/>
    <n v="0"/>
    <n v="0"/>
    <x v="108"/>
    <x v="1"/>
    <x v="5"/>
    <n v="701.02"/>
  </r>
  <r>
    <n v="2212"/>
    <x v="1"/>
    <x v="2"/>
    <x v="3"/>
    <s v="L"/>
    <n v="0"/>
    <n v="7670.82"/>
    <n v="0"/>
    <n v="0"/>
    <x v="109"/>
    <x v="0"/>
    <x v="5"/>
    <n v="-87.95"/>
  </r>
  <r>
    <n v="2213"/>
    <x v="1"/>
    <x v="3"/>
    <x v="10"/>
    <s v="M"/>
    <n v="0"/>
    <n v="5714.92"/>
    <n v="0"/>
    <n v="0"/>
    <x v="109"/>
    <x v="0"/>
    <x v="4"/>
    <n v="3741.14"/>
  </r>
  <r>
    <n v="2214"/>
    <x v="2"/>
    <x v="4"/>
    <x v="19"/>
    <s v="XL"/>
    <n v="2"/>
    <n v="5016.03"/>
    <n v="0"/>
    <n v="0"/>
    <x v="109"/>
    <x v="1"/>
    <x v="2"/>
    <n v="1446"/>
  </r>
  <r>
    <n v="2215"/>
    <x v="2"/>
    <x v="4"/>
    <x v="13"/>
    <s v="XL"/>
    <n v="3"/>
    <n v="0"/>
    <n v="0.36"/>
    <n v="0"/>
    <x v="110"/>
    <x v="0"/>
    <x v="5"/>
    <n v="3254.06"/>
  </r>
  <r>
    <n v="2216"/>
    <x v="1"/>
    <x v="2"/>
    <x v="18"/>
    <s v="M"/>
    <n v="1"/>
    <n v="3111.62"/>
    <n v="0"/>
    <n v="0"/>
    <x v="110"/>
    <x v="0"/>
    <x v="1"/>
    <n v="2617.56"/>
  </r>
  <r>
    <n v="2217"/>
    <x v="1"/>
    <x v="2"/>
    <x v="7"/>
    <s v="L"/>
    <n v="0"/>
    <n v="0"/>
    <n v="0"/>
    <n v="0"/>
    <x v="111"/>
    <x v="1"/>
    <x v="4"/>
    <n v="2190.84"/>
  </r>
  <r>
    <n v="2218"/>
    <x v="0"/>
    <x v="1"/>
    <x v="2"/>
    <s v="M"/>
    <n v="2"/>
    <n v="0"/>
    <n v="0"/>
    <n v="0"/>
    <x v="111"/>
    <x v="0"/>
    <x v="0"/>
    <n v="1440.02"/>
  </r>
  <r>
    <n v="2219"/>
    <x v="1"/>
    <x v="4"/>
    <x v="8"/>
    <s v="M"/>
    <n v="-1"/>
    <n v="0"/>
    <n v="1.06"/>
    <n v="0"/>
    <x v="111"/>
    <x v="0"/>
    <x v="0"/>
    <n v="3305.72"/>
  </r>
  <r>
    <n v="2220"/>
    <x v="0"/>
    <x v="0"/>
    <x v="0"/>
    <s v="M"/>
    <n v="0"/>
    <n v="0"/>
    <n v="0"/>
    <n v="0"/>
    <x v="112"/>
    <x v="0"/>
    <x v="5"/>
    <n v="890.14"/>
  </r>
  <r>
    <n v="2221"/>
    <x v="0"/>
    <x v="2"/>
    <x v="7"/>
    <s v="L"/>
    <n v="2"/>
    <n v="3375.97"/>
    <n v="0"/>
    <n v="0"/>
    <x v="113"/>
    <x v="1"/>
    <x v="2"/>
    <n v="-297.05"/>
  </r>
  <r>
    <n v="2222"/>
    <x v="2"/>
    <x v="0"/>
    <x v="14"/>
    <s v="XL"/>
    <n v="2"/>
    <n v="8897.19"/>
    <n v="0.11"/>
    <n v="15837"/>
    <x v="114"/>
    <x v="1"/>
    <x v="2"/>
    <n v="2821.69"/>
  </r>
  <r>
    <n v="2223"/>
    <x v="0"/>
    <x v="0"/>
    <x v="5"/>
    <s v="M"/>
    <n v="-1"/>
    <n v="9180.15"/>
    <n v="0"/>
    <n v="0"/>
    <x v="80"/>
    <x v="0"/>
    <x v="5"/>
    <n v="799.28"/>
  </r>
  <r>
    <n v="2225"/>
    <x v="0"/>
    <x v="4"/>
    <x v="12"/>
    <s v="M"/>
    <n v="0"/>
    <n v="0"/>
    <n v="0"/>
    <n v="0"/>
    <x v="80"/>
    <x v="1"/>
    <x v="1"/>
    <n v="1136.6300000000001"/>
  </r>
  <r>
    <n v="2021"/>
    <x v="2"/>
    <x v="3"/>
    <x v="4"/>
    <s v="XL"/>
    <n v="0"/>
    <n v="2180.71"/>
    <n v="0.82"/>
    <n v="0"/>
    <x v="80"/>
    <x v="1"/>
    <x v="1"/>
    <n v="2277.63"/>
  </r>
  <r>
    <n v="2229"/>
    <x v="2"/>
    <x v="3"/>
    <x v="10"/>
    <s v="XL"/>
    <n v="0"/>
    <n v="7143.23"/>
    <n v="0"/>
    <n v="0"/>
    <x v="115"/>
    <x v="1"/>
    <x v="2"/>
    <n v="3284.36"/>
  </r>
  <r>
    <n v="2230"/>
    <x v="0"/>
    <x v="2"/>
    <x v="17"/>
    <s v="M"/>
    <n v="0"/>
    <n v="0"/>
    <n v="0"/>
    <n v="0"/>
    <x v="115"/>
    <x v="0"/>
    <x v="0"/>
    <n v="781.56"/>
  </r>
  <r>
    <n v="2231"/>
    <x v="0"/>
    <x v="0"/>
    <x v="5"/>
    <s v="M"/>
    <n v="0"/>
    <n v="0"/>
    <n v="1.05"/>
    <n v="0"/>
    <x v="116"/>
    <x v="0"/>
    <x v="0"/>
    <n v="-39.479999999999997"/>
  </r>
  <r>
    <n v="2232"/>
    <x v="1"/>
    <x v="3"/>
    <x v="11"/>
    <s v="XL"/>
    <n v="0"/>
    <n v="2149.2800000000002"/>
    <n v="0.32"/>
    <n v="0"/>
    <x v="117"/>
    <x v="0"/>
    <x v="5"/>
    <n v="2409.87"/>
  </r>
  <r>
    <n v="2233"/>
    <x v="2"/>
    <x v="2"/>
    <x v="18"/>
    <s v="XL"/>
    <n v="0"/>
    <n v="0"/>
    <n v="0"/>
    <n v="0"/>
    <x v="117"/>
    <x v="0"/>
    <x v="5"/>
    <n v="2398.0700000000002"/>
  </r>
  <r>
    <n v="2042"/>
    <x v="2"/>
    <x v="4"/>
    <x v="12"/>
    <s v="M"/>
    <n v="1"/>
    <n v="5254.47"/>
    <n v="0"/>
    <n v="0"/>
    <x v="118"/>
    <x v="1"/>
    <x v="0"/>
    <n v="2459.63"/>
  </r>
  <r>
    <n v="2236"/>
    <x v="2"/>
    <x v="1"/>
    <x v="6"/>
    <s v="M"/>
    <n v="0"/>
    <n v="0"/>
    <n v="0"/>
    <n v="0"/>
    <x v="118"/>
    <x v="0"/>
    <x v="4"/>
    <n v="880.62"/>
  </r>
  <r>
    <n v="2237"/>
    <x v="0"/>
    <x v="0"/>
    <x v="9"/>
    <s v="M"/>
    <n v="0"/>
    <n v="5089.88"/>
    <n v="0"/>
    <n v="0"/>
    <x v="119"/>
    <x v="0"/>
    <x v="2"/>
    <n v="-238.18"/>
  </r>
  <r>
    <n v="2239"/>
    <x v="2"/>
    <x v="0"/>
    <x v="0"/>
    <s v="XL"/>
    <n v="0"/>
    <n v="0"/>
    <n v="0"/>
    <n v="0"/>
    <x v="120"/>
    <x v="0"/>
    <x v="5"/>
    <n v="1750.71"/>
  </r>
  <r>
    <n v="2240"/>
    <x v="0"/>
    <x v="4"/>
    <x v="8"/>
    <s v="M"/>
    <n v="0"/>
    <n v="9520.5"/>
    <n v="0.48"/>
    <n v="0"/>
    <x v="121"/>
    <x v="1"/>
    <x v="5"/>
    <n v="-928.85"/>
  </r>
  <r>
    <n v="2241"/>
    <x v="1"/>
    <x v="1"/>
    <x v="1"/>
    <s v="M"/>
    <n v="0"/>
    <n v="9662.0400000000009"/>
    <n v="0"/>
    <n v="0"/>
    <x v="122"/>
    <x v="0"/>
    <x v="1"/>
    <n v="-233.74"/>
  </r>
  <r>
    <n v="2243"/>
    <x v="2"/>
    <x v="2"/>
    <x v="3"/>
    <s v="L"/>
    <n v="0"/>
    <n v="9747.58"/>
    <n v="0"/>
    <n v="0"/>
    <x v="123"/>
    <x v="1"/>
    <x v="4"/>
    <n v="266.31"/>
  </r>
  <r>
    <n v="2244"/>
    <x v="0"/>
    <x v="0"/>
    <x v="9"/>
    <s v="L"/>
    <n v="2"/>
    <n v="0"/>
    <n v="0"/>
    <n v="0"/>
    <x v="123"/>
    <x v="0"/>
    <x v="4"/>
    <n v="1904.11"/>
  </r>
  <r>
    <n v="2246"/>
    <x v="0"/>
    <x v="4"/>
    <x v="19"/>
    <s v="L"/>
    <n v="-1"/>
    <n v="7806.98"/>
    <n v="0"/>
    <n v="0"/>
    <x v="30"/>
    <x v="0"/>
    <x v="1"/>
    <n v="-943.35"/>
  </r>
  <r>
    <n v="2248"/>
    <x v="2"/>
    <x v="0"/>
    <x v="9"/>
    <s v="M"/>
    <n v="4"/>
    <n v="8249.9599999999991"/>
    <n v="0.24"/>
    <n v="25079.88"/>
    <x v="124"/>
    <x v="0"/>
    <x v="0"/>
    <n v="1625.14"/>
  </r>
  <r>
    <n v="2249"/>
    <x v="2"/>
    <x v="0"/>
    <x v="5"/>
    <s v="M"/>
    <n v="0"/>
    <n v="7730.77"/>
    <n v="0"/>
    <n v="0"/>
    <x v="125"/>
    <x v="0"/>
    <x v="4"/>
    <n v="-692.94"/>
  </r>
  <r>
    <n v="2250"/>
    <x v="2"/>
    <x v="4"/>
    <x v="12"/>
    <s v="XL"/>
    <n v="0"/>
    <n v="0"/>
    <n v="0"/>
    <n v="0"/>
    <x v="126"/>
    <x v="1"/>
    <x v="3"/>
    <n v="821.13"/>
  </r>
  <r>
    <n v="2252"/>
    <x v="1"/>
    <x v="3"/>
    <x v="11"/>
    <s v="L"/>
    <n v="0"/>
    <n v="0"/>
    <n v="0"/>
    <n v="0"/>
    <x v="126"/>
    <x v="1"/>
    <x v="4"/>
    <n v="934.87"/>
  </r>
  <r>
    <n v="2253"/>
    <x v="2"/>
    <x v="0"/>
    <x v="5"/>
    <s v="M"/>
    <n v="0"/>
    <n v="0"/>
    <n v="0"/>
    <n v="0"/>
    <x v="127"/>
    <x v="0"/>
    <x v="0"/>
    <n v="1516.72"/>
  </r>
  <r>
    <n v="2254"/>
    <x v="1"/>
    <x v="4"/>
    <x v="19"/>
    <s v="M"/>
    <n v="0"/>
    <n v="0"/>
    <n v="0.89"/>
    <n v="0"/>
    <x v="107"/>
    <x v="0"/>
    <x v="1"/>
    <n v="1642"/>
  </r>
  <r>
    <n v="2255"/>
    <x v="0"/>
    <x v="4"/>
    <x v="19"/>
    <s v="XL"/>
    <n v="0"/>
    <n v="2222.5500000000002"/>
    <n v="0.84"/>
    <n v="0"/>
    <x v="25"/>
    <x v="1"/>
    <x v="2"/>
    <n v="586.55999999999995"/>
  </r>
  <r>
    <n v="2257"/>
    <x v="2"/>
    <x v="4"/>
    <x v="12"/>
    <s v="XL"/>
    <n v="1"/>
    <n v="0"/>
    <n v="0"/>
    <n v="0"/>
    <x v="128"/>
    <x v="0"/>
    <x v="2"/>
    <n v="-365.42"/>
  </r>
  <r>
    <n v="2258"/>
    <x v="1"/>
    <x v="2"/>
    <x v="17"/>
    <s v="L"/>
    <n v="0"/>
    <n v="0"/>
    <n v="0.39"/>
    <n v="0"/>
    <x v="45"/>
    <x v="0"/>
    <x v="2"/>
    <n v="2824.7"/>
  </r>
  <r>
    <n v="2259"/>
    <x v="1"/>
    <x v="1"/>
    <x v="6"/>
    <s v="M"/>
    <n v="0"/>
    <n v="0"/>
    <n v="0"/>
    <n v="0"/>
    <x v="129"/>
    <x v="1"/>
    <x v="4"/>
    <n v="2323.89"/>
  </r>
  <r>
    <n v="2260"/>
    <x v="1"/>
    <x v="2"/>
    <x v="17"/>
    <s v="M"/>
    <n v="2"/>
    <n v="0"/>
    <n v="0"/>
    <n v="0"/>
    <x v="130"/>
    <x v="1"/>
    <x v="3"/>
    <n v="-352.18"/>
  </r>
  <r>
    <n v="2262"/>
    <x v="1"/>
    <x v="3"/>
    <x v="16"/>
    <s v="L"/>
    <n v="0"/>
    <n v="0"/>
    <n v="0"/>
    <n v="0"/>
    <x v="70"/>
    <x v="1"/>
    <x v="3"/>
    <n v="3146.93"/>
  </r>
  <r>
    <n v="2263"/>
    <x v="1"/>
    <x v="1"/>
    <x v="2"/>
    <s v="M"/>
    <n v="0"/>
    <n v="5172.1400000000003"/>
    <n v="0"/>
    <n v="0"/>
    <x v="29"/>
    <x v="0"/>
    <x v="5"/>
    <n v="2510.5500000000002"/>
  </r>
  <r>
    <n v="2265"/>
    <x v="1"/>
    <x v="1"/>
    <x v="2"/>
    <s v="M"/>
    <n v="0"/>
    <n v="2422.9699999999998"/>
    <n v="0"/>
    <n v="0"/>
    <x v="131"/>
    <x v="1"/>
    <x v="4"/>
    <n v="-67.739999999999995"/>
  </r>
  <r>
    <n v="2266"/>
    <x v="1"/>
    <x v="4"/>
    <x v="19"/>
    <s v="L"/>
    <n v="0"/>
    <n v="0"/>
    <n v="0"/>
    <n v="0"/>
    <x v="132"/>
    <x v="1"/>
    <x v="5"/>
    <n v="3475.59"/>
  </r>
  <r>
    <n v="2267"/>
    <x v="1"/>
    <x v="3"/>
    <x v="10"/>
    <s v="M"/>
    <n v="-1"/>
    <n v="3075.72"/>
    <n v="0"/>
    <n v="0"/>
    <x v="133"/>
    <x v="1"/>
    <x v="5"/>
    <n v="238.78"/>
  </r>
  <r>
    <n v="2268"/>
    <x v="2"/>
    <x v="1"/>
    <x v="6"/>
    <s v="M"/>
    <n v="3"/>
    <n v="7330.81"/>
    <n v="0"/>
    <n v="0"/>
    <x v="134"/>
    <x v="0"/>
    <x v="5"/>
    <n v="518.71"/>
  </r>
  <r>
    <n v="2269"/>
    <x v="1"/>
    <x v="0"/>
    <x v="14"/>
    <s v="M"/>
    <n v="4"/>
    <n v="6424.32"/>
    <n v="0"/>
    <n v="0"/>
    <x v="135"/>
    <x v="1"/>
    <x v="2"/>
    <n v="-405.26"/>
  </r>
  <r>
    <n v="2270"/>
    <x v="2"/>
    <x v="3"/>
    <x v="4"/>
    <s v="XL"/>
    <n v="1"/>
    <n v="0"/>
    <n v="1.03"/>
    <n v="0"/>
    <x v="136"/>
    <x v="1"/>
    <x v="3"/>
    <n v="3088.25"/>
  </r>
  <r>
    <n v="2271"/>
    <x v="0"/>
    <x v="2"/>
    <x v="7"/>
    <s v="M"/>
    <n v="0"/>
    <n v="5116.58"/>
    <n v="7.0000000000000007E-2"/>
    <n v="0"/>
    <x v="137"/>
    <x v="1"/>
    <x v="4"/>
    <n v="1293.94"/>
  </r>
  <r>
    <n v="2038"/>
    <x v="1"/>
    <x v="0"/>
    <x v="14"/>
    <s v="XL"/>
    <n v="1"/>
    <n v="7338.57"/>
    <n v="0"/>
    <n v="0"/>
    <x v="138"/>
    <x v="1"/>
    <x v="4"/>
    <n v="3680.24"/>
  </r>
  <r>
    <n v="2273"/>
    <x v="0"/>
    <x v="3"/>
    <x v="11"/>
    <s v="M"/>
    <n v="-1"/>
    <n v="4004.36"/>
    <n v="0"/>
    <n v="0"/>
    <x v="139"/>
    <x v="0"/>
    <x v="5"/>
    <n v="-614.66"/>
  </r>
  <r>
    <n v="2274"/>
    <x v="1"/>
    <x v="0"/>
    <x v="9"/>
    <s v="M"/>
    <n v="4"/>
    <n v="0"/>
    <n v="0.45"/>
    <n v="0"/>
    <x v="140"/>
    <x v="0"/>
    <x v="0"/>
    <n v="2561.89"/>
  </r>
  <r>
    <n v="2275"/>
    <x v="0"/>
    <x v="3"/>
    <x v="16"/>
    <s v="M"/>
    <n v="-1"/>
    <n v="0"/>
    <n v="0"/>
    <n v="0"/>
    <x v="57"/>
    <x v="0"/>
    <x v="3"/>
    <n v="-783.71"/>
  </r>
  <r>
    <n v="2276"/>
    <x v="0"/>
    <x v="2"/>
    <x v="18"/>
    <s v="L"/>
    <n v="-1"/>
    <n v="6066.5"/>
    <n v="0"/>
    <n v="0"/>
    <x v="141"/>
    <x v="1"/>
    <x v="5"/>
    <n v="1181.8699999999999"/>
  </r>
  <r>
    <n v="2277"/>
    <x v="0"/>
    <x v="4"/>
    <x v="19"/>
    <s v="M"/>
    <n v="0"/>
    <n v="3682.84"/>
    <n v="0"/>
    <n v="0"/>
    <x v="14"/>
    <x v="0"/>
    <x v="1"/>
    <n v="3967.77"/>
  </r>
  <r>
    <n v="2278"/>
    <x v="2"/>
    <x v="0"/>
    <x v="0"/>
    <s v="M"/>
    <n v="0"/>
    <n v="0"/>
    <n v="1.22"/>
    <n v="0"/>
    <x v="21"/>
    <x v="1"/>
    <x v="3"/>
    <n v="3638.15"/>
  </r>
  <r>
    <n v="2279"/>
    <x v="1"/>
    <x v="2"/>
    <x v="3"/>
    <s v="M"/>
    <n v="0"/>
    <n v="0"/>
    <n v="0"/>
    <n v="0"/>
    <x v="142"/>
    <x v="1"/>
    <x v="2"/>
    <n v="766.72"/>
  </r>
  <r>
    <n v="2280"/>
    <x v="1"/>
    <x v="1"/>
    <x v="6"/>
    <s v="M"/>
    <n v="-1"/>
    <n v="0"/>
    <n v="0"/>
    <n v="0"/>
    <x v="143"/>
    <x v="0"/>
    <x v="4"/>
    <n v="3069.57"/>
  </r>
  <r>
    <n v="2281"/>
    <x v="0"/>
    <x v="2"/>
    <x v="7"/>
    <s v="M"/>
    <n v="2"/>
    <n v="0"/>
    <n v="0"/>
    <n v="0"/>
    <x v="144"/>
    <x v="1"/>
    <x v="5"/>
    <n v="1753.48"/>
  </r>
  <r>
    <n v="2283"/>
    <x v="2"/>
    <x v="1"/>
    <x v="6"/>
    <s v="M"/>
    <n v="1"/>
    <n v="0"/>
    <n v="0"/>
    <n v="0"/>
    <x v="145"/>
    <x v="1"/>
    <x v="4"/>
    <n v="468.59"/>
  </r>
  <r>
    <n v="2284"/>
    <x v="0"/>
    <x v="1"/>
    <x v="6"/>
    <s v="M"/>
    <n v="0"/>
    <n v="0"/>
    <n v="0.53"/>
    <n v="0"/>
    <x v="29"/>
    <x v="0"/>
    <x v="5"/>
    <n v="1370.01"/>
  </r>
  <r>
    <n v="2285"/>
    <x v="1"/>
    <x v="4"/>
    <x v="19"/>
    <s v="L"/>
    <n v="-1"/>
    <n v="0"/>
    <n v="0"/>
    <n v="0"/>
    <x v="29"/>
    <x v="1"/>
    <x v="4"/>
    <n v="2211.71"/>
  </r>
  <r>
    <n v="2287"/>
    <x v="1"/>
    <x v="3"/>
    <x v="4"/>
    <s v="M"/>
    <n v="3"/>
    <n v="0"/>
    <n v="0"/>
    <n v="0"/>
    <x v="29"/>
    <x v="0"/>
    <x v="2"/>
    <n v="-650.67999999999995"/>
  </r>
  <r>
    <n v="2289"/>
    <x v="1"/>
    <x v="3"/>
    <x v="10"/>
    <s v="L"/>
    <n v="0"/>
    <n v="0"/>
    <n v="0.51"/>
    <n v="0"/>
    <x v="29"/>
    <x v="1"/>
    <x v="2"/>
    <n v="3161.45"/>
  </r>
  <r>
    <n v="2290"/>
    <x v="1"/>
    <x v="0"/>
    <x v="5"/>
    <s v="L"/>
    <n v="0"/>
    <n v="0"/>
    <n v="0"/>
    <n v="0"/>
    <x v="129"/>
    <x v="0"/>
    <x v="5"/>
    <n v="546.66"/>
  </r>
  <r>
    <n v="2291"/>
    <x v="1"/>
    <x v="4"/>
    <x v="19"/>
    <s v="L"/>
    <n v="-1"/>
    <n v="0"/>
    <n v="0"/>
    <n v="0"/>
    <x v="129"/>
    <x v="1"/>
    <x v="3"/>
    <n v="2729.23"/>
  </r>
  <r>
    <n v="2292"/>
    <x v="1"/>
    <x v="3"/>
    <x v="11"/>
    <s v="M"/>
    <n v="2"/>
    <n v="0"/>
    <n v="1.1000000000000001"/>
    <n v="0"/>
    <x v="146"/>
    <x v="0"/>
    <x v="5"/>
    <n v="1192.5"/>
  </r>
  <r>
    <n v="2293"/>
    <x v="1"/>
    <x v="4"/>
    <x v="8"/>
    <s v="XL"/>
    <n v="3"/>
    <n v="0"/>
    <n v="0"/>
    <n v="0"/>
    <x v="147"/>
    <x v="1"/>
    <x v="2"/>
    <n v="2525.87"/>
  </r>
  <r>
    <n v="2297"/>
    <x v="0"/>
    <x v="4"/>
    <x v="19"/>
    <s v="M"/>
    <n v="0"/>
    <n v="6356.31"/>
    <n v="0.74"/>
    <n v="0"/>
    <x v="148"/>
    <x v="0"/>
    <x v="3"/>
    <n v="454.97"/>
  </r>
  <r>
    <n v="2300"/>
    <x v="2"/>
    <x v="4"/>
    <x v="8"/>
    <s v="L"/>
    <n v="3"/>
    <n v="6331.64"/>
    <n v="0.78"/>
    <n v="4178.88"/>
    <x v="149"/>
    <x v="1"/>
    <x v="4"/>
    <n v="3380.28"/>
  </r>
  <r>
    <n v="2301"/>
    <x v="2"/>
    <x v="1"/>
    <x v="6"/>
    <s v="XL"/>
    <n v="0"/>
    <n v="7982.2"/>
    <n v="0"/>
    <n v="0"/>
    <x v="150"/>
    <x v="0"/>
    <x v="3"/>
    <n v="-505.58"/>
  </r>
  <r>
    <n v="2302"/>
    <x v="1"/>
    <x v="3"/>
    <x v="10"/>
    <s v="XL"/>
    <n v="0"/>
    <n v="0"/>
    <n v="0"/>
    <n v="0"/>
    <x v="151"/>
    <x v="1"/>
    <x v="1"/>
    <n v="1489.99"/>
  </r>
  <r>
    <n v="2303"/>
    <x v="0"/>
    <x v="3"/>
    <x v="11"/>
    <s v="L"/>
    <n v="2"/>
    <n v="2504.09"/>
    <n v="0"/>
    <n v="0"/>
    <x v="53"/>
    <x v="1"/>
    <x v="1"/>
    <n v="2971.55"/>
  </r>
  <r>
    <n v="2304"/>
    <x v="2"/>
    <x v="0"/>
    <x v="5"/>
    <s v="M"/>
    <n v="0"/>
    <n v="0"/>
    <n v="0"/>
    <n v="0"/>
    <x v="152"/>
    <x v="0"/>
    <x v="1"/>
    <n v="2055.87"/>
  </r>
  <r>
    <n v="2305"/>
    <x v="0"/>
    <x v="3"/>
    <x v="16"/>
    <s v="L"/>
    <n v="0"/>
    <n v="4803.7"/>
    <n v="0.08"/>
    <n v="0"/>
    <x v="152"/>
    <x v="1"/>
    <x v="2"/>
    <n v="2794.61"/>
  </r>
  <r>
    <n v="2307"/>
    <x v="1"/>
    <x v="3"/>
    <x v="11"/>
    <s v="XL"/>
    <n v="2"/>
    <n v="9369.1"/>
    <n v="0"/>
    <n v="0"/>
    <x v="153"/>
    <x v="1"/>
    <x v="5"/>
    <n v="2390.6999999999998"/>
  </r>
  <r>
    <n v="2004"/>
    <x v="0"/>
    <x v="2"/>
    <x v="17"/>
    <s v="M"/>
    <n v="0"/>
    <n v="0"/>
    <n v="0.6"/>
    <n v="0"/>
    <x v="154"/>
    <x v="1"/>
    <x v="0"/>
    <n v="-276.83"/>
  </r>
  <r>
    <n v="2310"/>
    <x v="2"/>
    <x v="3"/>
    <x v="10"/>
    <s v="XL"/>
    <n v="0"/>
    <n v="0"/>
    <n v="0"/>
    <n v="0"/>
    <x v="155"/>
    <x v="0"/>
    <x v="5"/>
    <n v="-1061.45"/>
  </r>
  <r>
    <n v="2026"/>
    <x v="1"/>
    <x v="0"/>
    <x v="5"/>
    <s v="M"/>
    <n v="4"/>
    <n v="0"/>
    <n v="0.26"/>
    <n v="0"/>
    <x v="156"/>
    <x v="0"/>
    <x v="4"/>
    <n v="495.62"/>
  </r>
  <r>
    <n v="2313"/>
    <x v="1"/>
    <x v="0"/>
    <x v="0"/>
    <s v="M"/>
    <n v="0"/>
    <n v="0"/>
    <n v="0"/>
    <n v="0"/>
    <x v="156"/>
    <x v="0"/>
    <x v="4"/>
    <n v="480.74"/>
  </r>
  <r>
    <n v="2314"/>
    <x v="1"/>
    <x v="1"/>
    <x v="6"/>
    <s v="M"/>
    <n v="2"/>
    <n v="0"/>
    <n v="0.86"/>
    <n v="0"/>
    <x v="157"/>
    <x v="1"/>
    <x v="2"/>
    <n v="1505.11"/>
  </r>
  <r>
    <n v="2315"/>
    <x v="2"/>
    <x v="4"/>
    <x v="12"/>
    <s v="M"/>
    <n v="0"/>
    <n v="9149.8799999999992"/>
    <n v="0.71"/>
    <n v="0"/>
    <x v="158"/>
    <x v="1"/>
    <x v="1"/>
    <n v="143.06"/>
  </r>
  <r>
    <n v="2316"/>
    <x v="2"/>
    <x v="1"/>
    <x v="15"/>
    <s v="M"/>
    <n v="1"/>
    <n v="0"/>
    <n v="0.39"/>
    <n v="0"/>
    <x v="158"/>
    <x v="1"/>
    <x v="4"/>
    <n v="3862.6"/>
  </r>
  <r>
    <n v="2317"/>
    <x v="2"/>
    <x v="0"/>
    <x v="5"/>
    <s v="M"/>
    <n v="0"/>
    <n v="9695.44"/>
    <n v="1.06"/>
    <n v="0"/>
    <x v="159"/>
    <x v="0"/>
    <x v="5"/>
    <n v="32.450000000000003"/>
  </r>
  <r>
    <n v="2318"/>
    <x v="2"/>
    <x v="1"/>
    <x v="15"/>
    <s v="M"/>
    <n v="2"/>
    <n v="0"/>
    <n v="0.25"/>
    <n v="0"/>
    <x v="160"/>
    <x v="1"/>
    <x v="4"/>
    <n v="1894.17"/>
  </r>
  <r>
    <n v="2319"/>
    <x v="1"/>
    <x v="4"/>
    <x v="12"/>
    <s v="L"/>
    <n v="-1"/>
    <n v="5649.99"/>
    <n v="0"/>
    <n v="0"/>
    <x v="161"/>
    <x v="0"/>
    <x v="4"/>
    <n v="2141.6799999999998"/>
  </r>
  <r>
    <n v="2320"/>
    <x v="0"/>
    <x v="3"/>
    <x v="16"/>
    <s v="XL"/>
    <n v="0"/>
    <n v="4033.28"/>
    <n v="0"/>
    <n v="0"/>
    <x v="162"/>
    <x v="1"/>
    <x v="1"/>
    <n v="1265.74"/>
  </r>
  <r>
    <n v="2321"/>
    <x v="2"/>
    <x v="2"/>
    <x v="17"/>
    <s v="M"/>
    <n v="0"/>
    <n v="0"/>
    <n v="0"/>
    <n v="0"/>
    <x v="163"/>
    <x v="0"/>
    <x v="2"/>
    <n v="-362.47"/>
  </r>
  <r>
    <n v="2322"/>
    <x v="1"/>
    <x v="3"/>
    <x v="16"/>
    <s v="L"/>
    <n v="0"/>
    <n v="8016.24"/>
    <n v="0"/>
    <n v="0"/>
    <x v="164"/>
    <x v="1"/>
    <x v="4"/>
    <n v="1333.86"/>
  </r>
  <r>
    <n v="2324"/>
    <x v="1"/>
    <x v="1"/>
    <x v="6"/>
    <s v="M"/>
    <n v="0"/>
    <n v="0"/>
    <n v="0.21"/>
    <n v="0"/>
    <x v="151"/>
    <x v="0"/>
    <x v="5"/>
    <n v="2640.1"/>
  </r>
  <r>
    <n v="2325"/>
    <x v="2"/>
    <x v="4"/>
    <x v="13"/>
    <s v="M"/>
    <n v="0"/>
    <n v="8031.83"/>
    <n v="0.56000000000000005"/>
    <n v="0"/>
    <x v="127"/>
    <x v="0"/>
    <x v="5"/>
    <n v="3954.38"/>
  </r>
  <r>
    <n v="2326"/>
    <x v="1"/>
    <x v="2"/>
    <x v="17"/>
    <s v="XL"/>
    <n v="4"/>
    <n v="9936.94"/>
    <n v="0"/>
    <n v="0"/>
    <x v="40"/>
    <x v="1"/>
    <x v="5"/>
    <n v="2047.65"/>
  </r>
  <r>
    <n v="2327"/>
    <x v="2"/>
    <x v="0"/>
    <x v="5"/>
    <s v="XL"/>
    <n v="4"/>
    <n v="6640.67"/>
    <n v="0"/>
    <n v="0"/>
    <x v="165"/>
    <x v="1"/>
    <x v="4"/>
    <n v="3402.41"/>
  </r>
  <r>
    <n v="2328"/>
    <x v="2"/>
    <x v="2"/>
    <x v="7"/>
    <s v="M"/>
    <n v="2"/>
    <n v="6449.46"/>
    <n v="0.28999999999999998"/>
    <n v="9158.23"/>
    <x v="99"/>
    <x v="0"/>
    <x v="2"/>
    <n v="39.69"/>
  </r>
  <r>
    <n v="2329"/>
    <x v="2"/>
    <x v="4"/>
    <x v="12"/>
    <s v="L"/>
    <n v="4"/>
    <n v="4981.26"/>
    <n v="0"/>
    <n v="0"/>
    <x v="166"/>
    <x v="0"/>
    <x v="2"/>
    <n v="1833.07"/>
  </r>
  <r>
    <n v="2330"/>
    <x v="1"/>
    <x v="0"/>
    <x v="5"/>
    <s v="XL"/>
    <n v="0"/>
    <n v="0"/>
    <n v="0.06"/>
    <n v="0"/>
    <x v="167"/>
    <x v="0"/>
    <x v="2"/>
    <n v="-648.08000000000004"/>
  </r>
  <r>
    <n v="2331"/>
    <x v="0"/>
    <x v="4"/>
    <x v="12"/>
    <s v="L"/>
    <n v="0"/>
    <n v="9023.07"/>
    <n v="0"/>
    <n v="0"/>
    <x v="131"/>
    <x v="1"/>
    <x v="2"/>
    <n v="-304.92"/>
  </r>
  <r>
    <n v="2334"/>
    <x v="1"/>
    <x v="0"/>
    <x v="0"/>
    <s v="L"/>
    <n v="4"/>
    <n v="0"/>
    <n v="0.82"/>
    <n v="0"/>
    <x v="168"/>
    <x v="1"/>
    <x v="2"/>
    <n v="-80.25"/>
  </r>
  <r>
    <n v="2335"/>
    <x v="1"/>
    <x v="3"/>
    <x v="11"/>
    <s v="XL"/>
    <n v="0"/>
    <n v="5620.64"/>
    <n v="0"/>
    <n v="0"/>
    <x v="28"/>
    <x v="0"/>
    <x v="2"/>
    <n v="217.22"/>
  </r>
  <r>
    <n v="2336"/>
    <x v="0"/>
    <x v="1"/>
    <x v="6"/>
    <s v="M"/>
    <n v="4"/>
    <n v="8482.43"/>
    <n v="0"/>
    <n v="0"/>
    <x v="169"/>
    <x v="0"/>
    <x v="3"/>
    <n v="3854.71"/>
  </r>
  <r>
    <n v="2338"/>
    <x v="1"/>
    <x v="1"/>
    <x v="2"/>
    <s v="XL"/>
    <n v="0"/>
    <n v="0"/>
    <n v="0"/>
    <n v="0"/>
    <x v="169"/>
    <x v="1"/>
    <x v="4"/>
    <n v="3529.93"/>
  </r>
  <r>
    <n v="2339"/>
    <x v="1"/>
    <x v="4"/>
    <x v="19"/>
    <s v="L"/>
    <n v="4"/>
    <n v="0"/>
    <n v="0"/>
    <n v="0"/>
    <x v="169"/>
    <x v="1"/>
    <x v="5"/>
    <n v="3196.02"/>
  </r>
  <r>
    <n v="2340"/>
    <x v="1"/>
    <x v="3"/>
    <x v="11"/>
    <s v="M"/>
    <n v="3"/>
    <n v="0"/>
    <n v="0.91"/>
    <n v="0"/>
    <x v="170"/>
    <x v="0"/>
    <x v="2"/>
    <n v="-425.99"/>
  </r>
  <r>
    <n v="2341"/>
    <x v="1"/>
    <x v="2"/>
    <x v="7"/>
    <s v="M"/>
    <n v="0"/>
    <n v="0"/>
    <n v="0"/>
    <n v="0"/>
    <x v="20"/>
    <x v="0"/>
    <x v="1"/>
    <n v="-280.18"/>
  </r>
  <r>
    <n v="2342"/>
    <x v="1"/>
    <x v="0"/>
    <x v="9"/>
    <s v="XL"/>
    <n v="0"/>
    <n v="0"/>
    <n v="0"/>
    <n v="0"/>
    <x v="171"/>
    <x v="1"/>
    <x v="5"/>
    <n v="3463.09"/>
  </r>
  <r>
    <n v="2344"/>
    <x v="0"/>
    <x v="0"/>
    <x v="14"/>
    <s v="M"/>
    <n v="-1"/>
    <n v="0"/>
    <n v="0.65"/>
    <n v="0"/>
    <x v="172"/>
    <x v="0"/>
    <x v="5"/>
    <n v="938.88"/>
  </r>
  <r>
    <n v="2346"/>
    <x v="2"/>
    <x v="1"/>
    <x v="15"/>
    <s v="M"/>
    <n v="0"/>
    <n v="6320.59"/>
    <n v="0.93"/>
    <n v="0"/>
    <x v="172"/>
    <x v="1"/>
    <x v="2"/>
    <n v="324.45"/>
  </r>
  <r>
    <n v="2347"/>
    <x v="2"/>
    <x v="0"/>
    <x v="5"/>
    <s v="L"/>
    <n v="0"/>
    <n v="9653.35"/>
    <n v="0"/>
    <n v="0"/>
    <x v="173"/>
    <x v="1"/>
    <x v="0"/>
    <n v="3511.89"/>
  </r>
  <r>
    <n v="2348"/>
    <x v="0"/>
    <x v="0"/>
    <x v="9"/>
    <s v="XL"/>
    <n v="0"/>
    <n v="6591.41"/>
    <n v="0"/>
    <n v="0"/>
    <x v="174"/>
    <x v="1"/>
    <x v="4"/>
    <n v="2604.6799999999998"/>
  </r>
  <r>
    <n v="2349"/>
    <x v="0"/>
    <x v="1"/>
    <x v="1"/>
    <s v="M"/>
    <n v="3"/>
    <n v="0"/>
    <n v="0"/>
    <n v="0"/>
    <x v="175"/>
    <x v="0"/>
    <x v="4"/>
    <n v="-902.62"/>
  </r>
  <r>
    <n v="2351"/>
    <x v="2"/>
    <x v="4"/>
    <x v="19"/>
    <s v="M"/>
    <n v="3"/>
    <n v="4179.34"/>
    <n v="0"/>
    <n v="0"/>
    <x v="176"/>
    <x v="1"/>
    <x v="3"/>
    <n v="2363.69"/>
  </r>
  <r>
    <n v="2352"/>
    <x v="2"/>
    <x v="4"/>
    <x v="19"/>
    <s v="M"/>
    <n v="0"/>
    <n v="0"/>
    <n v="0"/>
    <n v="0"/>
    <x v="177"/>
    <x v="0"/>
    <x v="0"/>
    <n v="599.21"/>
  </r>
  <r>
    <n v="2353"/>
    <x v="0"/>
    <x v="0"/>
    <x v="14"/>
    <s v="M"/>
    <n v="0"/>
    <n v="0"/>
    <n v="0.22"/>
    <n v="0"/>
    <x v="178"/>
    <x v="1"/>
    <x v="0"/>
    <n v="818.35"/>
  </r>
  <r>
    <n v="2354"/>
    <x v="2"/>
    <x v="4"/>
    <x v="12"/>
    <s v="L"/>
    <n v="0"/>
    <n v="0"/>
    <n v="0"/>
    <n v="0"/>
    <x v="37"/>
    <x v="0"/>
    <x v="1"/>
    <n v="1445.09"/>
  </r>
  <r>
    <n v="2355"/>
    <x v="1"/>
    <x v="2"/>
    <x v="7"/>
    <s v="L"/>
    <n v="1"/>
    <n v="0"/>
    <n v="0"/>
    <n v="0"/>
    <x v="179"/>
    <x v="1"/>
    <x v="0"/>
    <n v="-887.83"/>
  </r>
  <r>
    <n v="2356"/>
    <x v="2"/>
    <x v="4"/>
    <x v="8"/>
    <s v="L"/>
    <n v="0"/>
    <n v="0"/>
    <n v="0"/>
    <n v="0"/>
    <x v="180"/>
    <x v="1"/>
    <x v="3"/>
    <n v="543.26"/>
  </r>
  <r>
    <n v="2357"/>
    <x v="1"/>
    <x v="2"/>
    <x v="18"/>
    <s v="M"/>
    <n v="0"/>
    <n v="0"/>
    <n v="1.23"/>
    <n v="0"/>
    <x v="77"/>
    <x v="1"/>
    <x v="0"/>
    <n v="-1199.32"/>
  </r>
  <r>
    <n v="2358"/>
    <x v="2"/>
    <x v="4"/>
    <x v="19"/>
    <s v="M"/>
    <n v="4"/>
    <n v="0"/>
    <n v="0"/>
    <n v="0"/>
    <x v="181"/>
    <x v="0"/>
    <x v="3"/>
    <n v="1819.6"/>
  </r>
  <r>
    <n v="2359"/>
    <x v="2"/>
    <x v="2"/>
    <x v="7"/>
    <s v="L"/>
    <n v="-1"/>
    <n v="9836.48"/>
    <n v="0.34"/>
    <n v="-6492.08"/>
    <x v="181"/>
    <x v="1"/>
    <x v="3"/>
    <n v="-874.96"/>
  </r>
  <r>
    <n v="2360"/>
    <x v="1"/>
    <x v="0"/>
    <x v="9"/>
    <s v="XL"/>
    <n v="0"/>
    <n v="0"/>
    <n v="0.85"/>
    <n v="0"/>
    <x v="182"/>
    <x v="0"/>
    <x v="1"/>
    <n v="1947.5"/>
  </r>
  <r>
    <n v="2361"/>
    <x v="0"/>
    <x v="0"/>
    <x v="5"/>
    <s v="L"/>
    <n v="0"/>
    <n v="0"/>
    <n v="1.06"/>
    <n v="0"/>
    <x v="79"/>
    <x v="1"/>
    <x v="2"/>
    <n v="1302.98"/>
  </r>
  <r>
    <n v="2362"/>
    <x v="1"/>
    <x v="2"/>
    <x v="3"/>
    <s v="XL"/>
    <n v="2"/>
    <n v="0"/>
    <n v="1.04"/>
    <n v="0"/>
    <x v="157"/>
    <x v="0"/>
    <x v="0"/>
    <n v="3817.26"/>
  </r>
  <r>
    <n v="2363"/>
    <x v="0"/>
    <x v="3"/>
    <x v="16"/>
    <s v="XL"/>
    <n v="0"/>
    <n v="5419.15"/>
    <n v="1.08"/>
    <n v="0"/>
    <x v="183"/>
    <x v="1"/>
    <x v="1"/>
    <n v="-597.61"/>
  </r>
  <r>
    <n v="2364"/>
    <x v="1"/>
    <x v="2"/>
    <x v="17"/>
    <s v="M"/>
    <n v="0"/>
    <n v="0"/>
    <n v="0.27"/>
    <n v="0"/>
    <x v="183"/>
    <x v="0"/>
    <x v="4"/>
    <n v="1414.23"/>
  </r>
  <r>
    <n v="2365"/>
    <x v="1"/>
    <x v="3"/>
    <x v="4"/>
    <s v="M"/>
    <n v="0"/>
    <n v="0"/>
    <n v="0"/>
    <n v="0"/>
    <x v="149"/>
    <x v="0"/>
    <x v="1"/>
    <n v="3555.61"/>
  </r>
  <r>
    <n v="2366"/>
    <x v="0"/>
    <x v="2"/>
    <x v="7"/>
    <s v="M"/>
    <n v="0"/>
    <n v="0"/>
    <n v="0.63"/>
    <n v="0"/>
    <x v="184"/>
    <x v="1"/>
    <x v="0"/>
    <n v="3737.47"/>
  </r>
  <r>
    <n v="2367"/>
    <x v="0"/>
    <x v="2"/>
    <x v="17"/>
    <s v="XL"/>
    <n v="4"/>
    <n v="6202.99"/>
    <n v="0.84"/>
    <n v="3969.91"/>
    <x v="158"/>
    <x v="0"/>
    <x v="0"/>
    <n v="-202.12"/>
  </r>
  <r>
    <n v="2368"/>
    <x v="1"/>
    <x v="2"/>
    <x v="7"/>
    <s v="L"/>
    <n v="0"/>
    <n v="5582.98"/>
    <n v="0"/>
    <n v="0"/>
    <x v="185"/>
    <x v="1"/>
    <x v="4"/>
    <n v="2369.2800000000002"/>
  </r>
  <r>
    <n v="2369"/>
    <x v="2"/>
    <x v="4"/>
    <x v="19"/>
    <s v="XL"/>
    <n v="0"/>
    <n v="4248.21"/>
    <n v="0.5"/>
    <n v="0"/>
    <x v="56"/>
    <x v="0"/>
    <x v="1"/>
    <n v="2427.86"/>
  </r>
  <r>
    <n v="2370"/>
    <x v="2"/>
    <x v="3"/>
    <x v="16"/>
    <s v="L"/>
    <n v="2"/>
    <n v="0"/>
    <n v="0"/>
    <n v="0"/>
    <x v="155"/>
    <x v="0"/>
    <x v="4"/>
    <n v="867.37"/>
  </r>
  <r>
    <n v="2373"/>
    <x v="1"/>
    <x v="2"/>
    <x v="18"/>
    <s v="XL"/>
    <n v="0"/>
    <n v="8637.25"/>
    <n v="0.35"/>
    <n v="0"/>
    <x v="186"/>
    <x v="1"/>
    <x v="5"/>
    <n v="2738.82"/>
  </r>
  <r>
    <n v="2006"/>
    <x v="1"/>
    <x v="4"/>
    <x v="13"/>
    <s v="L"/>
    <n v="-1"/>
    <n v="8799.2199999999993"/>
    <n v="0"/>
    <n v="0"/>
    <x v="187"/>
    <x v="1"/>
    <x v="0"/>
    <n v="-1109.57"/>
  </r>
  <r>
    <n v="2376"/>
    <x v="2"/>
    <x v="2"/>
    <x v="17"/>
    <s v="XL"/>
    <n v="0"/>
    <n v="3718.82"/>
    <n v="0.88"/>
    <n v="0"/>
    <x v="178"/>
    <x v="0"/>
    <x v="4"/>
    <n v="-234.66"/>
  </r>
  <r>
    <n v="2378"/>
    <x v="1"/>
    <x v="4"/>
    <x v="19"/>
    <s v="XL"/>
    <n v="-1"/>
    <n v="0"/>
    <n v="0"/>
    <n v="0"/>
    <x v="188"/>
    <x v="1"/>
    <x v="2"/>
    <n v="2107.42"/>
  </r>
  <r>
    <n v="2379"/>
    <x v="2"/>
    <x v="2"/>
    <x v="18"/>
    <s v="L"/>
    <n v="4"/>
    <n v="0"/>
    <n v="0"/>
    <n v="0"/>
    <x v="189"/>
    <x v="0"/>
    <x v="2"/>
    <n v="3289.77"/>
  </r>
  <r>
    <n v="2380"/>
    <x v="2"/>
    <x v="1"/>
    <x v="15"/>
    <s v="M"/>
    <n v="1"/>
    <n v="7932.85"/>
    <n v="0"/>
    <n v="0"/>
    <x v="157"/>
    <x v="1"/>
    <x v="4"/>
    <n v="2707.27"/>
  </r>
  <r>
    <n v="2381"/>
    <x v="0"/>
    <x v="2"/>
    <x v="17"/>
    <s v="M"/>
    <n v="3"/>
    <n v="4834.6499999999996"/>
    <n v="1.02"/>
    <n v="-290.08"/>
    <x v="190"/>
    <x v="1"/>
    <x v="3"/>
    <n v="213.96"/>
  </r>
  <r>
    <n v="2382"/>
    <x v="2"/>
    <x v="2"/>
    <x v="7"/>
    <s v="L"/>
    <n v="4"/>
    <n v="0"/>
    <n v="0"/>
    <n v="0"/>
    <x v="0"/>
    <x v="1"/>
    <x v="2"/>
    <n v="787.42"/>
  </r>
  <r>
    <n v="2386"/>
    <x v="2"/>
    <x v="4"/>
    <x v="12"/>
    <s v="M"/>
    <n v="0"/>
    <n v="2271.77"/>
    <n v="0"/>
    <n v="0"/>
    <x v="144"/>
    <x v="0"/>
    <x v="3"/>
    <n v="2029.55"/>
  </r>
  <r>
    <n v="2388"/>
    <x v="0"/>
    <x v="3"/>
    <x v="10"/>
    <s v="L"/>
    <n v="1"/>
    <n v="5321.46"/>
    <n v="0"/>
    <n v="0"/>
    <x v="191"/>
    <x v="1"/>
    <x v="0"/>
    <n v="2587.2600000000002"/>
  </r>
  <r>
    <n v="2389"/>
    <x v="1"/>
    <x v="4"/>
    <x v="12"/>
    <s v="XL"/>
    <n v="0"/>
    <n v="7901.16"/>
    <n v="0.77"/>
    <n v="0"/>
    <x v="29"/>
    <x v="0"/>
    <x v="4"/>
    <n v="-406.39"/>
  </r>
  <r>
    <n v="2390"/>
    <x v="0"/>
    <x v="2"/>
    <x v="7"/>
    <s v="XL"/>
    <n v="-1"/>
    <n v="0"/>
    <n v="0"/>
    <n v="0"/>
    <x v="192"/>
    <x v="0"/>
    <x v="4"/>
    <n v="496.54"/>
  </r>
  <r>
    <n v="2002"/>
    <x v="1"/>
    <x v="0"/>
    <x v="14"/>
    <s v="XL"/>
    <n v="4"/>
    <n v="6820.42"/>
    <n v="0"/>
    <n v="0"/>
    <x v="178"/>
    <x v="1"/>
    <x v="5"/>
    <n v="3842.85"/>
  </r>
  <r>
    <n v="2392"/>
    <x v="0"/>
    <x v="4"/>
    <x v="13"/>
    <s v="XL"/>
    <n v="0"/>
    <n v="8631.0300000000007"/>
    <n v="0"/>
    <n v="0"/>
    <x v="178"/>
    <x v="1"/>
    <x v="0"/>
    <n v="1356.18"/>
  </r>
  <r>
    <n v="2050"/>
    <x v="0"/>
    <x v="0"/>
    <x v="14"/>
    <s v="L"/>
    <n v="0"/>
    <n v="0"/>
    <n v="1.19"/>
    <n v="0"/>
    <x v="178"/>
    <x v="1"/>
    <x v="1"/>
    <n v="4.76"/>
  </r>
  <r>
    <n v="2394"/>
    <x v="0"/>
    <x v="2"/>
    <x v="18"/>
    <s v="XL"/>
    <n v="0"/>
    <n v="0"/>
    <n v="0.2"/>
    <n v="0"/>
    <x v="193"/>
    <x v="0"/>
    <x v="4"/>
    <n v="-133.03"/>
  </r>
  <r>
    <n v="2395"/>
    <x v="0"/>
    <x v="1"/>
    <x v="2"/>
    <s v="XL"/>
    <n v="1"/>
    <n v="0"/>
    <n v="0"/>
    <n v="0"/>
    <x v="194"/>
    <x v="0"/>
    <x v="3"/>
    <n v="85"/>
  </r>
  <r>
    <n v="2396"/>
    <x v="2"/>
    <x v="4"/>
    <x v="8"/>
    <s v="L"/>
    <n v="0"/>
    <n v="5967.92"/>
    <n v="0.03"/>
    <n v="0"/>
    <x v="195"/>
    <x v="1"/>
    <x v="3"/>
    <n v="859.93"/>
  </r>
  <r>
    <n v="2397"/>
    <x v="2"/>
    <x v="1"/>
    <x v="15"/>
    <s v="XL"/>
    <n v="0"/>
    <n v="0"/>
    <n v="0"/>
    <n v="0"/>
    <x v="196"/>
    <x v="1"/>
    <x v="2"/>
    <n v="3996.96"/>
  </r>
  <r>
    <n v="2398"/>
    <x v="1"/>
    <x v="1"/>
    <x v="6"/>
    <s v="L"/>
    <n v="0"/>
    <n v="4301.8500000000004"/>
    <n v="0.74"/>
    <n v="0"/>
    <x v="196"/>
    <x v="1"/>
    <x v="0"/>
    <n v="3888.42"/>
  </r>
  <r>
    <n v="2399"/>
    <x v="1"/>
    <x v="3"/>
    <x v="10"/>
    <s v="L"/>
    <n v="-1"/>
    <n v="6188.29"/>
    <n v="0"/>
    <n v="0"/>
    <x v="170"/>
    <x v="1"/>
    <x v="3"/>
    <n v="515.6"/>
  </r>
  <r>
    <n v="2025"/>
    <x v="0"/>
    <x v="0"/>
    <x v="14"/>
    <s v="XL"/>
    <n v="4"/>
    <n v="6743.07"/>
    <n v="0"/>
    <n v="0"/>
    <x v="197"/>
    <x v="0"/>
    <x v="3"/>
    <n v="-277.41000000000003"/>
  </r>
  <r>
    <n v="2403"/>
    <x v="1"/>
    <x v="3"/>
    <x v="4"/>
    <s v="XL"/>
    <n v="0"/>
    <n v="0"/>
    <n v="1.1299999999999999"/>
    <n v="0"/>
    <x v="198"/>
    <x v="1"/>
    <x v="4"/>
    <n v="1309.54"/>
  </r>
  <r>
    <n v="2404"/>
    <x v="2"/>
    <x v="2"/>
    <x v="3"/>
    <s v="XL"/>
    <n v="0"/>
    <n v="0"/>
    <n v="0.09"/>
    <n v="0"/>
    <x v="199"/>
    <x v="0"/>
    <x v="3"/>
    <n v="-501.36"/>
  </r>
  <r>
    <n v="2405"/>
    <x v="2"/>
    <x v="4"/>
    <x v="12"/>
    <s v="M"/>
    <n v="1"/>
    <n v="0"/>
    <n v="0"/>
    <n v="0"/>
    <x v="117"/>
    <x v="0"/>
    <x v="5"/>
    <n v="69.95"/>
  </r>
  <r>
    <n v="2406"/>
    <x v="2"/>
    <x v="0"/>
    <x v="9"/>
    <s v="L"/>
    <n v="4"/>
    <n v="6458.72"/>
    <n v="0"/>
    <n v="0"/>
    <x v="200"/>
    <x v="0"/>
    <x v="2"/>
    <n v="402"/>
  </r>
  <r>
    <n v="2407"/>
    <x v="0"/>
    <x v="3"/>
    <x v="11"/>
    <s v="M"/>
    <n v="0"/>
    <n v="9193.15"/>
    <n v="0"/>
    <n v="0"/>
    <x v="201"/>
    <x v="0"/>
    <x v="5"/>
    <n v="521.77"/>
  </r>
  <r>
    <n v="2408"/>
    <x v="2"/>
    <x v="1"/>
    <x v="2"/>
    <s v="XL"/>
    <n v="1"/>
    <n v="0"/>
    <n v="0"/>
    <n v="0"/>
    <x v="197"/>
    <x v="1"/>
    <x v="0"/>
    <n v="1731.86"/>
  </r>
  <r>
    <n v="2409"/>
    <x v="2"/>
    <x v="4"/>
    <x v="13"/>
    <s v="M"/>
    <n v="0"/>
    <n v="0"/>
    <n v="0"/>
    <n v="0"/>
    <x v="46"/>
    <x v="1"/>
    <x v="0"/>
    <n v="2993.72"/>
  </r>
  <r>
    <n v="2025"/>
    <x v="2"/>
    <x v="2"/>
    <x v="3"/>
    <s v="L"/>
    <n v="1"/>
    <n v="8903.17"/>
    <n v="0"/>
    <n v="0"/>
    <x v="46"/>
    <x v="1"/>
    <x v="5"/>
    <n v="3808.81"/>
  </r>
  <r>
    <n v="2412"/>
    <x v="0"/>
    <x v="2"/>
    <x v="3"/>
    <s v="XL"/>
    <n v="1"/>
    <n v="4920.3"/>
    <n v="0.14000000000000001"/>
    <n v="4231.46"/>
    <x v="46"/>
    <x v="1"/>
    <x v="2"/>
    <n v="1135.72"/>
  </r>
  <r>
    <n v="2413"/>
    <x v="2"/>
    <x v="0"/>
    <x v="5"/>
    <s v="XL"/>
    <n v="3"/>
    <n v="7005.67"/>
    <n v="0.15"/>
    <n v="17864.46"/>
    <x v="46"/>
    <x v="1"/>
    <x v="5"/>
    <n v="2329.98"/>
  </r>
  <r>
    <n v="2414"/>
    <x v="1"/>
    <x v="4"/>
    <x v="8"/>
    <s v="XL"/>
    <n v="0"/>
    <n v="8141.8"/>
    <n v="0"/>
    <n v="0"/>
    <x v="199"/>
    <x v="0"/>
    <x v="1"/>
    <n v="-829.35"/>
  </r>
  <r>
    <n v="2415"/>
    <x v="1"/>
    <x v="3"/>
    <x v="11"/>
    <s v="M"/>
    <n v="3"/>
    <n v="6178.39"/>
    <n v="0"/>
    <n v="0"/>
    <x v="202"/>
    <x v="1"/>
    <x v="0"/>
    <n v="73.75"/>
  </r>
  <r>
    <n v="2416"/>
    <x v="0"/>
    <x v="1"/>
    <x v="6"/>
    <s v="M"/>
    <n v="3"/>
    <n v="6245.23"/>
    <n v="1.1499999999999999"/>
    <n v="-2810.35"/>
    <x v="68"/>
    <x v="1"/>
    <x v="2"/>
    <n v="3485.64"/>
  </r>
  <r>
    <n v="2418"/>
    <x v="2"/>
    <x v="1"/>
    <x v="15"/>
    <s v="XL"/>
    <n v="0"/>
    <n v="9288.75"/>
    <n v="0.54"/>
    <n v="0"/>
    <x v="174"/>
    <x v="1"/>
    <x v="2"/>
    <n v="3110.43"/>
  </r>
  <r>
    <n v="2419"/>
    <x v="2"/>
    <x v="2"/>
    <x v="17"/>
    <s v="L"/>
    <n v="0"/>
    <n v="8738.99"/>
    <n v="0.47"/>
    <n v="0"/>
    <x v="135"/>
    <x v="0"/>
    <x v="1"/>
    <n v="2868.49"/>
  </r>
  <r>
    <n v="2420"/>
    <x v="0"/>
    <x v="4"/>
    <x v="13"/>
    <s v="M"/>
    <n v="0"/>
    <n v="0"/>
    <n v="1.02"/>
    <n v="0"/>
    <x v="203"/>
    <x v="0"/>
    <x v="1"/>
    <n v="1664.6"/>
  </r>
  <r>
    <n v="2421"/>
    <x v="1"/>
    <x v="3"/>
    <x v="4"/>
    <s v="M"/>
    <n v="2"/>
    <n v="8136.39"/>
    <n v="0"/>
    <n v="0"/>
    <x v="78"/>
    <x v="1"/>
    <x v="3"/>
    <n v="3398.15"/>
  </r>
  <r>
    <n v="2025"/>
    <x v="0"/>
    <x v="0"/>
    <x v="5"/>
    <s v="M"/>
    <n v="0"/>
    <n v="4554.97"/>
    <n v="0"/>
    <n v="0"/>
    <x v="22"/>
    <x v="1"/>
    <x v="1"/>
    <n v="2802.1"/>
  </r>
  <r>
    <n v="2424"/>
    <x v="1"/>
    <x v="4"/>
    <x v="8"/>
    <s v="M"/>
    <n v="0"/>
    <n v="7634.65"/>
    <n v="0"/>
    <n v="0"/>
    <x v="22"/>
    <x v="0"/>
    <x v="5"/>
    <n v="1749.8"/>
  </r>
  <r>
    <n v="2425"/>
    <x v="0"/>
    <x v="0"/>
    <x v="14"/>
    <s v="XL"/>
    <n v="0"/>
    <n v="0"/>
    <n v="0.38"/>
    <n v="0"/>
    <x v="204"/>
    <x v="0"/>
    <x v="0"/>
    <n v="3058.78"/>
  </r>
  <r>
    <n v="2426"/>
    <x v="0"/>
    <x v="2"/>
    <x v="17"/>
    <s v="M"/>
    <n v="0"/>
    <n v="2278.67"/>
    <n v="0.56000000000000005"/>
    <n v="0"/>
    <x v="22"/>
    <x v="1"/>
    <x v="3"/>
    <n v="-72.52"/>
  </r>
  <r>
    <n v="2427"/>
    <x v="2"/>
    <x v="3"/>
    <x v="16"/>
    <s v="M"/>
    <n v="0"/>
    <n v="2904.11"/>
    <n v="0"/>
    <n v="0"/>
    <x v="140"/>
    <x v="0"/>
    <x v="4"/>
    <n v="1683.98"/>
  </r>
  <r>
    <n v="2428"/>
    <x v="0"/>
    <x v="4"/>
    <x v="12"/>
    <s v="M"/>
    <n v="2"/>
    <n v="0"/>
    <n v="0"/>
    <n v="0"/>
    <x v="182"/>
    <x v="1"/>
    <x v="2"/>
    <n v="427.51"/>
  </r>
  <r>
    <n v="2429"/>
    <x v="0"/>
    <x v="2"/>
    <x v="17"/>
    <s v="L"/>
    <n v="0"/>
    <n v="0"/>
    <n v="0"/>
    <n v="0"/>
    <x v="205"/>
    <x v="0"/>
    <x v="2"/>
    <n v="550.48"/>
  </r>
  <r>
    <n v="2430"/>
    <x v="1"/>
    <x v="1"/>
    <x v="1"/>
    <s v="M"/>
    <n v="3"/>
    <n v="0"/>
    <n v="0.1"/>
    <n v="0"/>
    <x v="206"/>
    <x v="0"/>
    <x v="3"/>
    <n v="215.3"/>
  </r>
  <r>
    <n v="2431"/>
    <x v="1"/>
    <x v="2"/>
    <x v="3"/>
    <s v="L"/>
    <n v="1"/>
    <n v="0"/>
    <n v="0"/>
    <n v="0"/>
    <x v="61"/>
    <x v="0"/>
    <x v="1"/>
    <n v="1627.78"/>
  </r>
  <r>
    <n v="2432"/>
    <x v="1"/>
    <x v="4"/>
    <x v="13"/>
    <s v="L"/>
    <n v="1"/>
    <n v="3036.61"/>
    <n v="0.86"/>
    <n v="425.13"/>
    <x v="32"/>
    <x v="0"/>
    <x v="2"/>
    <n v="3754.3"/>
  </r>
  <r>
    <n v="2434"/>
    <x v="0"/>
    <x v="0"/>
    <x v="9"/>
    <s v="M"/>
    <n v="-1"/>
    <n v="3019.25"/>
    <n v="0.79"/>
    <n v="-634.04"/>
    <x v="207"/>
    <x v="0"/>
    <x v="1"/>
    <n v="387.15"/>
  </r>
  <r>
    <n v="2435"/>
    <x v="0"/>
    <x v="2"/>
    <x v="7"/>
    <s v="XL"/>
    <n v="0"/>
    <n v="5853.58"/>
    <n v="0"/>
    <n v="0"/>
    <x v="208"/>
    <x v="1"/>
    <x v="5"/>
    <n v="2378.8200000000002"/>
  </r>
  <r>
    <n v="2436"/>
    <x v="0"/>
    <x v="4"/>
    <x v="19"/>
    <s v="M"/>
    <n v="0"/>
    <n v="0"/>
    <n v="0.81"/>
    <n v="0"/>
    <x v="208"/>
    <x v="0"/>
    <x v="0"/>
    <n v="2213.84"/>
  </r>
  <r>
    <n v="2437"/>
    <x v="1"/>
    <x v="3"/>
    <x v="16"/>
    <s v="XL"/>
    <n v="3"/>
    <n v="0"/>
    <n v="0.53"/>
    <n v="0"/>
    <x v="209"/>
    <x v="1"/>
    <x v="1"/>
    <n v="-281.42"/>
  </r>
  <r>
    <n v="2438"/>
    <x v="2"/>
    <x v="0"/>
    <x v="9"/>
    <s v="M"/>
    <n v="0"/>
    <n v="0"/>
    <n v="0"/>
    <n v="0"/>
    <x v="210"/>
    <x v="1"/>
    <x v="2"/>
    <n v="2965.39"/>
  </r>
  <r>
    <n v="2439"/>
    <x v="2"/>
    <x v="2"/>
    <x v="3"/>
    <s v="L"/>
    <n v="-1"/>
    <n v="3239.59"/>
    <n v="0"/>
    <n v="0"/>
    <x v="211"/>
    <x v="1"/>
    <x v="0"/>
    <n v="3467.1"/>
  </r>
  <r>
    <n v="2440"/>
    <x v="1"/>
    <x v="4"/>
    <x v="12"/>
    <s v="XL"/>
    <n v="-1"/>
    <n v="7510.8"/>
    <n v="0"/>
    <n v="0"/>
    <x v="158"/>
    <x v="1"/>
    <x v="5"/>
    <n v="2989.6"/>
  </r>
  <r>
    <n v="2441"/>
    <x v="1"/>
    <x v="0"/>
    <x v="9"/>
    <s v="XL"/>
    <n v="0"/>
    <n v="0"/>
    <n v="1.1100000000000001"/>
    <n v="0"/>
    <x v="158"/>
    <x v="1"/>
    <x v="3"/>
    <n v="-219.02"/>
  </r>
  <r>
    <n v="2442"/>
    <x v="2"/>
    <x v="1"/>
    <x v="1"/>
    <s v="L"/>
    <n v="0"/>
    <n v="0"/>
    <n v="0.04"/>
    <n v="0"/>
    <x v="212"/>
    <x v="0"/>
    <x v="2"/>
    <n v="3083.26"/>
  </r>
  <r>
    <n v="2443"/>
    <x v="1"/>
    <x v="4"/>
    <x v="19"/>
    <s v="M"/>
    <n v="1"/>
    <n v="6271.66"/>
    <n v="0"/>
    <n v="0"/>
    <x v="213"/>
    <x v="1"/>
    <x v="2"/>
    <n v="2449.4299999999998"/>
  </r>
  <r>
    <n v="2444"/>
    <x v="1"/>
    <x v="2"/>
    <x v="3"/>
    <s v="XL"/>
    <n v="3"/>
    <n v="3676.04"/>
    <n v="0"/>
    <n v="0"/>
    <x v="205"/>
    <x v="1"/>
    <x v="3"/>
    <n v="1621.74"/>
  </r>
  <r>
    <n v="2445"/>
    <x v="1"/>
    <x v="4"/>
    <x v="8"/>
    <s v="XL"/>
    <n v="0"/>
    <n v="0"/>
    <n v="0"/>
    <n v="0"/>
    <x v="50"/>
    <x v="0"/>
    <x v="5"/>
    <n v="141.93"/>
  </r>
  <r>
    <n v="2447"/>
    <x v="0"/>
    <x v="2"/>
    <x v="7"/>
    <s v="XL"/>
    <n v="0"/>
    <n v="0"/>
    <n v="0"/>
    <n v="0"/>
    <x v="214"/>
    <x v="0"/>
    <x v="5"/>
    <n v="1291.8"/>
  </r>
  <r>
    <n v="2003"/>
    <x v="1"/>
    <x v="2"/>
    <x v="7"/>
    <s v="XL"/>
    <n v="2"/>
    <n v="8516.4500000000007"/>
    <n v="0.22"/>
    <n v="13285.66"/>
    <x v="215"/>
    <x v="0"/>
    <x v="5"/>
    <n v="1764.52"/>
  </r>
  <r>
    <n v="2450"/>
    <x v="2"/>
    <x v="4"/>
    <x v="8"/>
    <s v="M"/>
    <n v="0"/>
    <n v="7520.63"/>
    <n v="0"/>
    <n v="0"/>
    <x v="132"/>
    <x v="0"/>
    <x v="5"/>
    <n v="1786.43"/>
  </r>
  <r>
    <n v="2452"/>
    <x v="2"/>
    <x v="2"/>
    <x v="17"/>
    <s v="XL"/>
    <n v="0"/>
    <n v="8780.66"/>
    <n v="0"/>
    <n v="0"/>
    <x v="132"/>
    <x v="0"/>
    <x v="0"/>
    <n v="176.96"/>
  </r>
  <r>
    <n v="2453"/>
    <x v="1"/>
    <x v="3"/>
    <x v="4"/>
    <s v="M"/>
    <n v="0"/>
    <n v="9344.52"/>
    <n v="0"/>
    <n v="0"/>
    <x v="132"/>
    <x v="0"/>
    <x v="3"/>
    <n v="387.79"/>
  </r>
  <r>
    <n v="2454"/>
    <x v="1"/>
    <x v="1"/>
    <x v="1"/>
    <s v="XL"/>
    <n v="0"/>
    <n v="0"/>
    <n v="0.19"/>
    <n v="0"/>
    <x v="216"/>
    <x v="0"/>
    <x v="0"/>
    <n v="3100.44"/>
  </r>
  <r>
    <n v="2456"/>
    <x v="1"/>
    <x v="1"/>
    <x v="2"/>
    <s v="M"/>
    <n v="0"/>
    <n v="4254.68"/>
    <n v="0"/>
    <n v="0"/>
    <x v="213"/>
    <x v="1"/>
    <x v="5"/>
    <n v="3498.64"/>
  </r>
  <r>
    <n v="2459"/>
    <x v="0"/>
    <x v="4"/>
    <x v="8"/>
    <s v="M"/>
    <n v="0"/>
    <n v="3572.52"/>
    <n v="0"/>
    <n v="0"/>
    <x v="217"/>
    <x v="1"/>
    <x v="5"/>
    <n v="-404.04"/>
  </r>
  <r>
    <n v="2460"/>
    <x v="1"/>
    <x v="4"/>
    <x v="13"/>
    <s v="XL"/>
    <n v="2"/>
    <n v="5482.96"/>
    <n v="0.35"/>
    <n v="7127.85"/>
    <x v="188"/>
    <x v="0"/>
    <x v="5"/>
    <n v="-823.8"/>
  </r>
  <r>
    <n v="2461"/>
    <x v="1"/>
    <x v="4"/>
    <x v="19"/>
    <s v="L"/>
    <n v="0"/>
    <n v="3939.92"/>
    <n v="0.63"/>
    <n v="0"/>
    <x v="188"/>
    <x v="0"/>
    <x v="3"/>
    <n v="3146.03"/>
  </r>
  <r>
    <n v="2462"/>
    <x v="2"/>
    <x v="4"/>
    <x v="13"/>
    <s v="M"/>
    <n v="0"/>
    <n v="4468.7"/>
    <n v="0.49"/>
    <n v="0"/>
    <x v="162"/>
    <x v="1"/>
    <x v="3"/>
    <n v="2143.6"/>
  </r>
  <r>
    <n v="2037"/>
    <x v="1"/>
    <x v="3"/>
    <x v="4"/>
    <s v="XL"/>
    <n v="0"/>
    <n v="0"/>
    <n v="0"/>
    <n v="0"/>
    <x v="2"/>
    <x v="0"/>
    <x v="4"/>
    <n v="438.39"/>
  </r>
  <r>
    <n v="2464"/>
    <x v="1"/>
    <x v="2"/>
    <x v="3"/>
    <s v="XL"/>
    <n v="3"/>
    <n v="2699.59"/>
    <n v="0"/>
    <n v="0"/>
    <x v="218"/>
    <x v="1"/>
    <x v="1"/>
    <n v="3507.56"/>
  </r>
  <r>
    <n v="2465"/>
    <x v="0"/>
    <x v="2"/>
    <x v="3"/>
    <s v="M"/>
    <n v="1"/>
    <n v="7814.02"/>
    <n v="0"/>
    <n v="0"/>
    <x v="219"/>
    <x v="1"/>
    <x v="3"/>
    <n v="684.07"/>
  </r>
  <r>
    <n v="2467"/>
    <x v="0"/>
    <x v="0"/>
    <x v="0"/>
    <s v="M"/>
    <n v="1"/>
    <n v="8484.82"/>
    <n v="0"/>
    <n v="0"/>
    <x v="220"/>
    <x v="0"/>
    <x v="2"/>
    <n v="1899.54"/>
  </r>
  <r>
    <n v="2468"/>
    <x v="1"/>
    <x v="1"/>
    <x v="15"/>
    <s v="M"/>
    <n v="0"/>
    <n v="6012.23"/>
    <n v="0.62"/>
    <n v="0"/>
    <x v="32"/>
    <x v="1"/>
    <x v="0"/>
    <n v="-1113.25"/>
  </r>
  <r>
    <n v="2469"/>
    <x v="2"/>
    <x v="0"/>
    <x v="9"/>
    <s v="XL"/>
    <n v="4"/>
    <n v="0"/>
    <n v="1.08"/>
    <n v="0"/>
    <x v="221"/>
    <x v="1"/>
    <x v="2"/>
    <n v="-279.26"/>
  </r>
  <r>
    <n v="2470"/>
    <x v="2"/>
    <x v="1"/>
    <x v="6"/>
    <s v="L"/>
    <n v="0"/>
    <n v="0"/>
    <n v="0"/>
    <n v="0"/>
    <x v="123"/>
    <x v="0"/>
    <x v="4"/>
    <n v="1099.17"/>
  </r>
  <r>
    <n v="2471"/>
    <x v="2"/>
    <x v="4"/>
    <x v="12"/>
    <s v="L"/>
    <n v="0"/>
    <n v="4527.6400000000003"/>
    <n v="0"/>
    <n v="0"/>
    <x v="123"/>
    <x v="1"/>
    <x v="3"/>
    <n v="464.96"/>
  </r>
  <r>
    <n v="2472"/>
    <x v="2"/>
    <x v="4"/>
    <x v="19"/>
    <s v="L"/>
    <n v="0"/>
    <n v="2255.65"/>
    <n v="0"/>
    <n v="0"/>
    <x v="67"/>
    <x v="0"/>
    <x v="2"/>
    <n v="560.70000000000005"/>
  </r>
  <r>
    <n v="2474"/>
    <x v="0"/>
    <x v="0"/>
    <x v="9"/>
    <s v="M"/>
    <n v="0"/>
    <n v="0"/>
    <n v="0"/>
    <n v="0"/>
    <x v="114"/>
    <x v="1"/>
    <x v="4"/>
    <n v="115.11"/>
  </r>
  <r>
    <n v="2475"/>
    <x v="2"/>
    <x v="3"/>
    <x v="11"/>
    <s v="L"/>
    <n v="2"/>
    <n v="0"/>
    <n v="1.06"/>
    <n v="0"/>
    <x v="222"/>
    <x v="0"/>
    <x v="0"/>
    <n v="3885.97"/>
  </r>
  <r>
    <n v="2476"/>
    <x v="2"/>
    <x v="1"/>
    <x v="2"/>
    <s v="M"/>
    <n v="0"/>
    <n v="0"/>
    <n v="1.0900000000000001"/>
    <n v="0"/>
    <x v="222"/>
    <x v="1"/>
    <x v="3"/>
    <n v="-627.07000000000005"/>
  </r>
  <r>
    <n v="2477"/>
    <x v="1"/>
    <x v="0"/>
    <x v="14"/>
    <s v="M"/>
    <n v="0"/>
    <n v="5923.67"/>
    <n v="0"/>
    <n v="0"/>
    <x v="223"/>
    <x v="0"/>
    <x v="1"/>
    <n v="-177.68"/>
  </r>
  <r>
    <n v="2480"/>
    <x v="2"/>
    <x v="4"/>
    <x v="12"/>
    <s v="M"/>
    <n v="0"/>
    <n v="0"/>
    <n v="0"/>
    <n v="0"/>
    <x v="224"/>
    <x v="1"/>
    <x v="3"/>
    <n v="25.18"/>
  </r>
  <r>
    <n v="2481"/>
    <x v="1"/>
    <x v="1"/>
    <x v="2"/>
    <s v="M"/>
    <n v="1"/>
    <n v="9145.3700000000008"/>
    <n v="7.0000000000000007E-2"/>
    <n v="8505.19"/>
    <x v="225"/>
    <x v="0"/>
    <x v="3"/>
    <n v="1755.19"/>
  </r>
  <r>
    <n v="2482"/>
    <x v="2"/>
    <x v="2"/>
    <x v="18"/>
    <s v="XL"/>
    <n v="0"/>
    <n v="0"/>
    <n v="0"/>
    <n v="0"/>
    <x v="34"/>
    <x v="0"/>
    <x v="2"/>
    <n v="2642.8"/>
  </r>
  <r>
    <n v="2484"/>
    <x v="2"/>
    <x v="1"/>
    <x v="6"/>
    <s v="M"/>
    <n v="0"/>
    <n v="5308.26"/>
    <n v="1.03"/>
    <n v="0"/>
    <x v="226"/>
    <x v="1"/>
    <x v="0"/>
    <n v="1189.82"/>
  </r>
  <r>
    <n v="2485"/>
    <x v="0"/>
    <x v="3"/>
    <x v="10"/>
    <s v="M"/>
    <n v="0"/>
    <n v="9307.2000000000007"/>
    <n v="0"/>
    <n v="0"/>
    <x v="92"/>
    <x v="0"/>
    <x v="1"/>
    <n v="16.059999999999999"/>
  </r>
  <r>
    <n v="2486"/>
    <x v="0"/>
    <x v="1"/>
    <x v="6"/>
    <s v="M"/>
    <n v="0"/>
    <n v="0"/>
    <n v="0.33"/>
    <n v="0"/>
    <x v="92"/>
    <x v="1"/>
    <x v="1"/>
    <n v="1332.57"/>
  </r>
  <r>
    <n v="2487"/>
    <x v="2"/>
    <x v="3"/>
    <x v="10"/>
    <s v="L"/>
    <n v="3"/>
    <n v="5881.13"/>
    <n v="0.8"/>
    <n v="3528.68"/>
    <x v="47"/>
    <x v="0"/>
    <x v="1"/>
    <n v="2108.4"/>
  </r>
  <r>
    <n v="2488"/>
    <x v="0"/>
    <x v="3"/>
    <x v="11"/>
    <s v="M"/>
    <n v="4"/>
    <n v="6387.51"/>
    <n v="0"/>
    <n v="0"/>
    <x v="47"/>
    <x v="1"/>
    <x v="5"/>
    <n v="300.76"/>
  </r>
  <r>
    <n v="2490"/>
    <x v="1"/>
    <x v="1"/>
    <x v="2"/>
    <s v="L"/>
    <n v="3"/>
    <n v="5015.1899999999996"/>
    <n v="0.75"/>
    <n v="3761.39"/>
    <x v="227"/>
    <x v="0"/>
    <x v="1"/>
    <n v="-494.53"/>
  </r>
  <r>
    <n v="2491"/>
    <x v="0"/>
    <x v="1"/>
    <x v="15"/>
    <s v="M"/>
    <n v="0"/>
    <n v="8998.44"/>
    <n v="0"/>
    <n v="0"/>
    <x v="228"/>
    <x v="0"/>
    <x v="0"/>
    <n v="-432.44"/>
  </r>
  <r>
    <n v="2492"/>
    <x v="0"/>
    <x v="4"/>
    <x v="19"/>
    <s v="L"/>
    <n v="0"/>
    <n v="0"/>
    <n v="0"/>
    <n v="0"/>
    <x v="228"/>
    <x v="0"/>
    <x v="5"/>
    <n v="473.22"/>
  </r>
  <r>
    <n v="2496"/>
    <x v="0"/>
    <x v="3"/>
    <x v="4"/>
    <s v="M"/>
    <n v="2"/>
    <n v="4110.72"/>
    <n v="0.32"/>
    <n v="5590.58"/>
    <x v="53"/>
    <x v="1"/>
    <x v="0"/>
    <n v="3894.95"/>
  </r>
  <r>
    <n v="2497"/>
    <x v="0"/>
    <x v="4"/>
    <x v="8"/>
    <s v="XL"/>
    <n v="1"/>
    <n v="0"/>
    <n v="0"/>
    <n v="0"/>
    <x v="229"/>
    <x v="0"/>
    <x v="2"/>
    <n v="2592.98"/>
  </r>
  <r>
    <n v="2499"/>
    <x v="1"/>
    <x v="1"/>
    <x v="2"/>
    <s v="L"/>
    <n v="0"/>
    <n v="8347.8700000000008"/>
    <n v="0"/>
    <n v="0"/>
    <x v="230"/>
    <x v="1"/>
    <x v="1"/>
    <n v="1488.3"/>
  </r>
  <r>
    <n v="2501"/>
    <x v="1"/>
    <x v="2"/>
    <x v="18"/>
    <s v="L"/>
    <n v="0"/>
    <n v="6453.36"/>
    <n v="0"/>
    <n v="0"/>
    <x v="4"/>
    <x v="1"/>
    <x v="5"/>
    <n v="2321.06"/>
  </r>
  <r>
    <n v="2502"/>
    <x v="1"/>
    <x v="4"/>
    <x v="12"/>
    <s v="M"/>
    <n v="0"/>
    <n v="0"/>
    <n v="0"/>
    <n v="0"/>
    <x v="231"/>
    <x v="1"/>
    <x v="2"/>
    <n v="2412.8200000000002"/>
  </r>
  <r>
    <n v="2503"/>
    <x v="1"/>
    <x v="0"/>
    <x v="14"/>
    <s v="XL"/>
    <n v="-1"/>
    <n v="0"/>
    <n v="0"/>
    <n v="0"/>
    <x v="232"/>
    <x v="0"/>
    <x v="0"/>
    <n v="-173.16"/>
  </r>
  <r>
    <n v="2505"/>
    <x v="1"/>
    <x v="3"/>
    <x v="11"/>
    <s v="M"/>
    <n v="0"/>
    <n v="0"/>
    <n v="1.1100000000000001"/>
    <n v="0"/>
    <x v="57"/>
    <x v="0"/>
    <x v="0"/>
    <n v="3748.24"/>
  </r>
  <r>
    <n v="2507"/>
    <x v="2"/>
    <x v="1"/>
    <x v="15"/>
    <s v="L"/>
    <n v="2"/>
    <n v="0"/>
    <n v="0"/>
    <n v="0"/>
    <x v="233"/>
    <x v="1"/>
    <x v="1"/>
    <n v="2116.5300000000002"/>
  </r>
  <r>
    <n v="2508"/>
    <x v="0"/>
    <x v="1"/>
    <x v="2"/>
    <s v="XL"/>
    <n v="1"/>
    <n v="0"/>
    <n v="1.1599999999999999"/>
    <n v="0"/>
    <x v="233"/>
    <x v="1"/>
    <x v="5"/>
    <n v="1811.51"/>
  </r>
  <r>
    <n v="2509"/>
    <x v="2"/>
    <x v="3"/>
    <x v="4"/>
    <s v="L"/>
    <n v="0"/>
    <n v="0"/>
    <n v="0"/>
    <n v="0"/>
    <x v="131"/>
    <x v="0"/>
    <x v="0"/>
    <n v="1086.0899999999999"/>
  </r>
  <r>
    <n v="2512"/>
    <x v="2"/>
    <x v="0"/>
    <x v="9"/>
    <s v="M"/>
    <n v="0"/>
    <n v="6110.96"/>
    <n v="0"/>
    <n v="0"/>
    <x v="131"/>
    <x v="0"/>
    <x v="5"/>
    <n v="3074.69"/>
  </r>
  <r>
    <n v="2513"/>
    <x v="1"/>
    <x v="4"/>
    <x v="13"/>
    <s v="XL"/>
    <n v="4"/>
    <n v="9848.7999999999993"/>
    <n v="0"/>
    <n v="0"/>
    <x v="5"/>
    <x v="0"/>
    <x v="3"/>
    <n v="2764.66"/>
  </r>
  <r>
    <n v="2514"/>
    <x v="0"/>
    <x v="4"/>
    <x v="8"/>
    <s v="M"/>
    <n v="1"/>
    <n v="0"/>
    <n v="0"/>
    <n v="0"/>
    <x v="234"/>
    <x v="0"/>
    <x v="0"/>
    <n v="1790.41"/>
  </r>
  <r>
    <n v="2517"/>
    <x v="2"/>
    <x v="2"/>
    <x v="18"/>
    <s v="M"/>
    <n v="1"/>
    <n v="3059.89"/>
    <n v="0"/>
    <n v="0"/>
    <x v="234"/>
    <x v="0"/>
    <x v="1"/>
    <n v="1968.82"/>
  </r>
  <r>
    <n v="2518"/>
    <x v="1"/>
    <x v="4"/>
    <x v="8"/>
    <s v="L"/>
    <n v="0"/>
    <n v="0"/>
    <n v="1.03"/>
    <n v="0"/>
    <x v="235"/>
    <x v="1"/>
    <x v="4"/>
    <n v="-703.61"/>
  </r>
  <r>
    <n v="2519"/>
    <x v="1"/>
    <x v="3"/>
    <x v="4"/>
    <s v="L"/>
    <n v="0"/>
    <n v="9701.7199999999993"/>
    <n v="0"/>
    <n v="0"/>
    <x v="51"/>
    <x v="0"/>
    <x v="1"/>
    <n v="-835.82"/>
  </r>
  <r>
    <n v="2521"/>
    <x v="0"/>
    <x v="2"/>
    <x v="3"/>
    <s v="M"/>
    <n v="4"/>
    <n v="3645.35"/>
    <n v="0"/>
    <n v="0"/>
    <x v="156"/>
    <x v="0"/>
    <x v="5"/>
    <n v="3265.83"/>
  </r>
  <r>
    <n v="2522"/>
    <x v="2"/>
    <x v="3"/>
    <x v="16"/>
    <s v="XL"/>
    <n v="4"/>
    <n v="6243.91"/>
    <n v="0"/>
    <n v="0"/>
    <x v="236"/>
    <x v="1"/>
    <x v="5"/>
    <n v="-199.13"/>
  </r>
  <r>
    <n v="2523"/>
    <x v="2"/>
    <x v="4"/>
    <x v="19"/>
    <s v="M"/>
    <n v="0"/>
    <n v="7007.6"/>
    <n v="0"/>
    <n v="0"/>
    <x v="170"/>
    <x v="1"/>
    <x v="5"/>
    <n v="2068.4899999999998"/>
  </r>
  <r>
    <n v="2524"/>
    <x v="1"/>
    <x v="2"/>
    <x v="18"/>
    <s v="XL"/>
    <n v="0"/>
    <n v="0"/>
    <n v="0"/>
    <n v="0"/>
    <x v="237"/>
    <x v="0"/>
    <x v="5"/>
    <n v="997.53"/>
  </r>
  <r>
    <n v="2525"/>
    <x v="1"/>
    <x v="0"/>
    <x v="9"/>
    <s v="XL"/>
    <n v="2"/>
    <n v="0"/>
    <n v="0"/>
    <n v="0"/>
    <x v="238"/>
    <x v="1"/>
    <x v="5"/>
    <n v="3453.18"/>
  </r>
  <r>
    <n v="2526"/>
    <x v="0"/>
    <x v="2"/>
    <x v="7"/>
    <s v="M"/>
    <n v="1"/>
    <n v="0"/>
    <n v="0"/>
    <n v="0"/>
    <x v="239"/>
    <x v="1"/>
    <x v="1"/>
    <n v="3188.07"/>
  </r>
  <r>
    <n v="2527"/>
    <x v="2"/>
    <x v="2"/>
    <x v="18"/>
    <s v="XL"/>
    <n v="0"/>
    <n v="7408.91"/>
    <n v="0"/>
    <n v="0"/>
    <x v="240"/>
    <x v="0"/>
    <x v="4"/>
    <n v="-138.78"/>
  </r>
  <r>
    <n v="2528"/>
    <x v="1"/>
    <x v="0"/>
    <x v="14"/>
    <s v="M"/>
    <n v="2"/>
    <n v="0"/>
    <n v="0"/>
    <n v="0"/>
    <x v="241"/>
    <x v="0"/>
    <x v="4"/>
    <n v="134.1"/>
  </r>
  <r>
    <n v="2529"/>
    <x v="2"/>
    <x v="3"/>
    <x v="4"/>
    <s v="XL"/>
    <n v="0"/>
    <n v="0"/>
    <n v="0"/>
    <n v="0"/>
    <x v="241"/>
    <x v="0"/>
    <x v="5"/>
    <n v="3008.62"/>
  </r>
  <r>
    <n v="2530"/>
    <x v="1"/>
    <x v="2"/>
    <x v="17"/>
    <s v="M"/>
    <n v="2"/>
    <n v="4357.79"/>
    <n v="0"/>
    <n v="0"/>
    <x v="151"/>
    <x v="1"/>
    <x v="2"/>
    <n v="3936.13"/>
  </r>
  <r>
    <n v="2531"/>
    <x v="2"/>
    <x v="1"/>
    <x v="2"/>
    <s v="XL"/>
    <n v="0"/>
    <n v="0"/>
    <n v="0"/>
    <n v="0"/>
    <x v="242"/>
    <x v="0"/>
    <x v="1"/>
    <n v="2875.41"/>
  </r>
  <r>
    <n v="2532"/>
    <x v="2"/>
    <x v="1"/>
    <x v="1"/>
    <s v="L"/>
    <n v="0"/>
    <n v="0"/>
    <n v="0"/>
    <n v="0"/>
    <x v="225"/>
    <x v="1"/>
    <x v="0"/>
    <n v="72.78"/>
  </r>
  <r>
    <n v="2533"/>
    <x v="1"/>
    <x v="0"/>
    <x v="5"/>
    <s v="L"/>
    <n v="0"/>
    <n v="0"/>
    <n v="1.02"/>
    <n v="0"/>
    <x v="243"/>
    <x v="0"/>
    <x v="2"/>
    <n v="2155.46"/>
  </r>
  <r>
    <n v="2534"/>
    <x v="1"/>
    <x v="0"/>
    <x v="0"/>
    <s v="M"/>
    <n v="0"/>
    <n v="0"/>
    <n v="0"/>
    <n v="0"/>
    <x v="243"/>
    <x v="0"/>
    <x v="3"/>
    <n v="506.26"/>
  </r>
  <r>
    <n v="2535"/>
    <x v="2"/>
    <x v="1"/>
    <x v="1"/>
    <s v="XL"/>
    <n v="2"/>
    <n v="2786.84"/>
    <n v="0.21"/>
    <n v="4403.21"/>
    <x v="244"/>
    <x v="0"/>
    <x v="2"/>
    <n v="3345.36"/>
  </r>
  <r>
    <n v="2536"/>
    <x v="0"/>
    <x v="3"/>
    <x v="10"/>
    <s v="M"/>
    <n v="0"/>
    <n v="2221.7800000000002"/>
    <n v="0.55000000000000004"/>
    <n v="0"/>
    <x v="30"/>
    <x v="1"/>
    <x v="4"/>
    <n v="-1091.6600000000001"/>
  </r>
  <r>
    <n v="2537"/>
    <x v="1"/>
    <x v="2"/>
    <x v="7"/>
    <s v="M"/>
    <n v="0"/>
    <n v="0"/>
    <n v="0"/>
    <n v="0"/>
    <x v="245"/>
    <x v="1"/>
    <x v="0"/>
    <n v="2596.8000000000002"/>
  </r>
  <r>
    <n v="2539"/>
    <x v="1"/>
    <x v="3"/>
    <x v="11"/>
    <s v="L"/>
    <n v="0"/>
    <n v="0"/>
    <n v="0"/>
    <n v="0"/>
    <x v="118"/>
    <x v="0"/>
    <x v="0"/>
    <n v="3748.73"/>
  </r>
  <r>
    <n v="2540"/>
    <x v="1"/>
    <x v="2"/>
    <x v="18"/>
    <s v="L"/>
    <n v="0"/>
    <n v="8794.64"/>
    <n v="0"/>
    <n v="0"/>
    <x v="246"/>
    <x v="0"/>
    <x v="2"/>
    <n v="-938.07"/>
  </r>
  <r>
    <n v="2541"/>
    <x v="0"/>
    <x v="3"/>
    <x v="4"/>
    <s v="M"/>
    <n v="0"/>
    <n v="0"/>
    <n v="0"/>
    <n v="0"/>
    <x v="247"/>
    <x v="1"/>
    <x v="2"/>
    <n v="-1180.1099999999999"/>
  </r>
  <r>
    <n v="2542"/>
    <x v="0"/>
    <x v="3"/>
    <x v="4"/>
    <s v="XL"/>
    <n v="0"/>
    <n v="0"/>
    <n v="0.18"/>
    <n v="0"/>
    <x v="247"/>
    <x v="1"/>
    <x v="1"/>
    <n v="-1115.8900000000001"/>
  </r>
  <r>
    <n v="2544"/>
    <x v="2"/>
    <x v="0"/>
    <x v="14"/>
    <s v="L"/>
    <n v="0"/>
    <n v="8856.07"/>
    <n v="0"/>
    <n v="0"/>
    <x v="247"/>
    <x v="0"/>
    <x v="0"/>
    <n v="2069.9299999999998"/>
  </r>
  <r>
    <n v="2545"/>
    <x v="2"/>
    <x v="0"/>
    <x v="9"/>
    <s v="L"/>
    <n v="0"/>
    <n v="0"/>
    <n v="0"/>
    <n v="0"/>
    <x v="49"/>
    <x v="1"/>
    <x v="0"/>
    <n v="924.07"/>
  </r>
  <r>
    <n v="2546"/>
    <x v="0"/>
    <x v="0"/>
    <x v="14"/>
    <s v="XL"/>
    <n v="0"/>
    <n v="5179.57"/>
    <n v="0"/>
    <n v="0"/>
    <x v="178"/>
    <x v="1"/>
    <x v="0"/>
    <n v="2084.9899999999998"/>
  </r>
  <r>
    <n v="2547"/>
    <x v="1"/>
    <x v="1"/>
    <x v="6"/>
    <s v="M"/>
    <n v="1"/>
    <n v="3068.13"/>
    <n v="0"/>
    <n v="0"/>
    <x v="194"/>
    <x v="1"/>
    <x v="5"/>
    <n v="-586.29"/>
  </r>
  <r>
    <n v="2548"/>
    <x v="0"/>
    <x v="3"/>
    <x v="16"/>
    <s v="L"/>
    <n v="0"/>
    <n v="9557"/>
    <n v="0"/>
    <n v="0"/>
    <x v="248"/>
    <x v="0"/>
    <x v="4"/>
    <n v="3847.47"/>
  </r>
  <r>
    <n v="2549"/>
    <x v="2"/>
    <x v="0"/>
    <x v="5"/>
    <s v="XL"/>
    <n v="0"/>
    <n v="4366.09"/>
    <n v="0"/>
    <n v="0"/>
    <x v="248"/>
    <x v="1"/>
    <x v="4"/>
    <n v="1696.1"/>
  </r>
  <r>
    <n v="2550"/>
    <x v="2"/>
    <x v="1"/>
    <x v="2"/>
    <s v="XL"/>
    <n v="1"/>
    <n v="6121.21"/>
    <n v="0.05"/>
    <n v="5815.15"/>
    <x v="249"/>
    <x v="0"/>
    <x v="5"/>
    <n v="2470.08"/>
  </r>
  <r>
    <n v="2551"/>
    <x v="2"/>
    <x v="0"/>
    <x v="14"/>
    <s v="XL"/>
    <n v="0"/>
    <n v="0"/>
    <n v="0"/>
    <n v="0"/>
    <x v="249"/>
    <x v="1"/>
    <x v="2"/>
    <n v="853.25"/>
  </r>
  <r>
    <n v="2552"/>
    <x v="1"/>
    <x v="1"/>
    <x v="2"/>
    <s v="M"/>
    <n v="1"/>
    <n v="0"/>
    <n v="0.41"/>
    <n v="0"/>
    <x v="250"/>
    <x v="1"/>
    <x v="1"/>
    <n v="3389.34"/>
  </r>
  <r>
    <n v="2554"/>
    <x v="1"/>
    <x v="0"/>
    <x v="5"/>
    <s v="M"/>
    <n v="1"/>
    <n v="6755.56"/>
    <n v="0"/>
    <n v="0"/>
    <x v="251"/>
    <x v="1"/>
    <x v="0"/>
    <n v="1002.19"/>
  </r>
  <r>
    <n v="2555"/>
    <x v="1"/>
    <x v="4"/>
    <x v="12"/>
    <s v="M"/>
    <n v="0"/>
    <n v="2685.95"/>
    <n v="0"/>
    <n v="0"/>
    <x v="251"/>
    <x v="1"/>
    <x v="1"/>
    <n v="3675.97"/>
  </r>
  <r>
    <n v="2556"/>
    <x v="0"/>
    <x v="2"/>
    <x v="18"/>
    <s v="M"/>
    <n v="1"/>
    <n v="0"/>
    <n v="0"/>
    <n v="0"/>
    <x v="251"/>
    <x v="1"/>
    <x v="5"/>
    <n v="1327.26"/>
  </r>
  <r>
    <n v="2557"/>
    <x v="2"/>
    <x v="4"/>
    <x v="19"/>
    <s v="M"/>
    <n v="3"/>
    <n v="0"/>
    <n v="0"/>
    <n v="0"/>
    <x v="99"/>
    <x v="1"/>
    <x v="5"/>
    <n v="1115.74"/>
  </r>
  <r>
    <n v="2558"/>
    <x v="0"/>
    <x v="4"/>
    <x v="12"/>
    <s v="L"/>
    <n v="-1"/>
    <n v="3134.87"/>
    <n v="0"/>
    <n v="0"/>
    <x v="99"/>
    <x v="0"/>
    <x v="2"/>
    <n v="-1077.81"/>
  </r>
  <r>
    <n v="2559"/>
    <x v="2"/>
    <x v="2"/>
    <x v="18"/>
    <s v="M"/>
    <n v="3"/>
    <n v="6011.84"/>
    <n v="0"/>
    <n v="0"/>
    <x v="252"/>
    <x v="0"/>
    <x v="5"/>
    <n v="-99.73"/>
  </r>
  <r>
    <n v="2560"/>
    <x v="0"/>
    <x v="4"/>
    <x v="13"/>
    <s v="M"/>
    <n v="2"/>
    <n v="0"/>
    <n v="0"/>
    <n v="0"/>
    <x v="6"/>
    <x v="1"/>
    <x v="4"/>
    <n v="3493.16"/>
  </r>
  <r>
    <n v="2561"/>
    <x v="1"/>
    <x v="1"/>
    <x v="1"/>
    <s v="XL"/>
    <n v="0"/>
    <n v="3642.21"/>
    <n v="0"/>
    <n v="0"/>
    <x v="253"/>
    <x v="0"/>
    <x v="0"/>
    <n v="3900.7"/>
  </r>
  <r>
    <n v="2562"/>
    <x v="0"/>
    <x v="0"/>
    <x v="14"/>
    <s v="L"/>
    <n v="1"/>
    <n v="0"/>
    <n v="0"/>
    <n v="0"/>
    <x v="114"/>
    <x v="1"/>
    <x v="2"/>
    <n v="-79.099999999999994"/>
  </r>
  <r>
    <n v="2563"/>
    <x v="2"/>
    <x v="1"/>
    <x v="6"/>
    <s v="M"/>
    <n v="2"/>
    <n v="9443.35"/>
    <n v="0.54"/>
    <n v="8687.8799999999992"/>
    <x v="254"/>
    <x v="1"/>
    <x v="5"/>
    <n v="2706.61"/>
  </r>
  <r>
    <n v="2564"/>
    <x v="1"/>
    <x v="4"/>
    <x v="19"/>
    <s v="M"/>
    <n v="0"/>
    <n v="0"/>
    <n v="0.72"/>
    <n v="0"/>
    <x v="255"/>
    <x v="0"/>
    <x v="4"/>
    <n v="1279.03"/>
  </r>
  <r>
    <n v="2565"/>
    <x v="1"/>
    <x v="2"/>
    <x v="17"/>
    <s v="XL"/>
    <n v="4"/>
    <n v="3028.41"/>
    <n v="0"/>
    <n v="0"/>
    <x v="256"/>
    <x v="0"/>
    <x v="2"/>
    <n v="1754.48"/>
  </r>
  <r>
    <n v="2567"/>
    <x v="1"/>
    <x v="3"/>
    <x v="10"/>
    <s v="M"/>
    <n v="3"/>
    <n v="0"/>
    <n v="0"/>
    <n v="0"/>
    <x v="70"/>
    <x v="0"/>
    <x v="3"/>
    <n v="1162.3"/>
  </r>
  <r>
    <n v="2569"/>
    <x v="1"/>
    <x v="4"/>
    <x v="8"/>
    <s v="L"/>
    <n v="2"/>
    <n v="9605.11"/>
    <n v="0.88"/>
    <n v="2305.23"/>
    <x v="198"/>
    <x v="0"/>
    <x v="1"/>
    <n v="128.88999999999999"/>
  </r>
  <r>
    <n v="2570"/>
    <x v="2"/>
    <x v="4"/>
    <x v="8"/>
    <s v="L"/>
    <n v="0"/>
    <n v="0"/>
    <n v="0"/>
    <n v="0"/>
    <x v="219"/>
    <x v="0"/>
    <x v="0"/>
    <n v="2986.69"/>
  </r>
  <r>
    <n v="2571"/>
    <x v="0"/>
    <x v="1"/>
    <x v="15"/>
    <s v="M"/>
    <n v="0"/>
    <n v="4728.95"/>
    <n v="0"/>
    <n v="0"/>
    <x v="257"/>
    <x v="1"/>
    <x v="2"/>
    <n v="276.98"/>
  </r>
  <r>
    <n v="2572"/>
    <x v="2"/>
    <x v="2"/>
    <x v="7"/>
    <s v="XL"/>
    <n v="-1"/>
    <n v="2729.99"/>
    <n v="0.76"/>
    <n v="-655.20000000000005"/>
    <x v="243"/>
    <x v="1"/>
    <x v="3"/>
    <n v="1204.81"/>
  </r>
  <r>
    <n v="2575"/>
    <x v="2"/>
    <x v="0"/>
    <x v="9"/>
    <s v="XL"/>
    <n v="2"/>
    <n v="3582.67"/>
    <n v="0"/>
    <n v="0"/>
    <x v="57"/>
    <x v="0"/>
    <x v="1"/>
    <n v="1982.16"/>
  </r>
  <r>
    <n v="2576"/>
    <x v="0"/>
    <x v="3"/>
    <x v="16"/>
    <s v="M"/>
    <n v="0"/>
    <n v="9134.77"/>
    <n v="0"/>
    <n v="0"/>
    <x v="116"/>
    <x v="0"/>
    <x v="3"/>
    <n v="-427.11"/>
  </r>
  <r>
    <n v="2577"/>
    <x v="1"/>
    <x v="3"/>
    <x v="10"/>
    <s v="L"/>
    <n v="-1"/>
    <n v="5545.52"/>
    <n v="0"/>
    <n v="0"/>
    <x v="134"/>
    <x v="1"/>
    <x v="2"/>
    <n v="1185.56"/>
  </r>
  <r>
    <n v="2578"/>
    <x v="2"/>
    <x v="2"/>
    <x v="3"/>
    <s v="M"/>
    <n v="2"/>
    <n v="0"/>
    <n v="0"/>
    <n v="0"/>
    <x v="226"/>
    <x v="1"/>
    <x v="0"/>
    <n v="3550"/>
  </r>
  <r>
    <n v="2579"/>
    <x v="0"/>
    <x v="2"/>
    <x v="17"/>
    <s v="M"/>
    <n v="3"/>
    <n v="9541.83"/>
    <n v="0"/>
    <n v="0"/>
    <x v="179"/>
    <x v="0"/>
    <x v="4"/>
    <n v="589.29999999999995"/>
  </r>
  <r>
    <n v="2580"/>
    <x v="0"/>
    <x v="0"/>
    <x v="5"/>
    <s v="M"/>
    <n v="1"/>
    <n v="2749.79"/>
    <n v="0"/>
    <n v="0"/>
    <x v="258"/>
    <x v="1"/>
    <x v="5"/>
    <n v="2978.85"/>
  </r>
  <r>
    <n v="2581"/>
    <x v="0"/>
    <x v="3"/>
    <x v="11"/>
    <s v="M"/>
    <n v="0"/>
    <n v="0"/>
    <n v="0.53"/>
    <n v="0"/>
    <x v="65"/>
    <x v="0"/>
    <x v="2"/>
    <n v="800.45"/>
  </r>
  <r>
    <n v="2582"/>
    <x v="2"/>
    <x v="0"/>
    <x v="9"/>
    <s v="M"/>
    <n v="0"/>
    <n v="0"/>
    <n v="0"/>
    <n v="0"/>
    <x v="65"/>
    <x v="0"/>
    <x v="5"/>
    <n v="909.76"/>
  </r>
  <r>
    <n v="2583"/>
    <x v="2"/>
    <x v="1"/>
    <x v="1"/>
    <s v="M"/>
    <n v="0"/>
    <n v="0"/>
    <n v="0"/>
    <n v="0"/>
    <x v="259"/>
    <x v="1"/>
    <x v="2"/>
    <n v="3051.16"/>
  </r>
  <r>
    <n v="2584"/>
    <x v="0"/>
    <x v="3"/>
    <x v="4"/>
    <s v="M"/>
    <n v="0"/>
    <n v="0"/>
    <n v="0"/>
    <n v="0"/>
    <x v="259"/>
    <x v="1"/>
    <x v="1"/>
    <n v="-123.93"/>
  </r>
  <r>
    <n v="2586"/>
    <x v="2"/>
    <x v="3"/>
    <x v="10"/>
    <s v="L"/>
    <n v="0"/>
    <n v="0"/>
    <n v="0.99"/>
    <n v="0"/>
    <x v="210"/>
    <x v="0"/>
    <x v="2"/>
    <n v="1146.73"/>
  </r>
  <r>
    <n v="2587"/>
    <x v="1"/>
    <x v="3"/>
    <x v="4"/>
    <s v="M"/>
    <n v="4"/>
    <n v="0"/>
    <n v="0.37"/>
    <n v="0"/>
    <x v="210"/>
    <x v="0"/>
    <x v="0"/>
    <n v="-480.01"/>
  </r>
  <r>
    <n v="2588"/>
    <x v="0"/>
    <x v="4"/>
    <x v="19"/>
    <s v="M"/>
    <n v="0"/>
    <n v="0"/>
    <n v="0"/>
    <n v="0"/>
    <x v="132"/>
    <x v="0"/>
    <x v="3"/>
    <n v="2861.32"/>
  </r>
  <r>
    <n v="2589"/>
    <x v="2"/>
    <x v="0"/>
    <x v="9"/>
    <s v="M"/>
    <n v="3"/>
    <n v="0"/>
    <n v="0"/>
    <n v="0"/>
    <x v="260"/>
    <x v="0"/>
    <x v="5"/>
    <n v="1429.18"/>
  </r>
  <r>
    <n v="2590"/>
    <x v="2"/>
    <x v="1"/>
    <x v="2"/>
    <s v="XL"/>
    <n v="0"/>
    <n v="0"/>
    <n v="0"/>
    <n v="0"/>
    <x v="260"/>
    <x v="1"/>
    <x v="0"/>
    <n v="1766.46"/>
  </r>
  <r>
    <n v="2592"/>
    <x v="1"/>
    <x v="2"/>
    <x v="3"/>
    <s v="M"/>
    <n v="0"/>
    <n v="0"/>
    <n v="0"/>
    <n v="0"/>
    <x v="44"/>
    <x v="1"/>
    <x v="2"/>
    <n v="-907.48"/>
  </r>
  <r>
    <n v="2593"/>
    <x v="2"/>
    <x v="2"/>
    <x v="17"/>
    <s v="L"/>
    <n v="0"/>
    <n v="8747.18"/>
    <n v="0"/>
    <n v="0"/>
    <x v="116"/>
    <x v="1"/>
    <x v="2"/>
    <n v="2505.6"/>
  </r>
  <r>
    <n v="2594"/>
    <x v="1"/>
    <x v="0"/>
    <x v="14"/>
    <s v="XL"/>
    <n v="3"/>
    <n v="7944.34"/>
    <n v="0.67"/>
    <n v="7864.9"/>
    <x v="261"/>
    <x v="1"/>
    <x v="1"/>
    <n v="1534.91"/>
  </r>
  <r>
    <n v="2595"/>
    <x v="2"/>
    <x v="4"/>
    <x v="19"/>
    <s v="XL"/>
    <n v="0"/>
    <n v="0"/>
    <n v="0"/>
    <n v="0"/>
    <x v="261"/>
    <x v="1"/>
    <x v="4"/>
    <n v="420.27"/>
  </r>
  <r>
    <n v="2030"/>
    <x v="2"/>
    <x v="1"/>
    <x v="6"/>
    <s v="M"/>
    <n v="-1"/>
    <n v="0"/>
    <n v="0.7"/>
    <n v="0"/>
    <x v="213"/>
    <x v="0"/>
    <x v="3"/>
    <n v="-1193.55"/>
  </r>
  <r>
    <n v="2598"/>
    <x v="1"/>
    <x v="0"/>
    <x v="9"/>
    <s v="M"/>
    <n v="0"/>
    <n v="9488.84"/>
    <n v="0"/>
    <n v="0"/>
    <x v="258"/>
    <x v="1"/>
    <x v="0"/>
    <n v="3505.24"/>
  </r>
  <r>
    <n v="2599"/>
    <x v="0"/>
    <x v="0"/>
    <x v="5"/>
    <s v="M"/>
    <n v="4"/>
    <n v="0"/>
    <n v="0"/>
    <n v="0"/>
    <x v="258"/>
    <x v="1"/>
    <x v="1"/>
    <n v="-562.30999999999995"/>
  </r>
  <r>
    <n v="2600"/>
    <x v="0"/>
    <x v="2"/>
    <x v="18"/>
    <s v="M"/>
    <n v="3"/>
    <n v="0"/>
    <n v="0"/>
    <n v="0"/>
    <x v="188"/>
    <x v="0"/>
    <x v="3"/>
    <n v="803.62"/>
  </r>
  <r>
    <n v="2601"/>
    <x v="1"/>
    <x v="1"/>
    <x v="1"/>
    <s v="XL"/>
    <n v="1"/>
    <n v="0"/>
    <n v="0"/>
    <n v="0"/>
    <x v="262"/>
    <x v="1"/>
    <x v="4"/>
    <n v="3739.4"/>
  </r>
  <r>
    <n v="2602"/>
    <x v="0"/>
    <x v="3"/>
    <x v="11"/>
    <s v="XL"/>
    <n v="2"/>
    <n v="3518.53"/>
    <n v="0"/>
    <n v="0"/>
    <x v="117"/>
    <x v="0"/>
    <x v="3"/>
    <n v="3494.88"/>
  </r>
  <r>
    <n v="2603"/>
    <x v="1"/>
    <x v="3"/>
    <x v="10"/>
    <s v="L"/>
    <n v="0"/>
    <n v="0"/>
    <n v="0"/>
    <n v="0"/>
    <x v="263"/>
    <x v="0"/>
    <x v="1"/>
    <n v="-144.08000000000001"/>
  </r>
  <r>
    <n v="2606"/>
    <x v="1"/>
    <x v="2"/>
    <x v="18"/>
    <s v="L"/>
    <n v="0"/>
    <n v="4040.65"/>
    <n v="0"/>
    <n v="0"/>
    <x v="4"/>
    <x v="1"/>
    <x v="2"/>
    <n v="805.92"/>
  </r>
  <r>
    <n v="2608"/>
    <x v="1"/>
    <x v="2"/>
    <x v="7"/>
    <s v="L"/>
    <n v="2"/>
    <n v="0"/>
    <n v="0"/>
    <n v="0"/>
    <x v="4"/>
    <x v="0"/>
    <x v="5"/>
    <n v="354.67"/>
  </r>
  <r>
    <n v="2609"/>
    <x v="0"/>
    <x v="1"/>
    <x v="2"/>
    <s v="M"/>
    <n v="0"/>
    <n v="9649.2800000000007"/>
    <n v="0"/>
    <n v="0"/>
    <x v="49"/>
    <x v="0"/>
    <x v="0"/>
    <n v="2712.88"/>
  </r>
  <r>
    <n v="2610"/>
    <x v="1"/>
    <x v="2"/>
    <x v="3"/>
    <s v="M"/>
    <n v="0"/>
    <n v="8359.07"/>
    <n v="0"/>
    <n v="0"/>
    <x v="41"/>
    <x v="0"/>
    <x v="0"/>
    <n v="167.72"/>
  </r>
  <r>
    <n v="2033"/>
    <x v="0"/>
    <x v="1"/>
    <x v="6"/>
    <s v="M"/>
    <n v="4"/>
    <n v="0"/>
    <n v="0"/>
    <n v="0"/>
    <x v="41"/>
    <x v="1"/>
    <x v="3"/>
    <n v="2310.9"/>
  </r>
  <r>
    <n v="2612"/>
    <x v="1"/>
    <x v="0"/>
    <x v="5"/>
    <s v="M"/>
    <n v="0"/>
    <n v="0"/>
    <n v="0"/>
    <n v="0"/>
    <x v="264"/>
    <x v="1"/>
    <x v="2"/>
    <n v="507.1"/>
  </r>
  <r>
    <n v="2613"/>
    <x v="1"/>
    <x v="2"/>
    <x v="7"/>
    <s v="M"/>
    <n v="3"/>
    <n v="4374.83"/>
    <n v="0.27"/>
    <n v="9580.8799999999992"/>
    <x v="264"/>
    <x v="1"/>
    <x v="4"/>
    <n v="1473.37"/>
  </r>
  <r>
    <n v="2614"/>
    <x v="1"/>
    <x v="3"/>
    <x v="4"/>
    <s v="XL"/>
    <n v="0"/>
    <n v="2265"/>
    <n v="0"/>
    <n v="0"/>
    <x v="265"/>
    <x v="1"/>
    <x v="0"/>
    <n v="2095.44"/>
  </r>
  <r>
    <n v="2615"/>
    <x v="1"/>
    <x v="1"/>
    <x v="15"/>
    <s v="XL"/>
    <n v="3"/>
    <n v="3042.37"/>
    <n v="0.12"/>
    <n v="8031.86"/>
    <x v="177"/>
    <x v="0"/>
    <x v="3"/>
    <n v="2105.48"/>
  </r>
  <r>
    <n v="2616"/>
    <x v="2"/>
    <x v="2"/>
    <x v="7"/>
    <s v="XL"/>
    <n v="0"/>
    <n v="0"/>
    <n v="0.2"/>
    <n v="0"/>
    <x v="230"/>
    <x v="0"/>
    <x v="5"/>
    <n v="2788.41"/>
  </r>
  <r>
    <n v="2617"/>
    <x v="0"/>
    <x v="1"/>
    <x v="2"/>
    <s v="XL"/>
    <n v="0"/>
    <n v="0"/>
    <n v="0"/>
    <n v="0"/>
    <x v="230"/>
    <x v="0"/>
    <x v="4"/>
    <n v="2772.05"/>
  </r>
  <r>
    <n v="2618"/>
    <x v="0"/>
    <x v="2"/>
    <x v="17"/>
    <s v="XL"/>
    <n v="0"/>
    <n v="0"/>
    <n v="0"/>
    <n v="0"/>
    <x v="31"/>
    <x v="1"/>
    <x v="3"/>
    <n v="3718.11"/>
  </r>
  <r>
    <n v="2619"/>
    <x v="0"/>
    <x v="2"/>
    <x v="7"/>
    <s v="L"/>
    <n v="4"/>
    <n v="0"/>
    <n v="0.65"/>
    <n v="0"/>
    <x v="266"/>
    <x v="0"/>
    <x v="1"/>
    <n v="-300.27999999999997"/>
  </r>
  <r>
    <n v="2620"/>
    <x v="0"/>
    <x v="0"/>
    <x v="5"/>
    <s v="XL"/>
    <n v="0"/>
    <n v="0"/>
    <n v="0"/>
    <n v="0"/>
    <x v="266"/>
    <x v="0"/>
    <x v="1"/>
    <n v="3874.67"/>
  </r>
  <r>
    <n v="2621"/>
    <x v="0"/>
    <x v="1"/>
    <x v="15"/>
    <s v="L"/>
    <n v="3"/>
    <n v="6466.57"/>
    <n v="0.59"/>
    <n v="7953.88"/>
    <x v="267"/>
    <x v="0"/>
    <x v="0"/>
    <n v="-1152.8599999999999"/>
  </r>
  <r>
    <n v="2622"/>
    <x v="0"/>
    <x v="2"/>
    <x v="3"/>
    <s v="M"/>
    <n v="0"/>
    <n v="8073.58"/>
    <n v="0"/>
    <n v="0"/>
    <x v="164"/>
    <x v="0"/>
    <x v="3"/>
    <n v="-82.31"/>
  </r>
  <r>
    <n v="2623"/>
    <x v="2"/>
    <x v="3"/>
    <x v="16"/>
    <s v="L"/>
    <n v="0"/>
    <n v="4658.42"/>
    <n v="0"/>
    <n v="0"/>
    <x v="268"/>
    <x v="1"/>
    <x v="2"/>
    <n v="1622.42"/>
  </r>
  <r>
    <n v="2624"/>
    <x v="2"/>
    <x v="2"/>
    <x v="3"/>
    <s v="XL"/>
    <n v="0"/>
    <n v="0"/>
    <n v="0"/>
    <n v="0"/>
    <x v="268"/>
    <x v="1"/>
    <x v="0"/>
    <n v="2085.94"/>
  </r>
  <r>
    <n v="2625"/>
    <x v="0"/>
    <x v="0"/>
    <x v="5"/>
    <s v="M"/>
    <n v="-1"/>
    <n v="6815.44"/>
    <n v="0"/>
    <n v="0"/>
    <x v="269"/>
    <x v="0"/>
    <x v="3"/>
    <n v="3874.57"/>
  </r>
  <r>
    <n v="2626"/>
    <x v="2"/>
    <x v="3"/>
    <x v="10"/>
    <s v="M"/>
    <n v="0"/>
    <n v="5550.99"/>
    <n v="0"/>
    <n v="0"/>
    <x v="270"/>
    <x v="1"/>
    <x v="0"/>
    <n v="-757.9"/>
  </r>
  <r>
    <n v="2627"/>
    <x v="1"/>
    <x v="4"/>
    <x v="19"/>
    <s v="M"/>
    <n v="0"/>
    <n v="0"/>
    <n v="0"/>
    <n v="0"/>
    <x v="271"/>
    <x v="0"/>
    <x v="4"/>
    <n v="282.13"/>
  </r>
  <r>
    <n v="2628"/>
    <x v="0"/>
    <x v="4"/>
    <x v="12"/>
    <s v="L"/>
    <n v="4"/>
    <n v="0"/>
    <n v="0.44"/>
    <n v="0"/>
    <x v="161"/>
    <x v="1"/>
    <x v="3"/>
    <n v="-348.88"/>
  </r>
  <r>
    <n v="2629"/>
    <x v="0"/>
    <x v="2"/>
    <x v="7"/>
    <s v="XL"/>
    <n v="0"/>
    <n v="0"/>
    <n v="0"/>
    <n v="0"/>
    <x v="88"/>
    <x v="1"/>
    <x v="0"/>
    <n v="1198.75"/>
  </r>
  <r>
    <n v="2632"/>
    <x v="2"/>
    <x v="3"/>
    <x v="16"/>
    <s v="L"/>
    <n v="-1"/>
    <n v="7504.2"/>
    <n v="0.99"/>
    <n v="-75.040000000000006"/>
    <x v="272"/>
    <x v="0"/>
    <x v="3"/>
    <n v="2413.42"/>
  </r>
  <r>
    <n v="2633"/>
    <x v="0"/>
    <x v="4"/>
    <x v="8"/>
    <s v="M"/>
    <n v="0"/>
    <n v="0"/>
    <n v="0.71"/>
    <n v="0"/>
    <x v="140"/>
    <x v="0"/>
    <x v="0"/>
    <n v="3634.35"/>
  </r>
  <r>
    <n v="2635"/>
    <x v="1"/>
    <x v="3"/>
    <x v="4"/>
    <s v="M"/>
    <n v="0"/>
    <n v="3934.22"/>
    <n v="0"/>
    <n v="0"/>
    <x v="273"/>
    <x v="0"/>
    <x v="5"/>
    <n v="430.63"/>
  </r>
  <r>
    <n v="2636"/>
    <x v="2"/>
    <x v="4"/>
    <x v="19"/>
    <s v="M"/>
    <n v="0"/>
    <n v="0"/>
    <n v="0"/>
    <n v="0"/>
    <x v="273"/>
    <x v="0"/>
    <x v="0"/>
    <n v="3269.14"/>
  </r>
  <r>
    <n v="2637"/>
    <x v="0"/>
    <x v="0"/>
    <x v="0"/>
    <s v="L"/>
    <n v="0"/>
    <n v="0"/>
    <n v="0"/>
    <n v="0"/>
    <x v="274"/>
    <x v="1"/>
    <x v="1"/>
    <n v="3847.48"/>
  </r>
  <r>
    <n v="2638"/>
    <x v="2"/>
    <x v="1"/>
    <x v="2"/>
    <s v="M"/>
    <n v="1"/>
    <n v="5028.99"/>
    <n v="0"/>
    <n v="0"/>
    <x v="266"/>
    <x v="0"/>
    <x v="3"/>
    <n v="654.11"/>
  </r>
  <r>
    <n v="2639"/>
    <x v="2"/>
    <x v="2"/>
    <x v="3"/>
    <s v="XL"/>
    <n v="0"/>
    <n v="2597.9299999999998"/>
    <n v="0"/>
    <n v="0"/>
    <x v="275"/>
    <x v="1"/>
    <x v="3"/>
    <n v="374.95"/>
  </r>
  <r>
    <n v="2640"/>
    <x v="0"/>
    <x v="0"/>
    <x v="14"/>
    <s v="M"/>
    <n v="2"/>
    <n v="7900.02"/>
    <n v="0"/>
    <n v="0"/>
    <x v="276"/>
    <x v="0"/>
    <x v="0"/>
    <n v="861.92"/>
  </r>
  <r>
    <n v="2642"/>
    <x v="1"/>
    <x v="2"/>
    <x v="18"/>
    <s v="XL"/>
    <n v="0"/>
    <n v="0"/>
    <n v="0"/>
    <n v="0"/>
    <x v="106"/>
    <x v="1"/>
    <x v="3"/>
    <n v="-785.16"/>
  </r>
  <r>
    <n v="2644"/>
    <x v="2"/>
    <x v="0"/>
    <x v="0"/>
    <s v="M"/>
    <n v="1"/>
    <n v="2640.04"/>
    <n v="0"/>
    <n v="0"/>
    <x v="106"/>
    <x v="1"/>
    <x v="0"/>
    <n v="1466.96"/>
  </r>
  <r>
    <n v="2022"/>
    <x v="0"/>
    <x v="0"/>
    <x v="14"/>
    <s v="L"/>
    <n v="3"/>
    <n v="0"/>
    <n v="0"/>
    <n v="0"/>
    <x v="277"/>
    <x v="1"/>
    <x v="2"/>
    <n v="689.62"/>
  </r>
  <r>
    <n v="2646"/>
    <x v="2"/>
    <x v="1"/>
    <x v="2"/>
    <s v="XL"/>
    <n v="1"/>
    <n v="0"/>
    <n v="0.89"/>
    <n v="0"/>
    <x v="129"/>
    <x v="1"/>
    <x v="5"/>
    <n v="2676.52"/>
  </r>
  <r>
    <n v="2648"/>
    <x v="2"/>
    <x v="3"/>
    <x v="4"/>
    <s v="L"/>
    <n v="0"/>
    <n v="3477.49"/>
    <n v="0.54"/>
    <n v="0"/>
    <x v="87"/>
    <x v="1"/>
    <x v="4"/>
    <n v="3487.39"/>
  </r>
  <r>
    <n v="2649"/>
    <x v="1"/>
    <x v="4"/>
    <x v="12"/>
    <s v="L"/>
    <n v="0"/>
    <n v="6798.48"/>
    <n v="1.18"/>
    <n v="0"/>
    <x v="55"/>
    <x v="1"/>
    <x v="2"/>
    <n v="2297.4"/>
  </r>
  <r>
    <n v="2651"/>
    <x v="0"/>
    <x v="4"/>
    <x v="8"/>
    <s v="L"/>
    <n v="1"/>
    <n v="0"/>
    <n v="0"/>
    <n v="0"/>
    <x v="27"/>
    <x v="0"/>
    <x v="5"/>
    <n v="-819.33"/>
  </r>
  <r>
    <n v="2653"/>
    <x v="2"/>
    <x v="3"/>
    <x v="16"/>
    <s v="M"/>
    <n v="0"/>
    <n v="6178.85"/>
    <n v="1.04"/>
    <n v="0"/>
    <x v="40"/>
    <x v="0"/>
    <x v="1"/>
    <n v="2550.88"/>
  </r>
  <r>
    <n v="2654"/>
    <x v="0"/>
    <x v="1"/>
    <x v="1"/>
    <s v="M"/>
    <n v="0"/>
    <n v="0"/>
    <n v="0"/>
    <n v="0"/>
    <x v="278"/>
    <x v="0"/>
    <x v="0"/>
    <n v="2933.02"/>
  </r>
  <r>
    <n v="2655"/>
    <x v="0"/>
    <x v="0"/>
    <x v="0"/>
    <s v="M"/>
    <n v="0"/>
    <n v="4993.9399999999996"/>
    <n v="0"/>
    <n v="0"/>
    <x v="278"/>
    <x v="1"/>
    <x v="2"/>
    <n v="2420.85"/>
  </r>
  <r>
    <n v="2656"/>
    <x v="1"/>
    <x v="1"/>
    <x v="2"/>
    <s v="M"/>
    <n v="1"/>
    <n v="5246.43"/>
    <n v="0"/>
    <n v="0"/>
    <x v="278"/>
    <x v="1"/>
    <x v="0"/>
    <n v="1891.48"/>
  </r>
  <r>
    <n v="2657"/>
    <x v="0"/>
    <x v="3"/>
    <x v="10"/>
    <s v="M"/>
    <n v="4"/>
    <n v="0"/>
    <n v="0"/>
    <n v="0"/>
    <x v="164"/>
    <x v="0"/>
    <x v="4"/>
    <n v="494.45"/>
  </r>
  <r>
    <n v="2658"/>
    <x v="1"/>
    <x v="2"/>
    <x v="17"/>
    <s v="L"/>
    <n v="1"/>
    <n v="0"/>
    <n v="0"/>
    <n v="0"/>
    <x v="49"/>
    <x v="0"/>
    <x v="4"/>
    <n v="155.53"/>
  </r>
  <r>
    <n v="2659"/>
    <x v="0"/>
    <x v="4"/>
    <x v="19"/>
    <s v="M"/>
    <n v="0"/>
    <n v="9945.56"/>
    <n v="1.01"/>
    <n v="0"/>
    <x v="279"/>
    <x v="0"/>
    <x v="1"/>
    <n v="-1116.54"/>
  </r>
  <r>
    <n v="2661"/>
    <x v="0"/>
    <x v="1"/>
    <x v="1"/>
    <s v="XL"/>
    <n v="0"/>
    <n v="2006.63"/>
    <n v="0"/>
    <n v="0"/>
    <x v="279"/>
    <x v="0"/>
    <x v="4"/>
    <n v="3171.69"/>
  </r>
  <r>
    <n v="2662"/>
    <x v="0"/>
    <x v="0"/>
    <x v="0"/>
    <s v="M"/>
    <n v="0"/>
    <n v="0"/>
    <n v="0"/>
    <n v="0"/>
    <x v="279"/>
    <x v="0"/>
    <x v="4"/>
    <n v="2104.46"/>
  </r>
  <r>
    <n v="2663"/>
    <x v="0"/>
    <x v="0"/>
    <x v="9"/>
    <s v="L"/>
    <n v="2"/>
    <n v="0"/>
    <n v="0.43"/>
    <n v="0"/>
    <x v="280"/>
    <x v="1"/>
    <x v="4"/>
    <n v="3174.81"/>
  </r>
  <r>
    <n v="2664"/>
    <x v="0"/>
    <x v="3"/>
    <x v="16"/>
    <s v="L"/>
    <n v="2"/>
    <n v="9103.08"/>
    <n v="0"/>
    <n v="0"/>
    <x v="281"/>
    <x v="0"/>
    <x v="2"/>
    <n v="1726.8"/>
  </r>
  <r>
    <n v="2665"/>
    <x v="2"/>
    <x v="2"/>
    <x v="7"/>
    <s v="L"/>
    <n v="0"/>
    <n v="6140.7"/>
    <n v="0"/>
    <n v="0"/>
    <x v="281"/>
    <x v="0"/>
    <x v="4"/>
    <n v="506.87"/>
  </r>
  <r>
    <n v="2666"/>
    <x v="1"/>
    <x v="1"/>
    <x v="15"/>
    <s v="M"/>
    <n v="0"/>
    <n v="3700.75"/>
    <n v="0"/>
    <n v="0"/>
    <x v="281"/>
    <x v="0"/>
    <x v="5"/>
    <n v="-963.73"/>
  </r>
  <r>
    <n v="2667"/>
    <x v="1"/>
    <x v="2"/>
    <x v="18"/>
    <s v="XL"/>
    <n v="3"/>
    <n v="9367.66"/>
    <n v="0"/>
    <n v="0"/>
    <x v="282"/>
    <x v="0"/>
    <x v="4"/>
    <n v="-623.95000000000005"/>
  </r>
  <r>
    <n v="2668"/>
    <x v="1"/>
    <x v="0"/>
    <x v="14"/>
    <s v="M"/>
    <n v="0"/>
    <n v="0"/>
    <n v="0.45"/>
    <n v="0"/>
    <x v="133"/>
    <x v="1"/>
    <x v="0"/>
    <n v="3138.32"/>
  </r>
  <r>
    <n v="2669"/>
    <x v="1"/>
    <x v="0"/>
    <x v="5"/>
    <s v="XL"/>
    <n v="0"/>
    <n v="0"/>
    <n v="0.51"/>
    <n v="0"/>
    <x v="133"/>
    <x v="1"/>
    <x v="3"/>
    <n v="1737.23"/>
  </r>
  <r>
    <n v="2027"/>
    <x v="2"/>
    <x v="1"/>
    <x v="2"/>
    <s v="M"/>
    <n v="4"/>
    <n v="7204.01"/>
    <n v="0"/>
    <n v="0"/>
    <x v="283"/>
    <x v="1"/>
    <x v="4"/>
    <n v="3951.42"/>
  </r>
  <r>
    <n v="2671"/>
    <x v="0"/>
    <x v="3"/>
    <x v="10"/>
    <s v="XL"/>
    <n v="0"/>
    <n v="9264.49"/>
    <n v="0"/>
    <n v="0"/>
    <x v="119"/>
    <x v="1"/>
    <x v="3"/>
    <n v="491.18"/>
  </r>
  <r>
    <n v="2672"/>
    <x v="1"/>
    <x v="2"/>
    <x v="18"/>
    <s v="XL"/>
    <n v="2"/>
    <n v="0"/>
    <n v="0"/>
    <n v="0"/>
    <x v="120"/>
    <x v="0"/>
    <x v="2"/>
    <n v="67.58"/>
  </r>
  <r>
    <n v="2673"/>
    <x v="0"/>
    <x v="3"/>
    <x v="16"/>
    <s v="M"/>
    <n v="0"/>
    <n v="6891.25"/>
    <n v="0.63"/>
    <n v="0"/>
    <x v="120"/>
    <x v="1"/>
    <x v="3"/>
    <n v="-742.85"/>
  </r>
  <r>
    <n v="2674"/>
    <x v="1"/>
    <x v="2"/>
    <x v="7"/>
    <s v="M"/>
    <n v="-1"/>
    <n v="4784.45"/>
    <n v="0"/>
    <n v="0"/>
    <x v="244"/>
    <x v="0"/>
    <x v="3"/>
    <n v="3357.12"/>
  </r>
  <r>
    <n v="2675"/>
    <x v="1"/>
    <x v="1"/>
    <x v="2"/>
    <s v="M"/>
    <n v="3"/>
    <n v="0"/>
    <n v="0"/>
    <n v="0"/>
    <x v="160"/>
    <x v="0"/>
    <x v="1"/>
    <n v="2731.71"/>
  </r>
  <r>
    <n v="2676"/>
    <x v="2"/>
    <x v="3"/>
    <x v="10"/>
    <s v="M"/>
    <n v="0"/>
    <n v="0"/>
    <n v="0"/>
    <n v="0"/>
    <x v="147"/>
    <x v="0"/>
    <x v="4"/>
    <n v="3932.36"/>
  </r>
  <r>
    <n v="2677"/>
    <x v="2"/>
    <x v="2"/>
    <x v="18"/>
    <s v="M"/>
    <n v="2"/>
    <n v="5618.62"/>
    <n v="0"/>
    <n v="0"/>
    <x v="147"/>
    <x v="1"/>
    <x v="0"/>
    <n v="1745.96"/>
  </r>
  <r>
    <n v="2679"/>
    <x v="2"/>
    <x v="0"/>
    <x v="5"/>
    <s v="M"/>
    <n v="0"/>
    <n v="2758.08"/>
    <n v="0.04"/>
    <n v="0"/>
    <x v="284"/>
    <x v="0"/>
    <x v="0"/>
    <n v="2447.58"/>
  </r>
  <r>
    <n v="2681"/>
    <x v="1"/>
    <x v="3"/>
    <x v="16"/>
    <s v="M"/>
    <n v="0"/>
    <n v="5996.09"/>
    <n v="0"/>
    <n v="0"/>
    <x v="284"/>
    <x v="0"/>
    <x v="4"/>
    <n v="3597.08"/>
  </r>
  <r>
    <n v="2682"/>
    <x v="2"/>
    <x v="4"/>
    <x v="19"/>
    <s v="XL"/>
    <n v="4"/>
    <n v="0"/>
    <n v="0.41"/>
    <n v="0"/>
    <x v="285"/>
    <x v="1"/>
    <x v="3"/>
    <n v="3614.76"/>
  </r>
  <r>
    <n v="2683"/>
    <x v="0"/>
    <x v="2"/>
    <x v="17"/>
    <s v="XL"/>
    <n v="1"/>
    <n v="0"/>
    <n v="0"/>
    <n v="0"/>
    <x v="286"/>
    <x v="0"/>
    <x v="2"/>
    <n v="1119.71"/>
  </r>
  <r>
    <n v="2684"/>
    <x v="2"/>
    <x v="2"/>
    <x v="3"/>
    <s v="L"/>
    <n v="0"/>
    <n v="0"/>
    <n v="0.73"/>
    <n v="0"/>
    <x v="18"/>
    <x v="1"/>
    <x v="2"/>
    <n v="1556.61"/>
  </r>
  <r>
    <n v="2685"/>
    <x v="0"/>
    <x v="2"/>
    <x v="17"/>
    <s v="M"/>
    <n v="4"/>
    <n v="0"/>
    <n v="0"/>
    <n v="0"/>
    <x v="287"/>
    <x v="1"/>
    <x v="1"/>
    <n v="1377.72"/>
  </r>
  <r>
    <n v="2686"/>
    <x v="1"/>
    <x v="2"/>
    <x v="3"/>
    <s v="L"/>
    <n v="0"/>
    <n v="9585.39"/>
    <n v="1.03"/>
    <n v="0"/>
    <x v="57"/>
    <x v="1"/>
    <x v="1"/>
    <n v="761.26"/>
  </r>
  <r>
    <n v="2687"/>
    <x v="1"/>
    <x v="2"/>
    <x v="7"/>
    <s v="M"/>
    <n v="-1"/>
    <n v="2381.94"/>
    <n v="0"/>
    <n v="0"/>
    <x v="223"/>
    <x v="1"/>
    <x v="4"/>
    <n v="1457.93"/>
  </r>
  <r>
    <n v="2031"/>
    <x v="1"/>
    <x v="1"/>
    <x v="15"/>
    <s v="L"/>
    <n v="0"/>
    <n v="0"/>
    <n v="0"/>
    <n v="0"/>
    <x v="288"/>
    <x v="0"/>
    <x v="2"/>
    <n v="3119.37"/>
  </r>
  <r>
    <n v="2690"/>
    <x v="0"/>
    <x v="0"/>
    <x v="9"/>
    <s v="M"/>
    <n v="0"/>
    <n v="0"/>
    <n v="0"/>
    <n v="0"/>
    <x v="237"/>
    <x v="0"/>
    <x v="2"/>
    <n v="1125.71"/>
  </r>
  <r>
    <n v="2692"/>
    <x v="1"/>
    <x v="0"/>
    <x v="9"/>
    <s v="XL"/>
    <n v="0"/>
    <n v="0"/>
    <n v="0.47"/>
    <n v="0"/>
    <x v="289"/>
    <x v="0"/>
    <x v="0"/>
    <n v="2528.27"/>
  </r>
  <r>
    <n v="2693"/>
    <x v="0"/>
    <x v="0"/>
    <x v="14"/>
    <s v="M"/>
    <n v="0"/>
    <n v="0"/>
    <n v="0"/>
    <n v="0"/>
    <x v="290"/>
    <x v="0"/>
    <x v="0"/>
    <n v="262.12"/>
  </r>
  <r>
    <n v="2694"/>
    <x v="1"/>
    <x v="0"/>
    <x v="9"/>
    <s v="M"/>
    <n v="0"/>
    <n v="0"/>
    <n v="0"/>
    <n v="0"/>
    <x v="291"/>
    <x v="0"/>
    <x v="1"/>
    <n v="-249.45"/>
  </r>
  <r>
    <n v="2695"/>
    <x v="2"/>
    <x v="4"/>
    <x v="8"/>
    <s v="L"/>
    <n v="-1"/>
    <n v="0"/>
    <n v="0"/>
    <n v="0"/>
    <x v="190"/>
    <x v="0"/>
    <x v="1"/>
    <n v="3234.28"/>
  </r>
  <r>
    <n v="2696"/>
    <x v="1"/>
    <x v="2"/>
    <x v="3"/>
    <s v="L"/>
    <n v="0"/>
    <n v="0"/>
    <n v="1"/>
    <n v="0"/>
    <x v="292"/>
    <x v="0"/>
    <x v="2"/>
    <n v="66.430000000000007"/>
  </r>
  <r>
    <n v="2697"/>
    <x v="2"/>
    <x v="4"/>
    <x v="8"/>
    <s v="M"/>
    <n v="-1"/>
    <n v="0"/>
    <n v="0.09"/>
    <n v="0"/>
    <x v="275"/>
    <x v="0"/>
    <x v="4"/>
    <n v="681.86"/>
  </r>
  <r>
    <n v="2698"/>
    <x v="2"/>
    <x v="4"/>
    <x v="19"/>
    <s v="XL"/>
    <n v="0"/>
    <n v="0"/>
    <n v="0.02"/>
    <n v="0"/>
    <x v="275"/>
    <x v="1"/>
    <x v="2"/>
    <n v="1680.5"/>
  </r>
  <r>
    <n v="2699"/>
    <x v="2"/>
    <x v="2"/>
    <x v="17"/>
    <s v="XL"/>
    <n v="0"/>
    <n v="0"/>
    <n v="0"/>
    <n v="0"/>
    <x v="293"/>
    <x v="0"/>
    <x v="2"/>
    <n v="1052.6500000000001"/>
  </r>
  <r>
    <n v="2700"/>
    <x v="0"/>
    <x v="0"/>
    <x v="9"/>
    <s v="XL"/>
    <n v="0"/>
    <n v="0"/>
    <n v="0.48"/>
    <n v="0"/>
    <x v="56"/>
    <x v="1"/>
    <x v="0"/>
    <n v="1423.83"/>
  </r>
  <r>
    <n v="2701"/>
    <x v="2"/>
    <x v="0"/>
    <x v="0"/>
    <s v="XL"/>
    <n v="0"/>
    <n v="0"/>
    <n v="0"/>
    <n v="0"/>
    <x v="294"/>
    <x v="0"/>
    <x v="4"/>
    <n v="2007.01"/>
  </r>
  <r>
    <n v="2702"/>
    <x v="2"/>
    <x v="4"/>
    <x v="12"/>
    <s v="XL"/>
    <n v="0"/>
    <n v="0"/>
    <n v="0"/>
    <n v="0"/>
    <x v="110"/>
    <x v="0"/>
    <x v="3"/>
    <n v="687.32"/>
  </r>
  <r>
    <n v="2703"/>
    <x v="0"/>
    <x v="3"/>
    <x v="16"/>
    <s v="L"/>
    <n v="0"/>
    <n v="5214.32"/>
    <n v="0"/>
    <n v="0"/>
    <x v="295"/>
    <x v="0"/>
    <x v="5"/>
    <n v="-637.13"/>
  </r>
  <r>
    <n v="2704"/>
    <x v="1"/>
    <x v="4"/>
    <x v="19"/>
    <s v="L"/>
    <n v="0"/>
    <n v="5094.43"/>
    <n v="0"/>
    <n v="0"/>
    <x v="295"/>
    <x v="0"/>
    <x v="1"/>
    <n v="1765.36"/>
  </r>
  <r>
    <n v="2706"/>
    <x v="1"/>
    <x v="0"/>
    <x v="14"/>
    <s v="XL"/>
    <n v="0"/>
    <n v="0"/>
    <n v="0"/>
    <n v="0"/>
    <x v="184"/>
    <x v="1"/>
    <x v="5"/>
    <n v="3153.1"/>
  </r>
  <r>
    <n v="2707"/>
    <x v="2"/>
    <x v="3"/>
    <x v="11"/>
    <s v="XL"/>
    <n v="0"/>
    <n v="2996.2"/>
    <n v="0.49"/>
    <n v="0"/>
    <x v="184"/>
    <x v="0"/>
    <x v="1"/>
    <n v="2913.41"/>
  </r>
  <r>
    <n v="2708"/>
    <x v="0"/>
    <x v="4"/>
    <x v="12"/>
    <s v="L"/>
    <n v="0"/>
    <n v="4523.72"/>
    <n v="0"/>
    <n v="0"/>
    <x v="296"/>
    <x v="0"/>
    <x v="1"/>
    <n v="-237.9"/>
  </r>
  <r>
    <n v="2709"/>
    <x v="0"/>
    <x v="3"/>
    <x v="11"/>
    <s v="M"/>
    <n v="1"/>
    <n v="6302.98"/>
    <n v="0.48"/>
    <n v="3277.55"/>
    <x v="297"/>
    <x v="1"/>
    <x v="4"/>
    <n v="2835.93"/>
  </r>
  <r>
    <n v="2710"/>
    <x v="1"/>
    <x v="2"/>
    <x v="3"/>
    <s v="M"/>
    <n v="2"/>
    <n v="4669.75"/>
    <n v="0"/>
    <n v="0"/>
    <x v="297"/>
    <x v="1"/>
    <x v="0"/>
    <n v="-987.12"/>
  </r>
  <r>
    <n v="2711"/>
    <x v="2"/>
    <x v="1"/>
    <x v="6"/>
    <s v="M"/>
    <n v="2"/>
    <n v="0"/>
    <n v="0"/>
    <n v="0"/>
    <x v="297"/>
    <x v="0"/>
    <x v="4"/>
    <n v="756.18"/>
  </r>
  <r>
    <n v="2712"/>
    <x v="1"/>
    <x v="3"/>
    <x v="16"/>
    <s v="XL"/>
    <n v="0"/>
    <n v="0"/>
    <n v="0"/>
    <n v="0"/>
    <x v="202"/>
    <x v="1"/>
    <x v="4"/>
    <n v="3024.11"/>
  </r>
  <r>
    <n v="2713"/>
    <x v="2"/>
    <x v="2"/>
    <x v="18"/>
    <s v="L"/>
    <n v="1"/>
    <n v="7877.36"/>
    <n v="0.55000000000000004"/>
    <n v="3544.81"/>
    <x v="226"/>
    <x v="1"/>
    <x v="5"/>
    <n v="3663.49"/>
  </r>
  <r>
    <n v="2715"/>
    <x v="0"/>
    <x v="4"/>
    <x v="19"/>
    <s v="L"/>
    <n v="0"/>
    <n v="0"/>
    <n v="1.07"/>
    <n v="0"/>
    <x v="140"/>
    <x v="0"/>
    <x v="5"/>
    <n v="-1164.3699999999999"/>
  </r>
  <r>
    <n v="2716"/>
    <x v="0"/>
    <x v="0"/>
    <x v="0"/>
    <s v="M"/>
    <n v="0"/>
    <n v="4830.96"/>
    <n v="0"/>
    <n v="0"/>
    <x v="117"/>
    <x v="0"/>
    <x v="3"/>
    <n v="1344.73"/>
  </r>
  <r>
    <n v="2717"/>
    <x v="2"/>
    <x v="3"/>
    <x v="11"/>
    <s v="M"/>
    <n v="0"/>
    <n v="9473.09"/>
    <n v="0"/>
    <n v="0"/>
    <x v="117"/>
    <x v="0"/>
    <x v="4"/>
    <n v="3055.36"/>
  </r>
  <r>
    <n v="2718"/>
    <x v="2"/>
    <x v="4"/>
    <x v="19"/>
    <s v="M"/>
    <n v="0"/>
    <n v="8485.23"/>
    <n v="0"/>
    <n v="0"/>
    <x v="117"/>
    <x v="1"/>
    <x v="0"/>
    <n v="637.62"/>
  </r>
  <r>
    <n v="2720"/>
    <x v="0"/>
    <x v="0"/>
    <x v="14"/>
    <s v="M"/>
    <n v="0"/>
    <n v="0"/>
    <n v="0"/>
    <n v="0"/>
    <x v="117"/>
    <x v="1"/>
    <x v="4"/>
    <n v="2548.7800000000002"/>
  </r>
  <r>
    <n v="2721"/>
    <x v="0"/>
    <x v="0"/>
    <x v="5"/>
    <s v="L"/>
    <n v="0"/>
    <n v="0"/>
    <n v="0"/>
    <n v="0"/>
    <x v="298"/>
    <x v="0"/>
    <x v="0"/>
    <n v="1275.23"/>
  </r>
  <r>
    <n v="2722"/>
    <x v="1"/>
    <x v="2"/>
    <x v="17"/>
    <s v="L"/>
    <n v="0"/>
    <n v="0"/>
    <n v="0.09"/>
    <n v="0"/>
    <x v="223"/>
    <x v="0"/>
    <x v="5"/>
    <n v="818.65"/>
  </r>
  <r>
    <n v="2723"/>
    <x v="1"/>
    <x v="2"/>
    <x v="17"/>
    <s v="XL"/>
    <n v="0"/>
    <n v="3403.54"/>
    <n v="0"/>
    <n v="0"/>
    <x v="78"/>
    <x v="0"/>
    <x v="5"/>
    <n v="221.41"/>
  </r>
  <r>
    <n v="2724"/>
    <x v="1"/>
    <x v="0"/>
    <x v="5"/>
    <s v="L"/>
    <n v="0"/>
    <n v="8007.22"/>
    <n v="0"/>
    <n v="0"/>
    <x v="6"/>
    <x v="0"/>
    <x v="4"/>
    <n v="1190.2"/>
  </r>
  <r>
    <n v="2012"/>
    <x v="2"/>
    <x v="2"/>
    <x v="17"/>
    <s v="XL"/>
    <n v="0"/>
    <n v="2174.89"/>
    <n v="0"/>
    <n v="0"/>
    <x v="6"/>
    <x v="1"/>
    <x v="5"/>
    <n v="-406.38"/>
  </r>
  <r>
    <n v="2727"/>
    <x v="2"/>
    <x v="2"/>
    <x v="7"/>
    <s v="M"/>
    <n v="0"/>
    <n v="6154.32"/>
    <n v="0.94"/>
    <n v="0"/>
    <x v="6"/>
    <x v="0"/>
    <x v="5"/>
    <n v="2004.4"/>
  </r>
  <r>
    <n v="2018"/>
    <x v="0"/>
    <x v="1"/>
    <x v="1"/>
    <s v="L"/>
    <n v="0"/>
    <n v="0"/>
    <n v="0"/>
    <n v="0"/>
    <x v="80"/>
    <x v="1"/>
    <x v="0"/>
    <n v="-701.28"/>
  </r>
  <r>
    <n v="2731"/>
    <x v="0"/>
    <x v="2"/>
    <x v="17"/>
    <s v="M"/>
    <n v="3"/>
    <n v="0"/>
    <n v="0"/>
    <n v="0"/>
    <x v="10"/>
    <x v="0"/>
    <x v="5"/>
    <n v="3961.27"/>
  </r>
  <r>
    <n v="2732"/>
    <x v="1"/>
    <x v="0"/>
    <x v="0"/>
    <s v="M"/>
    <n v="0"/>
    <n v="3402.8"/>
    <n v="0"/>
    <n v="0"/>
    <x v="86"/>
    <x v="0"/>
    <x v="1"/>
    <n v="1045.5"/>
  </r>
  <r>
    <n v="2733"/>
    <x v="1"/>
    <x v="3"/>
    <x v="11"/>
    <s v="L"/>
    <n v="0"/>
    <n v="6743.38"/>
    <n v="0"/>
    <n v="0"/>
    <x v="292"/>
    <x v="0"/>
    <x v="3"/>
    <n v="1908.63"/>
  </r>
  <r>
    <n v="2735"/>
    <x v="0"/>
    <x v="3"/>
    <x v="11"/>
    <s v="XL"/>
    <n v="0"/>
    <n v="0"/>
    <n v="0"/>
    <n v="0"/>
    <x v="265"/>
    <x v="0"/>
    <x v="5"/>
    <n v="928.63"/>
  </r>
  <r>
    <n v="2737"/>
    <x v="0"/>
    <x v="4"/>
    <x v="12"/>
    <s v="XL"/>
    <n v="0"/>
    <n v="0"/>
    <n v="0"/>
    <n v="0"/>
    <x v="36"/>
    <x v="1"/>
    <x v="2"/>
    <n v="144.37"/>
  </r>
  <r>
    <n v="2738"/>
    <x v="1"/>
    <x v="0"/>
    <x v="14"/>
    <s v="M"/>
    <n v="3"/>
    <n v="0"/>
    <n v="0.39"/>
    <n v="0"/>
    <x v="290"/>
    <x v="1"/>
    <x v="3"/>
    <n v="-712.53"/>
  </r>
  <r>
    <n v="2739"/>
    <x v="0"/>
    <x v="3"/>
    <x v="11"/>
    <s v="L"/>
    <n v="2"/>
    <n v="0"/>
    <n v="0.26"/>
    <n v="0"/>
    <x v="155"/>
    <x v="0"/>
    <x v="5"/>
    <n v="2350.69"/>
  </r>
  <r>
    <n v="2740"/>
    <x v="1"/>
    <x v="2"/>
    <x v="18"/>
    <s v="XL"/>
    <n v="1"/>
    <n v="4922.1899999999996"/>
    <n v="0"/>
    <n v="0"/>
    <x v="155"/>
    <x v="1"/>
    <x v="0"/>
    <n v="3820.48"/>
  </r>
  <r>
    <n v="2741"/>
    <x v="1"/>
    <x v="0"/>
    <x v="0"/>
    <s v="L"/>
    <n v="0"/>
    <n v="5241.8999999999996"/>
    <n v="0"/>
    <n v="0"/>
    <x v="299"/>
    <x v="0"/>
    <x v="1"/>
    <n v="-295.49"/>
  </r>
  <r>
    <n v="2742"/>
    <x v="0"/>
    <x v="2"/>
    <x v="3"/>
    <s v="XL"/>
    <n v="0"/>
    <n v="7063.25"/>
    <n v="0"/>
    <n v="0"/>
    <x v="300"/>
    <x v="0"/>
    <x v="2"/>
    <n v="3746.48"/>
  </r>
  <r>
    <n v="2003"/>
    <x v="1"/>
    <x v="0"/>
    <x v="14"/>
    <s v="XL"/>
    <n v="4"/>
    <n v="7850.87"/>
    <n v="1.02"/>
    <n v="-628.07000000000005"/>
    <x v="83"/>
    <x v="0"/>
    <x v="5"/>
    <n v="992.14"/>
  </r>
  <r>
    <n v="2745"/>
    <x v="2"/>
    <x v="1"/>
    <x v="15"/>
    <s v="XL"/>
    <n v="-1"/>
    <n v="0"/>
    <n v="0.94"/>
    <n v="0"/>
    <x v="148"/>
    <x v="1"/>
    <x v="1"/>
    <n v="501.65"/>
  </r>
  <r>
    <n v="2746"/>
    <x v="1"/>
    <x v="4"/>
    <x v="8"/>
    <s v="L"/>
    <n v="-1"/>
    <n v="9795.69"/>
    <n v="0"/>
    <n v="0"/>
    <x v="173"/>
    <x v="0"/>
    <x v="2"/>
    <n v="1044.46"/>
  </r>
  <r>
    <n v="2747"/>
    <x v="2"/>
    <x v="1"/>
    <x v="1"/>
    <s v="XL"/>
    <n v="4"/>
    <n v="2483.9699999999998"/>
    <n v="0"/>
    <n v="0"/>
    <x v="173"/>
    <x v="0"/>
    <x v="4"/>
    <n v="-609.36"/>
  </r>
  <r>
    <n v="2748"/>
    <x v="2"/>
    <x v="4"/>
    <x v="12"/>
    <s v="XL"/>
    <n v="0"/>
    <n v="0"/>
    <n v="0.05"/>
    <n v="0"/>
    <x v="301"/>
    <x v="1"/>
    <x v="3"/>
    <n v="1010.96"/>
  </r>
  <r>
    <n v="2750"/>
    <x v="1"/>
    <x v="2"/>
    <x v="17"/>
    <s v="L"/>
    <n v="0"/>
    <n v="0"/>
    <n v="0"/>
    <n v="0"/>
    <x v="301"/>
    <x v="0"/>
    <x v="1"/>
    <n v="2924.09"/>
  </r>
  <r>
    <n v="2751"/>
    <x v="2"/>
    <x v="4"/>
    <x v="8"/>
    <s v="XL"/>
    <n v="0"/>
    <n v="4776.83"/>
    <n v="0"/>
    <n v="0"/>
    <x v="302"/>
    <x v="1"/>
    <x v="4"/>
    <n v="2857.99"/>
  </r>
  <r>
    <n v="2753"/>
    <x v="2"/>
    <x v="3"/>
    <x v="16"/>
    <s v="L"/>
    <n v="0"/>
    <n v="0"/>
    <n v="0"/>
    <n v="0"/>
    <x v="50"/>
    <x v="1"/>
    <x v="5"/>
    <n v="-364.23"/>
  </r>
  <r>
    <n v="2754"/>
    <x v="0"/>
    <x v="0"/>
    <x v="14"/>
    <s v="XL"/>
    <n v="1"/>
    <n v="0"/>
    <n v="0"/>
    <n v="0"/>
    <x v="303"/>
    <x v="0"/>
    <x v="5"/>
    <n v="3565.12"/>
  </r>
  <r>
    <n v="2755"/>
    <x v="2"/>
    <x v="3"/>
    <x v="4"/>
    <s v="M"/>
    <n v="3"/>
    <n v="8574"/>
    <n v="0"/>
    <n v="0"/>
    <x v="53"/>
    <x v="0"/>
    <x v="0"/>
    <n v="161.94999999999999"/>
  </r>
  <r>
    <n v="2758"/>
    <x v="1"/>
    <x v="2"/>
    <x v="7"/>
    <s v="M"/>
    <n v="0"/>
    <n v="0"/>
    <n v="0"/>
    <n v="0"/>
    <x v="53"/>
    <x v="0"/>
    <x v="3"/>
    <n v="3986.03"/>
  </r>
  <r>
    <n v="2760"/>
    <x v="2"/>
    <x v="0"/>
    <x v="0"/>
    <s v="M"/>
    <n v="0"/>
    <n v="0"/>
    <n v="0"/>
    <n v="0"/>
    <x v="228"/>
    <x v="0"/>
    <x v="2"/>
    <n v="1496.19"/>
  </r>
  <r>
    <n v="2761"/>
    <x v="0"/>
    <x v="1"/>
    <x v="2"/>
    <s v="M"/>
    <n v="4"/>
    <n v="0"/>
    <n v="0"/>
    <n v="0"/>
    <x v="228"/>
    <x v="1"/>
    <x v="4"/>
    <n v="2588.0300000000002"/>
  </r>
  <r>
    <n v="2762"/>
    <x v="1"/>
    <x v="3"/>
    <x v="16"/>
    <s v="L"/>
    <n v="2"/>
    <n v="0"/>
    <n v="0"/>
    <n v="0"/>
    <x v="228"/>
    <x v="1"/>
    <x v="2"/>
    <n v="-355.55"/>
  </r>
  <r>
    <n v="2763"/>
    <x v="1"/>
    <x v="1"/>
    <x v="15"/>
    <s v="M"/>
    <n v="4"/>
    <n v="3328.58"/>
    <n v="0"/>
    <n v="0"/>
    <x v="209"/>
    <x v="0"/>
    <x v="3"/>
    <n v="-763.34"/>
  </r>
  <r>
    <n v="2765"/>
    <x v="1"/>
    <x v="1"/>
    <x v="2"/>
    <s v="M"/>
    <n v="0"/>
    <n v="6370.84"/>
    <n v="0"/>
    <n v="0"/>
    <x v="295"/>
    <x v="0"/>
    <x v="2"/>
    <n v="1609.7"/>
  </r>
  <r>
    <n v="2767"/>
    <x v="0"/>
    <x v="4"/>
    <x v="13"/>
    <s v="L"/>
    <n v="0"/>
    <n v="6887.39"/>
    <n v="0"/>
    <n v="0"/>
    <x v="304"/>
    <x v="0"/>
    <x v="4"/>
    <n v="1562.76"/>
  </r>
  <r>
    <n v="2770"/>
    <x v="2"/>
    <x v="1"/>
    <x v="1"/>
    <s v="M"/>
    <n v="0"/>
    <n v="0"/>
    <n v="0.7"/>
    <n v="0"/>
    <x v="305"/>
    <x v="0"/>
    <x v="5"/>
    <n v="-1095.1199999999999"/>
  </r>
  <r>
    <n v="2771"/>
    <x v="2"/>
    <x v="3"/>
    <x v="16"/>
    <s v="M"/>
    <n v="0"/>
    <n v="5222.92"/>
    <n v="0"/>
    <n v="0"/>
    <x v="234"/>
    <x v="0"/>
    <x v="4"/>
    <n v="1804.67"/>
  </r>
  <r>
    <n v="2772"/>
    <x v="0"/>
    <x v="4"/>
    <x v="13"/>
    <s v="M"/>
    <n v="0"/>
    <n v="0"/>
    <n v="0"/>
    <n v="0"/>
    <x v="116"/>
    <x v="0"/>
    <x v="3"/>
    <n v="2332.29"/>
  </r>
  <r>
    <n v="2773"/>
    <x v="1"/>
    <x v="0"/>
    <x v="14"/>
    <s v="M"/>
    <n v="1"/>
    <n v="5045.62"/>
    <n v="1.21"/>
    <n v="-1059.58"/>
    <x v="306"/>
    <x v="0"/>
    <x v="1"/>
    <n v="1191.02"/>
  </r>
  <r>
    <n v="2774"/>
    <x v="1"/>
    <x v="3"/>
    <x v="11"/>
    <s v="XL"/>
    <n v="0"/>
    <n v="0"/>
    <n v="0"/>
    <n v="0"/>
    <x v="306"/>
    <x v="0"/>
    <x v="0"/>
    <n v="585.97"/>
  </r>
  <r>
    <n v="2776"/>
    <x v="2"/>
    <x v="0"/>
    <x v="5"/>
    <s v="L"/>
    <n v="0"/>
    <n v="0"/>
    <n v="0"/>
    <n v="0"/>
    <x v="8"/>
    <x v="1"/>
    <x v="2"/>
    <n v="1143.68"/>
  </r>
  <r>
    <n v="2777"/>
    <x v="0"/>
    <x v="4"/>
    <x v="8"/>
    <s v="XL"/>
    <n v="0"/>
    <n v="9062.25"/>
    <n v="0"/>
    <n v="0"/>
    <x v="8"/>
    <x v="1"/>
    <x v="5"/>
    <n v="-9.69"/>
  </r>
  <r>
    <n v="2778"/>
    <x v="0"/>
    <x v="1"/>
    <x v="15"/>
    <s v="M"/>
    <n v="0"/>
    <n v="4462.26"/>
    <n v="0"/>
    <n v="0"/>
    <x v="172"/>
    <x v="0"/>
    <x v="1"/>
    <n v="1006.73"/>
  </r>
  <r>
    <n v="2780"/>
    <x v="2"/>
    <x v="0"/>
    <x v="9"/>
    <s v="M"/>
    <n v="1"/>
    <n v="4308.75"/>
    <n v="0.32"/>
    <n v="2929.95"/>
    <x v="172"/>
    <x v="0"/>
    <x v="1"/>
    <n v="799.35"/>
  </r>
  <r>
    <n v="2781"/>
    <x v="2"/>
    <x v="0"/>
    <x v="9"/>
    <s v="M"/>
    <n v="1"/>
    <n v="6546.59"/>
    <n v="0.68"/>
    <n v="2094.91"/>
    <x v="307"/>
    <x v="1"/>
    <x v="0"/>
    <n v="1504.31"/>
  </r>
  <r>
    <n v="2782"/>
    <x v="1"/>
    <x v="0"/>
    <x v="14"/>
    <s v="M"/>
    <n v="0"/>
    <n v="8292.3700000000008"/>
    <n v="0"/>
    <n v="0"/>
    <x v="307"/>
    <x v="0"/>
    <x v="3"/>
    <n v="-816.55"/>
  </r>
  <r>
    <n v="2784"/>
    <x v="1"/>
    <x v="4"/>
    <x v="12"/>
    <s v="M"/>
    <n v="0"/>
    <n v="0"/>
    <n v="0"/>
    <n v="0"/>
    <x v="85"/>
    <x v="0"/>
    <x v="3"/>
    <n v="2982.03"/>
  </r>
  <r>
    <n v="2785"/>
    <x v="1"/>
    <x v="2"/>
    <x v="3"/>
    <s v="L"/>
    <n v="2"/>
    <n v="0"/>
    <n v="0"/>
    <n v="0"/>
    <x v="129"/>
    <x v="1"/>
    <x v="1"/>
    <n v="-834.71"/>
  </r>
  <r>
    <n v="2786"/>
    <x v="1"/>
    <x v="2"/>
    <x v="3"/>
    <s v="M"/>
    <n v="0"/>
    <n v="0"/>
    <n v="0.59"/>
    <n v="0"/>
    <x v="129"/>
    <x v="0"/>
    <x v="1"/>
    <n v="3872.35"/>
  </r>
  <r>
    <n v="2787"/>
    <x v="0"/>
    <x v="0"/>
    <x v="9"/>
    <s v="M"/>
    <n v="3"/>
    <n v="3440.88"/>
    <n v="0"/>
    <n v="0"/>
    <x v="84"/>
    <x v="0"/>
    <x v="3"/>
    <n v="22.93"/>
  </r>
  <r>
    <n v="2788"/>
    <x v="1"/>
    <x v="1"/>
    <x v="6"/>
    <s v="M"/>
    <n v="0"/>
    <n v="7478.84"/>
    <n v="0"/>
    <n v="0"/>
    <x v="308"/>
    <x v="1"/>
    <x v="1"/>
    <n v="-18.399999999999999"/>
  </r>
  <r>
    <n v="2789"/>
    <x v="0"/>
    <x v="2"/>
    <x v="17"/>
    <s v="M"/>
    <n v="0"/>
    <n v="0"/>
    <n v="0"/>
    <n v="0"/>
    <x v="309"/>
    <x v="1"/>
    <x v="5"/>
    <n v="1756.75"/>
  </r>
  <r>
    <n v="2790"/>
    <x v="0"/>
    <x v="3"/>
    <x v="4"/>
    <s v="XL"/>
    <n v="0"/>
    <n v="0"/>
    <n v="0"/>
    <n v="0"/>
    <x v="149"/>
    <x v="1"/>
    <x v="4"/>
    <n v="2554.8200000000002"/>
  </r>
  <r>
    <n v="2791"/>
    <x v="0"/>
    <x v="0"/>
    <x v="9"/>
    <s v="M"/>
    <n v="0"/>
    <n v="0"/>
    <n v="0"/>
    <n v="0"/>
    <x v="310"/>
    <x v="1"/>
    <x v="4"/>
    <n v="1194.43"/>
  </r>
  <r>
    <n v="2792"/>
    <x v="0"/>
    <x v="2"/>
    <x v="7"/>
    <s v="L"/>
    <n v="-1"/>
    <n v="4338.16"/>
    <n v="0"/>
    <n v="0"/>
    <x v="184"/>
    <x v="0"/>
    <x v="5"/>
    <n v="-328.05"/>
  </r>
  <r>
    <n v="2793"/>
    <x v="2"/>
    <x v="3"/>
    <x v="16"/>
    <s v="XL"/>
    <n v="0"/>
    <n v="0"/>
    <n v="0"/>
    <n v="0"/>
    <x v="190"/>
    <x v="1"/>
    <x v="0"/>
    <n v="922.24"/>
  </r>
  <r>
    <n v="2795"/>
    <x v="1"/>
    <x v="3"/>
    <x v="4"/>
    <s v="L"/>
    <n v="0"/>
    <n v="0"/>
    <n v="0"/>
    <n v="0"/>
    <x v="190"/>
    <x v="1"/>
    <x v="4"/>
    <n v="-615.37"/>
  </r>
  <r>
    <n v="2796"/>
    <x v="2"/>
    <x v="2"/>
    <x v="17"/>
    <s v="M"/>
    <n v="-1"/>
    <n v="2849.49"/>
    <n v="0"/>
    <n v="0"/>
    <x v="311"/>
    <x v="1"/>
    <x v="2"/>
    <n v="2597.58"/>
  </r>
  <r>
    <n v="2798"/>
    <x v="0"/>
    <x v="2"/>
    <x v="17"/>
    <s v="M"/>
    <n v="0"/>
    <n v="8546.98"/>
    <n v="0"/>
    <n v="0"/>
    <x v="311"/>
    <x v="1"/>
    <x v="2"/>
    <n v="430.88"/>
  </r>
  <r>
    <n v="2800"/>
    <x v="1"/>
    <x v="3"/>
    <x v="4"/>
    <s v="M"/>
    <n v="0"/>
    <n v="8737.08"/>
    <n v="0.9"/>
    <n v="0"/>
    <x v="312"/>
    <x v="0"/>
    <x v="4"/>
    <n v="1737"/>
  </r>
  <r>
    <n v="2801"/>
    <x v="1"/>
    <x v="3"/>
    <x v="4"/>
    <s v="M"/>
    <n v="2"/>
    <n v="0"/>
    <n v="0"/>
    <n v="0"/>
    <x v="236"/>
    <x v="1"/>
    <x v="2"/>
    <n v="2966.12"/>
  </r>
  <r>
    <n v="2802"/>
    <x v="2"/>
    <x v="3"/>
    <x v="11"/>
    <s v="L"/>
    <n v="3"/>
    <n v="0"/>
    <n v="0"/>
    <n v="0"/>
    <x v="313"/>
    <x v="0"/>
    <x v="5"/>
    <n v="-231.73"/>
  </r>
  <r>
    <n v="2803"/>
    <x v="1"/>
    <x v="1"/>
    <x v="6"/>
    <s v="XL"/>
    <n v="0"/>
    <n v="0"/>
    <n v="0"/>
    <n v="0"/>
    <x v="314"/>
    <x v="0"/>
    <x v="1"/>
    <n v="83.11"/>
  </r>
  <r>
    <n v="2804"/>
    <x v="0"/>
    <x v="3"/>
    <x v="16"/>
    <s v="XL"/>
    <n v="-1"/>
    <n v="0"/>
    <n v="0"/>
    <n v="0"/>
    <x v="314"/>
    <x v="0"/>
    <x v="1"/>
    <n v="2270.96"/>
  </r>
  <r>
    <n v="2805"/>
    <x v="1"/>
    <x v="3"/>
    <x v="16"/>
    <s v="L"/>
    <n v="-1"/>
    <n v="0"/>
    <n v="0.82"/>
    <n v="0"/>
    <x v="315"/>
    <x v="0"/>
    <x v="3"/>
    <n v="2037.76"/>
  </r>
  <r>
    <n v="2806"/>
    <x v="0"/>
    <x v="4"/>
    <x v="12"/>
    <s v="M"/>
    <n v="3"/>
    <n v="4466.78"/>
    <n v="0"/>
    <n v="0"/>
    <x v="316"/>
    <x v="0"/>
    <x v="0"/>
    <n v="2407.08"/>
  </r>
  <r>
    <n v="2807"/>
    <x v="0"/>
    <x v="0"/>
    <x v="14"/>
    <s v="L"/>
    <n v="2"/>
    <n v="0"/>
    <n v="0"/>
    <n v="0"/>
    <x v="126"/>
    <x v="0"/>
    <x v="1"/>
    <n v="875.36"/>
  </r>
  <r>
    <n v="2808"/>
    <x v="1"/>
    <x v="3"/>
    <x v="16"/>
    <s v="L"/>
    <n v="0"/>
    <n v="7810.49"/>
    <n v="0"/>
    <n v="0"/>
    <x v="126"/>
    <x v="0"/>
    <x v="0"/>
    <n v="-65.849999999999994"/>
  </r>
  <r>
    <n v="2810"/>
    <x v="2"/>
    <x v="3"/>
    <x v="10"/>
    <s v="M"/>
    <n v="2"/>
    <n v="2943.44"/>
    <n v="0.53"/>
    <n v="2766.83"/>
    <x v="126"/>
    <x v="1"/>
    <x v="1"/>
    <n v="405.67"/>
  </r>
  <r>
    <n v="2811"/>
    <x v="2"/>
    <x v="4"/>
    <x v="13"/>
    <s v="M"/>
    <n v="3"/>
    <n v="9153.02"/>
    <n v="0"/>
    <n v="0"/>
    <x v="317"/>
    <x v="1"/>
    <x v="0"/>
    <n v="-77.61"/>
  </r>
  <r>
    <n v="2813"/>
    <x v="2"/>
    <x v="3"/>
    <x v="11"/>
    <s v="M"/>
    <n v="4"/>
    <n v="7450.8"/>
    <n v="0"/>
    <n v="0"/>
    <x v="317"/>
    <x v="0"/>
    <x v="0"/>
    <n v="2098.29"/>
  </r>
  <r>
    <n v="2814"/>
    <x v="0"/>
    <x v="3"/>
    <x v="4"/>
    <s v="M"/>
    <n v="0"/>
    <n v="0"/>
    <n v="0"/>
    <n v="0"/>
    <x v="318"/>
    <x v="0"/>
    <x v="4"/>
    <n v="1702.06"/>
  </r>
  <r>
    <n v="2815"/>
    <x v="0"/>
    <x v="0"/>
    <x v="5"/>
    <s v="L"/>
    <n v="0"/>
    <n v="0"/>
    <n v="1.1599999999999999"/>
    <n v="0"/>
    <x v="318"/>
    <x v="0"/>
    <x v="5"/>
    <n v="3281.98"/>
  </r>
  <r>
    <n v="2816"/>
    <x v="2"/>
    <x v="4"/>
    <x v="19"/>
    <s v="M"/>
    <n v="3"/>
    <n v="5983.35"/>
    <n v="0"/>
    <n v="0"/>
    <x v="121"/>
    <x v="1"/>
    <x v="1"/>
    <n v="916.13"/>
  </r>
  <r>
    <n v="2032"/>
    <x v="1"/>
    <x v="1"/>
    <x v="6"/>
    <s v="M"/>
    <n v="2"/>
    <n v="0"/>
    <n v="0.96"/>
    <n v="0"/>
    <x v="52"/>
    <x v="0"/>
    <x v="5"/>
    <n v="-596.41"/>
  </r>
  <r>
    <n v="2819"/>
    <x v="0"/>
    <x v="1"/>
    <x v="2"/>
    <s v="M"/>
    <n v="0"/>
    <n v="7645.41"/>
    <n v="0"/>
    <n v="0"/>
    <x v="232"/>
    <x v="1"/>
    <x v="0"/>
    <n v="593.62"/>
  </r>
  <r>
    <n v="2820"/>
    <x v="1"/>
    <x v="2"/>
    <x v="3"/>
    <s v="M"/>
    <n v="4"/>
    <n v="8659.15"/>
    <n v="0"/>
    <n v="0"/>
    <x v="265"/>
    <x v="0"/>
    <x v="2"/>
    <n v="2078.39"/>
  </r>
  <r>
    <n v="2822"/>
    <x v="1"/>
    <x v="2"/>
    <x v="3"/>
    <s v="M"/>
    <n v="0"/>
    <n v="8314.34"/>
    <n v="0"/>
    <n v="0"/>
    <x v="319"/>
    <x v="1"/>
    <x v="0"/>
    <n v="-1145.98"/>
  </r>
  <r>
    <n v="2823"/>
    <x v="2"/>
    <x v="1"/>
    <x v="6"/>
    <s v="L"/>
    <n v="1"/>
    <n v="0"/>
    <n v="0"/>
    <n v="0"/>
    <x v="320"/>
    <x v="1"/>
    <x v="2"/>
    <n v="-1125.9100000000001"/>
  </r>
  <r>
    <n v="2824"/>
    <x v="2"/>
    <x v="4"/>
    <x v="8"/>
    <s v="L"/>
    <n v="4"/>
    <n v="5123.3500000000004"/>
    <n v="0"/>
    <n v="0"/>
    <x v="321"/>
    <x v="0"/>
    <x v="2"/>
    <n v="1620.37"/>
  </r>
  <r>
    <n v="2825"/>
    <x v="0"/>
    <x v="0"/>
    <x v="0"/>
    <s v="M"/>
    <n v="0"/>
    <n v="0"/>
    <n v="0"/>
    <n v="0"/>
    <x v="321"/>
    <x v="1"/>
    <x v="3"/>
    <n v="2322.87"/>
  </r>
  <r>
    <n v="2826"/>
    <x v="0"/>
    <x v="2"/>
    <x v="3"/>
    <s v="M"/>
    <n v="2"/>
    <n v="0"/>
    <n v="0.01"/>
    <n v="0"/>
    <x v="321"/>
    <x v="1"/>
    <x v="0"/>
    <n v="262.81"/>
  </r>
  <r>
    <n v="2827"/>
    <x v="2"/>
    <x v="4"/>
    <x v="8"/>
    <s v="L"/>
    <n v="0"/>
    <n v="4278.28"/>
    <n v="1.17"/>
    <n v="0"/>
    <x v="322"/>
    <x v="1"/>
    <x v="1"/>
    <n v="860.32"/>
  </r>
  <r>
    <n v="2828"/>
    <x v="1"/>
    <x v="0"/>
    <x v="14"/>
    <s v="XL"/>
    <n v="0"/>
    <n v="2095"/>
    <n v="0"/>
    <n v="0"/>
    <x v="323"/>
    <x v="0"/>
    <x v="1"/>
    <n v="-831.4"/>
  </r>
  <r>
    <n v="2829"/>
    <x v="2"/>
    <x v="4"/>
    <x v="19"/>
    <s v="XL"/>
    <n v="0"/>
    <n v="0"/>
    <n v="0"/>
    <n v="0"/>
    <x v="324"/>
    <x v="0"/>
    <x v="5"/>
    <n v="2539.92"/>
  </r>
  <r>
    <n v="2831"/>
    <x v="1"/>
    <x v="0"/>
    <x v="0"/>
    <s v="M"/>
    <n v="4"/>
    <n v="0"/>
    <n v="0"/>
    <n v="0"/>
    <x v="51"/>
    <x v="0"/>
    <x v="2"/>
    <n v="3134.87"/>
  </r>
  <r>
    <n v="2833"/>
    <x v="1"/>
    <x v="0"/>
    <x v="5"/>
    <s v="XL"/>
    <n v="4"/>
    <n v="2224.9"/>
    <n v="0"/>
    <n v="0"/>
    <x v="46"/>
    <x v="0"/>
    <x v="3"/>
    <n v="-16.04"/>
  </r>
  <r>
    <n v="2834"/>
    <x v="0"/>
    <x v="0"/>
    <x v="5"/>
    <s v="M"/>
    <n v="-1"/>
    <n v="9544.08"/>
    <n v="0"/>
    <n v="0"/>
    <x v="323"/>
    <x v="1"/>
    <x v="5"/>
    <n v="575.58000000000004"/>
  </r>
  <r>
    <n v="2836"/>
    <x v="2"/>
    <x v="4"/>
    <x v="12"/>
    <s v="L"/>
    <n v="0"/>
    <n v="9098.9"/>
    <n v="0.75"/>
    <n v="0"/>
    <x v="325"/>
    <x v="1"/>
    <x v="4"/>
    <n v="2729.87"/>
  </r>
  <r>
    <n v="2837"/>
    <x v="1"/>
    <x v="3"/>
    <x v="16"/>
    <s v="L"/>
    <n v="0"/>
    <n v="8889.68"/>
    <n v="0"/>
    <n v="0"/>
    <x v="325"/>
    <x v="0"/>
    <x v="2"/>
    <n v="2191.17"/>
  </r>
  <r>
    <n v="2838"/>
    <x v="1"/>
    <x v="4"/>
    <x v="8"/>
    <s v="XL"/>
    <n v="4"/>
    <n v="8605.73"/>
    <n v="0"/>
    <n v="0"/>
    <x v="59"/>
    <x v="1"/>
    <x v="3"/>
    <n v="-990.99"/>
  </r>
  <r>
    <n v="2839"/>
    <x v="2"/>
    <x v="2"/>
    <x v="7"/>
    <s v="M"/>
    <n v="0"/>
    <n v="0"/>
    <n v="0"/>
    <n v="0"/>
    <x v="211"/>
    <x v="0"/>
    <x v="1"/>
    <n v="2992.52"/>
  </r>
  <r>
    <n v="2050"/>
    <x v="1"/>
    <x v="2"/>
    <x v="3"/>
    <s v="L"/>
    <n v="-1"/>
    <n v="0"/>
    <n v="0"/>
    <n v="0"/>
    <x v="152"/>
    <x v="0"/>
    <x v="5"/>
    <n v="3407.87"/>
  </r>
  <r>
    <n v="2841"/>
    <x v="2"/>
    <x v="4"/>
    <x v="19"/>
    <s v="M"/>
    <n v="1"/>
    <n v="4166.9399999999996"/>
    <n v="0"/>
    <n v="0"/>
    <x v="152"/>
    <x v="0"/>
    <x v="4"/>
    <n v="2865.93"/>
  </r>
  <r>
    <n v="2842"/>
    <x v="1"/>
    <x v="1"/>
    <x v="15"/>
    <s v="M"/>
    <n v="-1"/>
    <n v="0"/>
    <n v="0"/>
    <n v="0"/>
    <x v="46"/>
    <x v="0"/>
    <x v="0"/>
    <n v="-1193.98"/>
  </r>
  <r>
    <n v="2843"/>
    <x v="2"/>
    <x v="0"/>
    <x v="0"/>
    <s v="M"/>
    <n v="0"/>
    <n v="0"/>
    <n v="0"/>
    <n v="0"/>
    <x v="326"/>
    <x v="0"/>
    <x v="2"/>
    <n v="3574.05"/>
  </r>
  <r>
    <n v="2846"/>
    <x v="0"/>
    <x v="0"/>
    <x v="14"/>
    <s v="L"/>
    <n v="0"/>
    <n v="2932.99"/>
    <n v="0"/>
    <n v="0"/>
    <x v="327"/>
    <x v="0"/>
    <x v="3"/>
    <n v="-543.26"/>
  </r>
  <r>
    <n v="2847"/>
    <x v="2"/>
    <x v="0"/>
    <x v="9"/>
    <s v="XL"/>
    <n v="0"/>
    <n v="0"/>
    <n v="0.16"/>
    <n v="0"/>
    <x v="328"/>
    <x v="0"/>
    <x v="0"/>
    <n v="3988.85"/>
  </r>
  <r>
    <n v="2848"/>
    <x v="0"/>
    <x v="3"/>
    <x v="11"/>
    <s v="M"/>
    <n v="0"/>
    <n v="9476.7999999999993"/>
    <n v="0.03"/>
    <n v="0"/>
    <x v="301"/>
    <x v="0"/>
    <x v="1"/>
    <n v="-350.03"/>
  </r>
  <r>
    <n v="2008"/>
    <x v="2"/>
    <x v="3"/>
    <x v="10"/>
    <s v="XL"/>
    <n v="0"/>
    <n v="0"/>
    <n v="0"/>
    <n v="0"/>
    <x v="291"/>
    <x v="1"/>
    <x v="2"/>
    <n v="-639.41999999999996"/>
  </r>
  <r>
    <n v="2850"/>
    <x v="0"/>
    <x v="2"/>
    <x v="7"/>
    <s v="XL"/>
    <n v="2"/>
    <n v="0"/>
    <n v="0"/>
    <n v="0"/>
    <x v="51"/>
    <x v="1"/>
    <x v="3"/>
    <n v="458.86"/>
  </r>
  <r>
    <n v="2851"/>
    <x v="0"/>
    <x v="2"/>
    <x v="3"/>
    <s v="XL"/>
    <n v="0"/>
    <n v="2241.11"/>
    <n v="0"/>
    <n v="0"/>
    <x v="14"/>
    <x v="0"/>
    <x v="2"/>
    <n v="1243.95"/>
  </r>
  <r>
    <n v="2852"/>
    <x v="0"/>
    <x v="3"/>
    <x v="4"/>
    <s v="M"/>
    <n v="0"/>
    <n v="0"/>
    <n v="0"/>
    <n v="0"/>
    <x v="14"/>
    <x v="0"/>
    <x v="4"/>
    <n v="-234.16"/>
  </r>
  <r>
    <n v="2853"/>
    <x v="1"/>
    <x v="4"/>
    <x v="12"/>
    <s v="XL"/>
    <n v="0"/>
    <n v="0"/>
    <n v="0"/>
    <n v="0"/>
    <x v="329"/>
    <x v="1"/>
    <x v="1"/>
    <n v="3841.05"/>
  </r>
  <r>
    <n v="2856"/>
    <x v="0"/>
    <x v="4"/>
    <x v="12"/>
    <s v="M"/>
    <n v="0"/>
    <n v="0"/>
    <n v="1.1399999999999999"/>
    <n v="0"/>
    <x v="330"/>
    <x v="0"/>
    <x v="5"/>
    <n v="3137.85"/>
  </r>
  <r>
    <n v="2857"/>
    <x v="1"/>
    <x v="3"/>
    <x v="4"/>
    <s v="M"/>
    <n v="0"/>
    <n v="4105.4399999999996"/>
    <n v="0.73"/>
    <n v="0"/>
    <x v="331"/>
    <x v="0"/>
    <x v="5"/>
    <n v="3197.09"/>
  </r>
  <r>
    <n v="2859"/>
    <x v="1"/>
    <x v="2"/>
    <x v="18"/>
    <s v="M"/>
    <n v="0"/>
    <n v="0"/>
    <n v="0"/>
    <n v="0"/>
    <x v="331"/>
    <x v="0"/>
    <x v="3"/>
    <n v="566.34"/>
  </r>
  <r>
    <n v="2860"/>
    <x v="0"/>
    <x v="2"/>
    <x v="18"/>
    <s v="XL"/>
    <n v="-1"/>
    <n v="7568.04"/>
    <n v="0"/>
    <n v="0"/>
    <x v="164"/>
    <x v="1"/>
    <x v="1"/>
    <n v="1365.3"/>
  </r>
  <r>
    <n v="2861"/>
    <x v="0"/>
    <x v="0"/>
    <x v="14"/>
    <s v="XL"/>
    <n v="0"/>
    <n v="0"/>
    <n v="0"/>
    <n v="0"/>
    <x v="274"/>
    <x v="0"/>
    <x v="3"/>
    <n v="650.99"/>
  </r>
  <r>
    <n v="2862"/>
    <x v="0"/>
    <x v="1"/>
    <x v="15"/>
    <s v="M"/>
    <n v="4"/>
    <n v="7940.29"/>
    <n v="1.02"/>
    <n v="-635.22"/>
    <x v="89"/>
    <x v="1"/>
    <x v="4"/>
    <n v="1803.25"/>
  </r>
  <r>
    <n v="2863"/>
    <x v="1"/>
    <x v="0"/>
    <x v="9"/>
    <s v="M"/>
    <n v="0"/>
    <n v="8609.77"/>
    <n v="0"/>
    <n v="0"/>
    <x v="131"/>
    <x v="1"/>
    <x v="3"/>
    <n v="-711.07"/>
  </r>
  <r>
    <n v="2866"/>
    <x v="0"/>
    <x v="0"/>
    <x v="0"/>
    <s v="M"/>
    <n v="2"/>
    <n v="0"/>
    <n v="0"/>
    <n v="0"/>
    <x v="246"/>
    <x v="0"/>
    <x v="3"/>
    <n v="273.27999999999997"/>
  </r>
  <r>
    <n v="2867"/>
    <x v="2"/>
    <x v="1"/>
    <x v="6"/>
    <s v="M"/>
    <n v="1"/>
    <n v="9936.58"/>
    <n v="0"/>
    <n v="0"/>
    <x v="332"/>
    <x v="0"/>
    <x v="1"/>
    <n v="3190.43"/>
  </r>
  <r>
    <n v="2868"/>
    <x v="1"/>
    <x v="3"/>
    <x v="4"/>
    <s v="M"/>
    <n v="0"/>
    <n v="7379.45"/>
    <n v="0"/>
    <n v="0"/>
    <x v="88"/>
    <x v="1"/>
    <x v="4"/>
    <n v="-688.14"/>
  </r>
  <r>
    <n v="2869"/>
    <x v="0"/>
    <x v="1"/>
    <x v="2"/>
    <s v="M"/>
    <n v="4"/>
    <n v="0"/>
    <n v="0"/>
    <n v="0"/>
    <x v="179"/>
    <x v="0"/>
    <x v="3"/>
    <n v="1550.3"/>
  </r>
  <r>
    <n v="2870"/>
    <x v="0"/>
    <x v="0"/>
    <x v="9"/>
    <s v="M"/>
    <n v="1"/>
    <n v="9633.68"/>
    <n v="0"/>
    <n v="0"/>
    <x v="333"/>
    <x v="1"/>
    <x v="4"/>
    <n v="771.96"/>
  </r>
  <r>
    <n v="2871"/>
    <x v="2"/>
    <x v="0"/>
    <x v="5"/>
    <s v="M"/>
    <n v="1"/>
    <n v="2294.09"/>
    <n v="0"/>
    <n v="0"/>
    <x v="325"/>
    <x v="1"/>
    <x v="0"/>
    <n v="1002.21"/>
  </r>
  <r>
    <n v="2872"/>
    <x v="2"/>
    <x v="4"/>
    <x v="12"/>
    <s v="M"/>
    <n v="0"/>
    <n v="3953.13"/>
    <n v="0"/>
    <n v="0"/>
    <x v="334"/>
    <x v="0"/>
    <x v="5"/>
    <n v="3414.32"/>
  </r>
  <r>
    <n v="2874"/>
    <x v="1"/>
    <x v="1"/>
    <x v="6"/>
    <s v="L"/>
    <n v="0"/>
    <n v="0"/>
    <n v="0.01"/>
    <n v="0"/>
    <x v="335"/>
    <x v="1"/>
    <x v="4"/>
    <n v="-109.71"/>
  </r>
  <r>
    <n v="2875"/>
    <x v="1"/>
    <x v="2"/>
    <x v="17"/>
    <s v="L"/>
    <n v="4"/>
    <n v="7401.53"/>
    <n v="0"/>
    <n v="0"/>
    <x v="336"/>
    <x v="1"/>
    <x v="0"/>
    <n v="1559.28"/>
  </r>
  <r>
    <n v="2878"/>
    <x v="1"/>
    <x v="0"/>
    <x v="14"/>
    <s v="M"/>
    <n v="0"/>
    <n v="9213.58"/>
    <n v="1.23"/>
    <n v="0"/>
    <x v="336"/>
    <x v="1"/>
    <x v="1"/>
    <n v="3968.86"/>
  </r>
  <r>
    <n v="2879"/>
    <x v="0"/>
    <x v="4"/>
    <x v="13"/>
    <s v="M"/>
    <n v="0"/>
    <n v="2831.62"/>
    <n v="0"/>
    <n v="0"/>
    <x v="337"/>
    <x v="1"/>
    <x v="0"/>
    <n v="1053.25"/>
  </r>
  <r>
    <n v="2880"/>
    <x v="0"/>
    <x v="4"/>
    <x v="8"/>
    <s v="M"/>
    <n v="0"/>
    <n v="8132.33"/>
    <n v="0.63"/>
    <n v="0"/>
    <x v="247"/>
    <x v="1"/>
    <x v="4"/>
    <n v="191.67"/>
  </r>
  <r>
    <n v="2050"/>
    <x v="0"/>
    <x v="4"/>
    <x v="13"/>
    <s v="M"/>
    <n v="3"/>
    <n v="0"/>
    <n v="0"/>
    <n v="0"/>
    <x v="102"/>
    <x v="1"/>
    <x v="5"/>
    <n v="-1000.03"/>
  </r>
  <r>
    <n v="2882"/>
    <x v="2"/>
    <x v="0"/>
    <x v="9"/>
    <s v="M"/>
    <n v="2"/>
    <n v="0"/>
    <n v="0.9"/>
    <n v="0"/>
    <x v="102"/>
    <x v="1"/>
    <x v="5"/>
    <n v="-127.44"/>
  </r>
  <r>
    <n v="2884"/>
    <x v="0"/>
    <x v="3"/>
    <x v="16"/>
    <s v="M"/>
    <n v="0"/>
    <n v="9897"/>
    <n v="0"/>
    <n v="0"/>
    <x v="226"/>
    <x v="0"/>
    <x v="1"/>
    <n v="-156.47"/>
  </r>
  <r>
    <n v="2885"/>
    <x v="1"/>
    <x v="2"/>
    <x v="3"/>
    <s v="XL"/>
    <n v="0"/>
    <n v="7671.31"/>
    <n v="0"/>
    <n v="0"/>
    <x v="226"/>
    <x v="1"/>
    <x v="5"/>
    <n v="3394.27"/>
  </r>
  <r>
    <n v="2886"/>
    <x v="0"/>
    <x v="3"/>
    <x v="11"/>
    <s v="XL"/>
    <n v="0"/>
    <n v="8164.32"/>
    <n v="0.94"/>
    <n v="0"/>
    <x v="171"/>
    <x v="1"/>
    <x v="3"/>
    <n v="286.3"/>
  </r>
  <r>
    <n v="2887"/>
    <x v="1"/>
    <x v="2"/>
    <x v="7"/>
    <s v="L"/>
    <n v="0"/>
    <n v="9292.33"/>
    <n v="0"/>
    <n v="0"/>
    <x v="338"/>
    <x v="0"/>
    <x v="1"/>
    <n v="3747.95"/>
  </r>
  <r>
    <n v="2888"/>
    <x v="0"/>
    <x v="3"/>
    <x v="10"/>
    <s v="L"/>
    <n v="0"/>
    <n v="8956.73"/>
    <n v="1.17"/>
    <n v="0"/>
    <x v="295"/>
    <x v="0"/>
    <x v="3"/>
    <n v="2320.4899999999998"/>
  </r>
  <r>
    <n v="2889"/>
    <x v="1"/>
    <x v="4"/>
    <x v="13"/>
    <s v="M"/>
    <n v="0"/>
    <n v="0"/>
    <n v="1.23"/>
    <n v="0"/>
    <x v="339"/>
    <x v="0"/>
    <x v="1"/>
    <n v="2447.88"/>
  </r>
  <r>
    <n v="2890"/>
    <x v="2"/>
    <x v="1"/>
    <x v="15"/>
    <s v="L"/>
    <n v="0"/>
    <n v="0"/>
    <n v="0"/>
    <n v="0"/>
    <x v="340"/>
    <x v="1"/>
    <x v="0"/>
    <n v="-147.78"/>
  </r>
  <r>
    <n v="2892"/>
    <x v="1"/>
    <x v="3"/>
    <x v="11"/>
    <s v="M"/>
    <n v="4"/>
    <n v="0"/>
    <n v="0"/>
    <n v="0"/>
    <x v="210"/>
    <x v="0"/>
    <x v="0"/>
    <n v="-1195.79"/>
  </r>
  <r>
    <n v="2893"/>
    <x v="1"/>
    <x v="3"/>
    <x v="4"/>
    <s v="M"/>
    <n v="1"/>
    <n v="0"/>
    <n v="0.61"/>
    <n v="0"/>
    <x v="83"/>
    <x v="1"/>
    <x v="4"/>
    <n v="780.43"/>
  </r>
  <r>
    <n v="2894"/>
    <x v="1"/>
    <x v="2"/>
    <x v="18"/>
    <s v="L"/>
    <n v="0"/>
    <n v="0"/>
    <n v="0"/>
    <n v="0"/>
    <x v="341"/>
    <x v="1"/>
    <x v="1"/>
    <n v="1796.17"/>
  </r>
  <r>
    <n v="2896"/>
    <x v="0"/>
    <x v="0"/>
    <x v="0"/>
    <s v="M"/>
    <n v="0"/>
    <n v="6252.51"/>
    <n v="0.47"/>
    <n v="0"/>
    <x v="80"/>
    <x v="0"/>
    <x v="4"/>
    <n v="-1104.33"/>
  </r>
  <r>
    <n v="2898"/>
    <x v="1"/>
    <x v="3"/>
    <x v="11"/>
    <s v="M"/>
    <n v="1"/>
    <n v="0"/>
    <n v="0"/>
    <n v="0"/>
    <x v="80"/>
    <x v="1"/>
    <x v="5"/>
    <n v="-744.45"/>
  </r>
  <r>
    <n v="2899"/>
    <x v="2"/>
    <x v="4"/>
    <x v="19"/>
    <s v="L"/>
    <n v="3"/>
    <n v="6531.36"/>
    <n v="0"/>
    <n v="0"/>
    <x v="106"/>
    <x v="0"/>
    <x v="2"/>
    <n v="-91.78"/>
  </r>
  <r>
    <n v="2006"/>
    <x v="2"/>
    <x v="2"/>
    <x v="7"/>
    <s v="XL"/>
    <n v="2"/>
    <n v="0"/>
    <n v="0"/>
    <n v="0"/>
    <x v="342"/>
    <x v="1"/>
    <x v="2"/>
    <n v="-716.79"/>
  </r>
  <r>
    <n v="2005"/>
    <x v="0"/>
    <x v="1"/>
    <x v="6"/>
    <s v="M"/>
    <n v="0"/>
    <n v="9794.84"/>
    <n v="0"/>
    <n v="0"/>
    <x v="342"/>
    <x v="1"/>
    <x v="1"/>
    <n v="2253.08"/>
  </r>
  <r>
    <n v="2902"/>
    <x v="0"/>
    <x v="4"/>
    <x v="12"/>
    <s v="M"/>
    <n v="0"/>
    <n v="8138.68"/>
    <n v="0"/>
    <n v="0"/>
    <x v="147"/>
    <x v="1"/>
    <x v="5"/>
    <n v="2604.35"/>
  </r>
  <r>
    <n v="2903"/>
    <x v="2"/>
    <x v="1"/>
    <x v="15"/>
    <s v="M"/>
    <n v="0"/>
    <n v="2735.54"/>
    <n v="0"/>
    <n v="0"/>
    <x v="323"/>
    <x v="1"/>
    <x v="4"/>
    <n v="2944.26"/>
  </r>
  <r>
    <n v="2904"/>
    <x v="1"/>
    <x v="1"/>
    <x v="1"/>
    <s v="M"/>
    <n v="2"/>
    <n v="8644.67"/>
    <n v="0.54"/>
    <n v="7953.1"/>
    <x v="174"/>
    <x v="0"/>
    <x v="0"/>
    <n v="2711.75"/>
  </r>
  <r>
    <n v="2905"/>
    <x v="2"/>
    <x v="3"/>
    <x v="4"/>
    <s v="M"/>
    <n v="0"/>
    <n v="5762.39"/>
    <n v="0"/>
    <n v="0"/>
    <x v="343"/>
    <x v="1"/>
    <x v="1"/>
    <n v="-584.1"/>
  </r>
  <r>
    <n v="2906"/>
    <x v="1"/>
    <x v="2"/>
    <x v="7"/>
    <s v="M"/>
    <n v="1"/>
    <n v="0"/>
    <n v="0"/>
    <n v="0"/>
    <x v="331"/>
    <x v="1"/>
    <x v="4"/>
    <n v="-291.45"/>
  </r>
  <r>
    <n v="2907"/>
    <x v="2"/>
    <x v="1"/>
    <x v="2"/>
    <s v="L"/>
    <n v="0"/>
    <n v="8432.5"/>
    <n v="0"/>
    <n v="0"/>
    <x v="338"/>
    <x v="1"/>
    <x v="5"/>
    <n v="3790.63"/>
  </r>
  <r>
    <n v="2908"/>
    <x v="2"/>
    <x v="3"/>
    <x v="16"/>
    <s v="M"/>
    <n v="0"/>
    <n v="0"/>
    <n v="0.53"/>
    <n v="0"/>
    <x v="292"/>
    <x v="1"/>
    <x v="1"/>
    <n v="-74"/>
  </r>
  <r>
    <n v="2909"/>
    <x v="1"/>
    <x v="3"/>
    <x v="10"/>
    <s v="XL"/>
    <n v="0"/>
    <n v="7617.75"/>
    <n v="0.33"/>
    <n v="0"/>
    <x v="224"/>
    <x v="1"/>
    <x v="3"/>
    <n v="-186.9"/>
  </r>
  <r>
    <n v="2910"/>
    <x v="0"/>
    <x v="0"/>
    <x v="5"/>
    <s v="M"/>
    <n v="0"/>
    <n v="0"/>
    <n v="0.49"/>
    <n v="0"/>
    <x v="111"/>
    <x v="1"/>
    <x v="0"/>
    <n v="1818.49"/>
  </r>
  <r>
    <n v="2911"/>
    <x v="0"/>
    <x v="4"/>
    <x v="13"/>
    <s v="M"/>
    <n v="0"/>
    <n v="0"/>
    <n v="0"/>
    <n v="0"/>
    <x v="344"/>
    <x v="1"/>
    <x v="2"/>
    <n v="927.88"/>
  </r>
  <r>
    <n v="2912"/>
    <x v="0"/>
    <x v="3"/>
    <x v="4"/>
    <s v="XL"/>
    <n v="2"/>
    <n v="9839.6299999999992"/>
    <n v="0.98"/>
    <n v="393.59"/>
    <x v="345"/>
    <x v="0"/>
    <x v="0"/>
    <n v="1218.22"/>
  </r>
  <r>
    <n v="2913"/>
    <x v="1"/>
    <x v="2"/>
    <x v="17"/>
    <s v="M"/>
    <n v="0"/>
    <n v="0"/>
    <n v="0.3"/>
    <n v="0"/>
    <x v="275"/>
    <x v="0"/>
    <x v="3"/>
    <n v="-1036.78"/>
  </r>
  <r>
    <n v="2914"/>
    <x v="2"/>
    <x v="1"/>
    <x v="1"/>
    <s v="L"/>
    <n v="0"/>
    <n v="7603.38"/>
    <n v="1.25"/>
    <n v="0"/>
    <x v="346"/>
    <x v="0"/>
    <x v="2"/>
    <n v="-950.86"/>
  </r>
  <r>
    <n v="2915"/>
    <x v="2"/>
    <x v="4"/>
    <x v="12"/>
    <s v="XL"/>
    <n v="1"/>
    <n v="4994.83"/>
    <n v="0"/>
    <n v="0"/>
    <x v="346"/>
    <x v="1"/>
    <x v="2"/>
    <n v="629.34"/>
  </r>
  <r>
    <n v="2916"/>
    <x v="0"/>
    <x v="2"/>
    <x v="3"/>
    <s v="XL"/>
    <n v="0"/>
    <n v="0"/>
    <n v="0"/>
    <n v="0"/>
    <x v="265"/>
    <x v="1"/>
    <x v="1"/>
    <n v="-1121.25"/>
  </r>
  <r>
    <n v="2918"/>
    <x v="2"/>
    <x v="0"/>
    <x v="0"/>
    <s v="M"/>
    <n v="0"/>
    <n v="0"/>
    <n v="0"/>
    <n v="0"/>
    <x v="123"/>
    <x v="1"/>
    <x v="2"/>
    <n v="1398.13"/>
  </r>
  <r>
    <n v="2919"/>
    <x v="2"/>
    <x v="1"/>
    <x v="2"/>
    <s v="M"/>
    <n v="0"/>
    <n v="7323.53"/>
    <n v="0"/>
    <n v="0"/>
    <x v="83"/>
    <x v="1"/>
    <x v="0"/>
    <n v="488.37"/>
  </r>
  <r>
    <n v="2920"/>
    <x v="0"/>
    <x v="1"/>
    <x v="6"/>
    <s v="M"/>
    <n v="2"/>
    <n v="5891.32"/>
    <n v="1.18"/>
    <n v="-2120.88"/>
    <x v="83"/>
    <x v="1"/>
    <x v="5"/>
    <n v="345.7"/>
  </r>
  <r>
    <n v="2921"/>
    <x v="0"/>
    <x v="0"/>
    <x v="9"/>
    <s v="M"/>
    <n v="0"/>
    <n v="9092.33"/>
    <n v="0.39"/>
    <n v="0"/>
    <x v="251"/>
    <x v="1"/>
    <x v="0"/>
    <n v="2826.57"/>
  </r>
  <r>
    <n v="2922"/>
    <x v="0"/>
    <x v="1"/>
    <x v="1"/>
    <s v="XL"/>
    <n v="2"/>
    <n v="0"/>
    <n v="1.2"/>
    <n v="0"/>
    <x v="6"/>
    <x v="0"/>
    <x v="5"/>
    <n v="3495.67"/>
  </r>
  <r>
    <n v="2923"/>
    <x v="1"/>
    <x v="0"/>
    <x v="9"/>
    <s v="XL"/>
    <n v="0"/>
    <n v="6991.93"/>
    <n v="0"/>
    <n v="0"/>
    <x v="6"/>
    <x v="0"/>
    <x v="2"/>
    <n v="-371.76"/>
  </r>
  <r>
    <n v="2924"/>
    <x v="1"/>
    <x v="4"/>
    <x v="19"/>
    <s v="XL"/>
    <n v="0"/>
    <n v="8776.01"/>
    <n v="0"/>
    <n v="0"/>
    <x v="6"/>
    <x v="1"/>
    <x v="0"/>
    <n v="-71.05"/>
  </r>
  <r>
    <n v="2006"/>
    <x v="2"/>
    <x v="2"/>
    <x v="7"/>
    <s v="XL"/>
    <n v="4"/>
    <n v="6064.42"/>
    <n v="0"/>
    <n v="0"/>
    <x v="6"/>
    <x v="0"/>
    <x v="1"/>
    <n v="2936.55"/>
  </r>
  <r>
    <n v="2927"/>
    <x v="2"/>
    <x v="0"/>
    <x v="5"/>
    <s v="L"/>
    <n v="0"/>
    <n v="6316.75"/>
    <n v="0"/>
    <n v="0"/>
    <x v="6"/>
    <x v="1"/>
    <x v="2"/>
    <n v="1560.89"/>
  </r>
  <r>
    <n v="2928"/>
    <x v="1"/>
    <x v="2"/>
    <x v="7"/>
    <s v="M"/>
    <n v="3"/>
    <n v="0"/>
    <n v="0"/>
    <n v="0"/>
    <x v="347"/>
    <x v="0"/>
    <x v="4"/>
    <n v="-1064.8599999999999"/>
  </r>
  <r>
    <n v="2929"/>
    <x v="0"/>
    <x v="1"/>
    <x v="1"/>
    <s v="M"/>
    <n v="0"/>
    <n v="6589.95"/>
    <n v="0"/>
    <n v="0"/>
    <x v="208"/>
    <x v="1"/>
    <x v="1"/>
    <n v="157.26"/>
  </r>
  <r>
    <n v="2930"/>
    <x v="1"/>
    <x v="4"/>
    <x v="8"/>
    <s v="L"/>
    <n v="0"/>
    <n v="0"/>
    <n v="0.56999999999999995"/>
    <n v="0"/>
    <x v="133"/>
    <x v="1"/>
    <x v="0"/>
    <n v="819.42"/>
  </r>
  <r>
    <n v="2931"/>
    <x v="2"/>
    <x v="4"/>
    <x v="13"/>
    <s v="M"/>
    <n v="0"/>
    <n v="0"/>
    <n v="0"/>
    <n v="0"/>
    <x v="348"/>
    <x v="1"/>
    <x v="3"/>
    <n v="3751.45"/>
  </r>
  <r>
    <n v="2932"/>
    <x v="0"/>
    <x v="3"/>
    <x v="10"/>
    <s v="M"/>
    <n v="0"/>
    <n v="0"/>
    <n v="0.35"/>
    <n v="0"/>
    <x v="86"/>
    <x v="0"/>
    <x v="0"/>
    <n v="-427.86"/>
  </r>
  <r>
    <n v="2934"/>
    <x v="1"/>
    <x v="4"/>
    <x v="19"/>
    <s v="XL"/>
    <n v="-1"/>
    <n v="2370.91"/>
    <n v="0"/>
    <n v="0"/>
    <x v="349"/>
    <x v="0"/>
    <x v="2"/>
    <n v="3043.95"/>
  </r>
  <r>
    <n v="2935"/>
    <x v="2"/>
    <x v="2"/>
    <x v="17"/>
    <s v="L"/>
    <n v="4"/>
    <n v="0"/>
    <n v="0"/>
    <n v="0"/>
    <x v="350"/>
    <x v="0"/>
    <x v="1"/>
    <n v="478.07"/>
  </r>
  <r>
    <n v="2936"/>
    <x v="1"/>
    <x v="0"/>
    <x v="5"/>
    <s v="XL"/>
    <n v="1"/>
    <n v="6496.58"/>
    <n v="0.28999999999999998"/>
    <n v="4612.57"/>
    <x v="209"/>
    <x v="1"/>
    <x v="3"/>
    <n v="1933.1"/>
  </r>
  <r>
    <n v="2937"/>
    <x v="1"/>
    <x v="0"/>
    <x v="9"/>
    <s v="M"/>
    <n v="0"/>
    <n v="0"/>
    <n v="1.25"/>
    <n v="0"/>
    <x v="209"/>
    <x v="0"/>
    <x v="4"/>
    <n v="1558.24"/>
  </r>
  <r>
    <n v="2938"/>
    <x v="0"/>
    <x v="1"/>
    <x v="15"/>
    <s v="L"/>
    <n v="1"/>
    <n v="0"/>
    <n v="0"/>
    <n v="0"/>
    <x v="351"/>
    <x v="0"/>
    <x v="4"/>
    <n v="2596.64"/>
  </r>
  <r>
    <n v="2939"/>
    <x v="1"/>
    <x v="4"/>
    <x v="8"/>
    <s v="XL"/>
    <n v="4"/>
    <n v="6858.76"/>
    <n v="0"/>
    <n v="0"/>
    <x v="351"/>
    <x v="1"/>
    <x v="2"/>
    <n v="639.03"/>
  </r>
  <r>
    <n v="2940"/>
    <x v="1"/>
    <x v="1"/>
    <x v="2"/>
    <s v="L"/>
    <n v="-1"/>
    <n v="8412.43"/>
    <n v="0"/>
    <n v="0"/>
    <x v="41"/>
    <x v="1"/>
    <x v="1"/>
    <n v="-344.67"/>
  </r>
  <r>
    <n v="2941"/>
    <x v="2"/>
    <x v="2"/>
    <x v="3"/>
    <s v="XL"/>
    <n v="-1"/>
    <n v="9331.65"/>
    <n v="0"/>
    <n v="0"/>
    <x v="352"/>
    <x v="1"/>
    <x v="5"/>
    <n v="492.35"/>
  </r>
  <r>
    <n v="2942"/>
    <x v="1"/>
    <x v="0"/>
    <x v="5"/>
    <s v="M"/>
    <n v="4"/>
    <n v="5222.3900000000003"/>
    <n v="0.56999999999999995"/>
    <n v="8982.51"/>
    <x v="353"/>
    <x v="0"/>
    <x v="0"/>
    <n v="-68.53"/>
  </r>
  <r>
    <n v="2943"/>
    <x v="1"/>
    <x v="0"/>
    <x v="0"/>
    <s v="M"/>
    <n v="-1"/>
    <n v="3390"/>
    <n v="0"/>
    <n v="0"/>
    <x v="197"/>
    <x v="1"/>
    <x v="2"/>
    <n v="-429.78"/>
  </r>
  <r>
    <n v="2945"/>
    <x v="0"/>
    <x v="4"/>
    <x v="19"/>
    <s v="XL"/>
    <n v="-1"/>
    <n v="3519.94"/>
    <n v="0"/>
    <n v="0"/>
    <x v="197"/>
    <x v="0"/>
    <x v="2"/>
    <n v="3456.5"/>
  </r>
  <r>
    <n v="2946"/>
    <x v="0"/>
    <x v="3"/>
    <x v="11"/>
    <s v="XL"/>
    <n v="0"/>
    <n v="5691.68"/>
    <n v="0.62"/>
    <n v="0"/>
    <x v="197"/>
    <x v="1"/>
    <x v="0"/>
    <n v="3129.43"/>
  </r>
  <r>
    <n v="2947"/>
    <x v="1"/>
    <x v="2"/>
    <x v="3"/>
    <s v="XL"/>
    <n v="0"/>
    <n v="4113.4799999999996"/>
    <n v="0.38"/>
    <n v="0"/>
    <x v="354"/>
    <x v="0"/>
    <x v="2"/>
    <n v="1604.63"/>
  </r>
  <r>
    <n v="2948"/>
    <x v="2"/>
    <x v="4"/>
    <x v="12"/>
    <s v="M"/>
    <n v="0"/>
    <n v="0"/>
    <n v="0.16"/>
    <n v="0"/>
    <x v="23"/>
    <x v="0"/>
    <x v="5"/>
    <n v="1708.88"/>
  </r>
  <r>
    <n v="2949"/>
    <x v="2"/>
    <x v="3"/>
    <x v="4"/>
    <s v="M"/>
    <n v="0"/>
    <n v="0"/>
    <n v="0.49"/>
    <n v="0"/>
    <x v="355"/>
    <x v="0"/>
    <x v="4"/>
    <n v="698.79"/>
  </r>
  <r>
    <n v="2950"/>
    <x v="1"/>
    <x v="3"/>
    <x v="4"/>
    <s v="M"/>
    <n v="0"/>
    <n v="9151.36"/>
    <n v="0"/>
    <n v="0"/>
    <x v="355"/>
    <x v="0"/>
    <x v="3"/>
    <n v="2540.27"/>
  </r>
  <r>
    <n v="2036"/>
    <x v="1"/>
    <x v="1"/>
    <x v="2"/>
    <s v="XL"/>
    <n v="2"/>
    <n v="0"/>
    <n v="0.76"/>
    <n v="0"/>
    <x v="355"/>
    <x v="0"/>
    <x v="2"/>
    <n v="2469.75"/>
  </r>
  <r>
    <n v="2952"/>
    <x v="0"/>
    <x v="0"/>
    <x v="0"/>
    <s v="XL"/>
    <n v="0"/>
    <n v="5443.44"/>
    <n v="0"/>
    <n v="0"/>
    <x v="159"/>
    <x v="1"/>
    <x v="5"/>
    <n v="2237.39"/>
  </r>
  <r>
    <n v="2049"/>
    <x v="2"/>
    <x v="0"/>
    <x v="9"/>
    <s v="M"/>
    <n v="2"/>
    <n v="0"/>
    <n v="1.08"/>
    <n v="0"/>
    <x v="354"/>
    <x v="0"/>
    <x v="0"/>
    <n v="-400.59"/>
  </r>
  <r>
    <n v="2954"/>
    <x v="1"/>
    <x v="0"/>
    <x v="5"/>
    <s v="L"/>
    <n v="-1"/>
    <n v="4709.79"/>
    <n v="0"/>
    <n v="0"/>
    <x v="354"/>
    <x v="1"/>
    <x v="3"/>
    <n v="3397.29"/>
  </r>
  <r>
    <n v="2955"/>
    <x v="0"/>
    <x v="4"/>
    <x v="19"/>
    <s v="XL"/>
    <n v="0"/>
    <n v="9846.09"/>
    <n v="0.12"/>
    <n v="0"/>
    <x v="79"/>
    <x v="1"/>
    <x v="5"/>
    <n v="2250.9299999999998"/>
  </r>
  <r>
    <n v="2957"/>
    <x v="2"/>
    <x v="4"/>
    <x v="13"/>
    <s v="XL"/>
    <n v="0"/>
    <n v="5348.89"/>
    <n v="0.47"/>
    <n v="0"/>
    <x v="11"/>
    <x v="0"/>
    <x v="5"/>
    <n v="753.26"/>
  </r>
  <r>
    <n v="2959"/>
    <x v="1"/>
    <x v="0"/>
    <x v="0"/>
    <s v="M"/>
    <n v="0"/>
    <n v="0"/>
    <n v="0"/>
    <n v="0"/>
    <x v="11"/>
    <x v="1"/>
    <x v="4"/>
    <n v="3166.22"/>
  </r>
  <r>
    <n v="2960"/>
    <x v="2"/>
    <x v="0"/>
    <x v="14"/>
    <s v="M"/>
    <n v="0"/>
    <n v="0"/>
    <n v="0"/>
    <n v="0"/>
    <x v="11"/>
    <x v="1"/>
    <x v="1"/>
    <n v="2620.9299999999998"/>
  </r>
  <r>
    <n v="2961"/>
    <x v="0"/>
    <x v="1"/>
    <x v="1"/>
    <s v="XL"/>
    <n v="0"/>
    <n v="0"/>
    <n v="0"/>
    <n v="0"/>
    <x v="237"/>
    <x v="1"/>
    <x v="2"/>
    <n v="665.39"/>
  </r>
  <r>
    <n v="2962"/>
    <x v="1"/>
    <x v="2"/>
    <x v="18"/>
    <s v="M"/>
    <n v="-1"/>
    <n v="2446.23"/>
    <n v="0"/>
    <n v="0"/>
    <x v="237"/>
    <x v="0"/>
    <x v="1"/>
    <n v="727.92"/>
  </r>
  <r>
    <n v="2963"/>
    <x v="0"/>
    <x v="0"/>
    <x v="5"/>
    <s v="XL"/>
    <n v="0"/>
    <n v="0"/>
    <n v="0"/>
    <n v="0"/>
    <x v="241"/>
    <x v="1"/>
    <x v="0"/>
    <n v="1172.3900000000001"/>
  </r>
  <r>
    <n v="2965"/>
    <x v="2"/>
    <x v="0"/>
    <x v="9"/>
    <s v="XL"/>
    <n v="0"/>
    <n v="2171.48"/>
    <n v="0"/>
    <n v="0"/>
    <x v="77"/>
    <x v="1"/>
    <x v="0"/>
    <n v="3079.48"/>
  </r>
  <r>
    <n v="2966"/>
    <x v="0"/>
    <x v="0"/>
    <x v="5"/>
    <s v="M"/>
    <n v="3"/>
    <n v="0"/>
    <n v="0"/>
    <n v="0"/>
    <x v="151"/>
    <x v="0"/>
    <x v="3"/>
    <n v="333.36"/>
  </r>
  <r>
    <n v="2035"/>
    <x v="2"/>
    <x v="2"/>
    <x v="17"/>
    <s v="L"/>
    <n v="0"/>
    <n v="3598.07"/>
    <n v="1.1000000000000001"/>
    <n v="0"/>
    <x v="151"/>
    <x v="1"/>
    <x v="5"/>
    <n v="3466.33"/>
  </r>
  <r>
    <n v="2968"/>
    <x v="0"/>
    <x v="0"/>
    <x v="5"/>
    <s v="XL"/>
    <n v="0"/>
    <n v="5283.1"/>
    <n v="0"/>
    <n v="0"/>
    <x v="317"/>
    <x v="1"/>
    <x v="0"/>
    <n v="575.73"/>
  </r>
  <r>
    <n v="2969"/>
    <x v="2"/>
    <x v="0"/>
    <x v="14"/>
    <s v="M"/>
    <n v="0"/>
    <n v="0"/>
    <n v="0"/>
    <n v="0"/>
    <x v="132"/>
    <x v="0"/>
    <x v="3"/>
    <n v="2323.02"/>
  </r>
  <r>
    <n v="2972"/>
    <x v="1"/>
    <x v="1"/>
    <x v="15"/>
    <s v="M"/>
    <n v="0"/>
    <n v="0"/>
    <n v="0"/>
    <n v="0"/>
    <x v="333"/>
    <x v="0"/>
    <x v="5"/>
    <n v="1995.69"/>
  </r>
  <r>
    <n v="2973"/>
    <x v="0"/>
    <x v="1"/>
    <x v="15"/>
    <s v="XL"/>
    <n v="0"/>
    <n v="3347.42"/>
    <n v="0"/>
    <n v="0"/>
    <x v="356"/>
    <x v="0"/>
    <x v="0"/>
    <n v="2234.16"/>
  </r>
  <r>
    <n v="2975"/>
    <x v="0"/>
    <x v="1"/>
    <x v="6"/>
    <s v="M"/>
    <n v="1"/>
    <n v="5037.43"/>
    <n v="0"/>
    <n v="0"/>
    <x v="51"/>
    <x v="0"/>
    <x v="4"/>
    <n v="3279.17"/>
  </r>
  <r>
    <n v="2977"/>
    <x v="0"/>
    <x v="0"/>
    <x v="14"/>
    <s v="M"/>
    <n v="3"/>
    <n v="2959.26"/>
    <n v="0.37"/>
    <n v="5593"/>
    <x v="51"/>
    <x v="0"/>
    <x v="5"/>
    <n v="-821.76"/>
  </r>
  <r>
    <n v="2980"/>
    <x v="1"/>
    <x v="3"/>
    <x v="4"/>
    <s v="L"/>
    <n v="4"/>
    <n v="8899.81"/>
    <n v="0"/>
    <n v="0"/>
    <x v="51"/>
    <x v="1"/>
    <x v="0"/>
    <n v="3075.35"/>
  </r>
  <r>
    <n v="2981"/>
    <x v="0"/>
    <x v="1"/>
    <x v="2"/>
    <s v="M"/>
    <n v="4"/>
    <n v="5185.5200000000004"/>
    <n v="0"/>
    <n v="0"/>
    <x v="13"/>
    <x v="1"/>
    <x v="3"/>
    <n v="2777.67"/>
  </r>
  <r>
    <n v="2982"/>
    <x v="2"/>
    <x v="2"/>
    <x v="17"/>
    <s v="L"/>
    <n v="0"/>
    <n v="0"/>
    <n v="0.54"/>
    <n v="0"/>
    <x v="357"/>
    <x v="0"/>
    <x v="5"/>
    <n v="1541.73"/>
  </r>
  <r>
    <n v="2983"/>
    <x v="1"/>
    <x v="3"/>
    <x v="16"/>
    <s v="XL"/>
    <n v="0"/>
    <n v="8203.7999999999993"/>
    <n v="0.03"/>
    <n v="0"/>
    <x v="357"/>
    <x v="1"/>
    <x v="0"/>
    <n v="2968.2"/>
  </r>
  <r>
    <n v="2984"/>
    <x v="2"/>
    <x v="1"/>
    <x v="15"/>
    <s v="XL"/>
    <n v="0"/>
    <n v="4343.12"/>
    <n v="0"/>
    <n v="0"/>
    <x v="37"/>
    <x v="0"/>
    <x v="5"/>
    <n v="3073.4"/>
  </r>
  <r>
    <n v="2986"/>
    <x v="0"/>
    <x v="4"/>
    <x v="19"/>
    <s v="M"/>
    <n v="0"/>
    <n v="6877.77"/>
    <n v="0.09"/>
    <n v="0"/>
    <x v="58"/>
    <x v="0"/>
    <x v="3"/>
    <n v="2303.27"/>
  </r>
  <r>
    <n v="2987"/>
    <x v="1"/>
    <x v="1"/>
    <x v="2"/>
    <s v="L"/>
    <n v="0"/>
    <n v="0"/>
    <n v="0"/>
    <n v="0"/>
    <x v="358"/>
    <x v="0"/>
    <x v="3"/>
    <n v="2365.6999999999998"/>
  </r>
  <r>
    <n v="2009"/>
    <x v="1"/>
    <x v="2"/>
    <x v="17"/>
    <s v="M"/>
    <n v="0"/>
    <n v="6481.4"/>
    <n v="0.84"/>
    <n v="0"/>
    <x v="179"/>
    <x v="1"/>
    <x v="0"/>
    <n v="522.92999999999995"/>
  </r>
  <r>
    <n v="2989"/>
    <x v="2"/>
    <x v="1"/>
    <x v="6"/>
    <s v="M"/>
    <n v="1"/>
    <n v="6429.61"/>
    <n v="0"/>
    <n v="0"/>
    <x v="359"/>
    <x v="0"/>
    <x v="0"/>
    <n v="2459.52"/>
  </r>
  <r>
    <n v="2990"/>
    <x v="0"/>
    <x v="4"/>
    <x v="12"/>
    <s v="XL"/>
    <n v="0"/>
    <n v="2601.9899999999998"/>
    <n v="0"/>
    <n v="0"/>
    <x v="109"/>
    <x v="1"/>
    <x v="0"/>
    <n v="570.47"/>
  </r>
  <r>
    <n v="2991"/>
    <x v="2"/>
    <x v="0"/>
    <x v="0"/>
    <s v="M"/>
    <n v="0"/>
    <n v="4004.4"/>
    <n v="1.23"/>
    <n v="0"/>
    <x v="109"/>
    <x v="1"/>
    <x v="3"/>
    <n v="3772.99"/>
  </r>
  <r>
    <n v="2992"/>
    <x v="2"/>
    <x v="1"/>
    <x v="2"/>
    <s v="L"/>
    <n v="0"/>
    <n v="0"/>
    <n v="0"/>
    <n v="0"/>
    <x v="360"/>
    <x v="0"/>
    <x v="5"/>
    <n v="2276.9899999999998"/>
  </r>
  <r>
    <n v="2993"/>
    <x v="2"/>
    <x v="1"/>
    <x v="2"/>
    <s v="M"/>
    <n v="4"/>
    <n v="0"/>
    <n v="0"/>
    <n v="0"/>
    <x v="44"/>
    <x v="1"/>
    <x v="1"/>
    <n v="1770.74"/>
  </r>
  <r>
    <n v="2994"/>
    <x v="1"/>
    <x v="2"/>
    <x v="18"/>
    <s v="M"/>
    <n v="0"/>
    <n v="2932.39"/>
    <n v="0.98"/>
    <n v="0"/>
    <x v="182"/>
    <x v="1"/>
    <x v="2"/>
    <n v="2962.69"/>
  </r>
  <r>
    <n v="2995"/>
    <x v="0"/>
    <x v="2"/>
    <x v="3"/>
    <s v="L"/>
    <n v="0"/>
    <n v="8679.9699999999993"/>
    <n v="0"/>
    <n v="0"/>
    <x v="182"/>
    <x v="0"/>
    <x v="4"/>
    <n v="-651.61"/>
  </r>
  <r>
    <n v="2996"/>
    <x v="1"/>
    <x v="4"/>
    <x v="8"/>
    <s v="M"/>
    <n v="0"/>
    <n v="0"/>
    <n v="0"/>
    <n v="0"/>
    <x v="183"/>
    <x v="0"/>
    <x v="3"/>
    <n v="3753.82"/>
  </r>
  <r>
    <n v="2043"/>
    <x v="1"/>
    <x v="2"/>
    <x v="7"/>
    <s v="L"/>
    <n v="-1"/>
    <n v="0"/>
    <n v="0"/>
    <n v="0"/>
    <x v="44"/>
    <x v="1"/>
    <x v="2"/>
    <n v="497.69"/>
  </r>
  <r>
    <n v="3000"/>
    <x v="0"/>
    <x v="3"/>
    <x v="11"/>
    <s v="M"/>
    <n v="1"/>
    <n v="0"/>
    <n v="0"/>
    <n v="0"/>
    <x v="44"/>
    <x v="1"/>
    <x v="2"/>
    <n v="-1110.6199999999999"/>
  </r>
  <r>
    <n v="3001"/>
    <x v="2"/>
    <x v="1"/>
    <x v="2"/>
    <s v="L"/>
    <n v="0"/>
    <n v="0"/>
    <n v="0"/>
    <n v="0"/>
    <x v="199"/>
    <x v="0"/>
    <x v="4"/>
    <n v="-362.26"/>
  </r>
  <r>
    <n v="3003"/>
    <x v="2"/>
    <x v="4"/>
    <x v="13"/>
    <s v="XL"/>
    <n v="2"/>
    <n v="0"/>
    <n v="0"/>
    <n v="0"/>
    <x v="361"/>
    <x v="0"/>
    <x v="0"/>
    <n v="-646.26"/>
  </r>
  <r>
    <n v="3004"/>
    <x v="2"/>
    <x v="0"/>
    <x v="14"/>
    <s v="XL"/>
    <n v="2"/>
    <n v="6897.68"/>
    <n v="0"/>
    <n v="0"/>
    <x v="361"/>
    <x v="1"/>
    <x v="3"/>
    <n v="2708.1"/>
  </r>
  <r>
    <n v="3005"/>
    <x v="1"/>
    <x v="4"/>
    <x v="13"/>
    <s v="M"/>
    <n v="0"/>
    <n v="0"/>
    <n v="0.19"/>
    <n v="0"/>
    <x v="248"/>
    <x v="0"/>
    <x v="4"/>
    <n v="3295.17"/>
  </r>
  <r>
    <n v="3006"/>
    <x v="0"/>
    <x v="2"/>
    <x v="3"/>
    <s v="M"/>
    <n v="4"/>
    <n v="0"/>
    <n v="0.89"/>
    <n v="0"/>
    <x v="248"/>
    <x v="0"/>
    <x v="3"/>
    <n v="1932.88"/>
  </r>
  <r>
    <n v="3007"/>
    <x v="1"/>
    <x v="1"/>
    <x v="1"/>
    <s v="M"/>
    <n v="1"/>
    <n v="7680.16"/>
    <n v="1.23"/>
    <n v="-1766.44"/>
    <x v="245"/>
    <x v="0"/>
    <x v="0"/>
    <n v="-1076.72"/>
  </r>
  <r>
    <n v="3009"/>
    <x v="2"/>
    <x v="2"/>
    <x v="7"/>
    <s v="L"/>
    <n v="0"/>
    <n v="0"/>
    <n v="0"/>
    <n v="0"/>
    <x v="362"/>
    <x v="0"/>
    <x v="0"/>
    <n v="3724.01"/>
  </r>
  <r>
    <n v="3011"/>
    <x v="1"/>
    <x v="3"/>
    <x v="16"/>
    <s v="M"/>
    <n v="1"/>
    <n v="0"/>
    <n v="0.5"/>
    <n v="0"/>
    <x v="362"/>
    <x v="1"/>
    <x v="1"/>
    <n v="3074.24"/>
  </r>
  <r>
    <n v="3012"/>
    <x v="2"/>
    <x v="2"/>
    <x v="3"/>
    <s v="L"/>
    <n v="2"/>
    <n v="3758.51"/>
    <n v="0"/>
    <n v="0"/>
    <x v="362"/>
    <x v="1"/>
    <x v="1"/>
    <n v="94.77"/>
  </r>
  <r>
    <n v="3013"/>
    <x v="0"/>
    <x v="4"/>
    <x v="13"/>
    <s v="XL"/>
    <n v="4"/>
    <n v="0"/>
    <n v="0.96"/>
    <n v="0"/>
    <x v="363"/>
    <x v="1"/>
    <x v="5"/>
    <n v="1039.0899999999999"/>
  </r>
  <r>
    <n v="3016"/>
    <x v="1"/>
    <x v="3"/>
    <x v="10"/>
    <s v="M"/>
    <n v="0"/>
    <n v="8931.44"/>
    <n v="0"/>
    <n v="0"/>
    <x v="84"/>
    <x v="1"/>
    <x v="0"/>
    <n v="868.59"/>
  </r>
  <r>
    <n v="3017"/>
    <x v="1"/>
    <x v="4"/>
    <x v="19"/>
    <s v="M"/>
    <n v="0"/>
    <n v="8240.15"/>
    <n v="0"/>
    <n v="0"/>
    <x v="84"/>
    <x v="1"/>
    <x v="4"/>
    <n v="3355.12"/>
  </r>
  <r>
    <n v="3018"/>
    <x v="0"/>
    <x v="1"/>
    <x v="2"/>
    <s v="M"/>
    <n v="0"/>
    <n v="0"/>
    <n v="0"/>
    <n v="0"/>
    <x v="305"/>
    <x v="1"/>
    <x v="5"/>
    <n v="3364.85"/>
  </r>
  <r>
    <n v="3019"/>
    <x v="1"/>
    <x v="3"/>
    <x v="11"/>
    <s v="XL"/>
    <n v="0"/>
    <n v="9942.61"/>
    <n v="0"/>
    <n v="0"/>
    <x v="64"/>
    <x v="1"/>
    <x v="5"/>
    <n v="1316.3"/>
  </r>
  <r>
    <n v="3020"/>
    <x v="0"/>
    <x v="2"/>
    <x v="17"/>
    <s v="L"/>
    <n v="1"/>
    <n v="6153.37"/>
    <n v="0"/>
    <n v="0"/>
    <x v="64"/>
    <x v="1"/>
    <x v="1"/>
    <n v="493.35"/>
  </r>
  <r>
    <n v="3021"/>
    <x v="1"/>
    <x v="1"/>
    <x v="6"/>
    <s v="M"/>
    <n v="4"/>
    <n v="0"/>
    <n v="0.42"/>
    <n v="0"/>
    <x v="66"/>
    <x v="1"/>
    <x v="1"/>
    <n v="3050.7"/>
  </r>
  <r>
    <n v="3022"/>
    <x v="0"/>
    <x v="0"/>
    <x v="14"/>
    <s v="L"/>
    <n v="-1"/>
    <n v="4318.4799999999996"/>
    <n v="0"/>
    <n v="0"/>
    <x v="364"/>
    <x v="0"/>
    <x v="4"/>
    <n v="271.37"/>
  </r>
  <r>
    <n v="3025"/>
    <x v="0"/>
    <x v="2"/>
    <x v="3"/>
    <s v="L"/>
    <n v="4"/>
    <n v="0"/>
    <n v="0"/>
    <n v="0"/>
    <x v="331"/>
    <x v="1"/>
    <x v="1"/>
    <n v="3005.88"/>
  </r>
  <r>
    <n v="3026"/>
    <x v="1"/>
    <x v="2"/>
    <x v="3"/>
    <s v="M"/>
    <n v="0"/>
    <n v="0"/>
    <n v="0"/>
    <n v="0"/>
    <x v="365"/>
    <x v="0"/>
    <x v="0"/>
    <n v="-127.25"/>
  </r>
  <r>
    <n v="3027"/>
    <x v="1"/>
    <x v="0"/>
    <x v="0"/>
    <s v="L"/>
    <n v="2"/>
    <n v="9593.27"/>
    <n v="0"/>
    <n v="0"/>
    <x v="366"/>
    <x v="1"/>
    <x v="4"/>
    <n v="-1038.79"/>
  </r>
  <r>
    <n v="3028"/>
    <x v="0"/>
    <x v="3"/>
    <x v="10"/>
    <s v="L"/>
    <n v="4"/>
    <n v="5837.53"/>
    <n v="0"/>
    <n v="0"/>
    <x v="62"/>
    <x v="1"/>
    <x v="5"/>
    <n v="-471.86"/>
  </r>
  <r>
    <n v="3029"/>
    <x v="0"/>
    <x v="0"/>
    <x v="14"/>
    <s v="M"/>
    <n v="0"/>
    <n v="0"/>
    <n v="0"/>
    <n v="0"/>
    <x v="62"/>
    <x v="1"/>
    <x v="0"/>
    <n v="2696.49"/>
  </r>
  <r>
    <n v="3031"/>
    <x v="0"/>
    <x v="1"/>
    <x v="2"/>
    <s v="M"/>
    <n v="4"/>
    <n v="8588.14"/>
    <n v="0"/>
    <n v="0"/>
    <x v="367"/>
    <x v="0"/>
    <x v="5"/>
    <n v="-117.68"/>
  </r>
  <r>
    <n v="3032"/>
    <x v="2"/>
    <x v="3"/>
    <x v="4"/>
    <s v="XL"/>
    <n v="0"/>
    <n v="0"/>
    <n v="0"/>
    <n v="0"/>
    <x v="6"/>
    <x v="0"/>
    <x v="2"/>
    <n v="450.75"/>
  </r>
  <r>
    <n v="3033"/>
    <x v="2"/>
    <x v="0"/>
    <x v="14"/>
    <s v="M"/>
    <n v="0"/>
    <n v="9397.68"/>
    <n v="0.74"/>
    <n v="0"/>
    <x v="237"/>
    <x v="1"/>
    <x v="1"/>
    <n v="313.58"/>
  </r>
  <r>
    <n v="3034"/>
    <x v="2"/>
    <x v="1"/>
    <x v="2"/>
    <s v="M"/>
    <n v="2"/>
    <n v="0"/>
    <n v="0.79"/>
    <n v="0"/>
    <x v="237"/>
    <x v="0"/>
    <x v="3"/>
    <n v="460.06"/>
  </r>
  <r>
    <n v="3035"/>
    <x v="0"/>
    <x v="0"/>
    <x v="5"/>
    <s v="M"/>
    <n v="4"/>
    <n v="9625.4699999999993"/>
    <n v="0"/>
    <n v="0"/>
    <x v="237"/>
    <x v="1"/>
    <x v="1"/>
    <n v="-419.24"/>
  </r>
  <r>
    <n v="3036"/>
    <x v="0"/>
    <x v="2"/>
    <x v="17"/>
    <s v="M"/>
    <n v="2"/>
    <n v="2879.09"/>
    <n v="0"/>
    <n v="0"/>
    <x v="368"/>
    <x v="1"/>
    <x v="1"/>
    <n v="1129.1099999999999"/>
  </r>
  <r>
    <n v="2033"/>
    <x v="0"/>
    <x v="2"/>
    <x v="7"/>
    <s v="M"/>
    <n v="0"/>
    <n v="0"/>
    <n v="0"/>
    <n v="0"/>
    <x v="121"/>
    <x v="0"/>
    <x v="5"/>
    <n v="-679.74"/>
  </r>
  <r>
    <n v="3038"/>
    <x v="0"/>
    <x v="2"/>
    <x v="18"/>
    <s v="M"/>
    <n v="0"/>
    <n v="4195.03"/>
    <n v="0"/>
    <n v="0"/>
    <x v="322"/>
    <x v="1"/>
    <x v="4"/>
    <n v="1068.18"/>
  </r>
  <r>
    <n v="3039"/>
    <x v="0"/>
    <x v="1"/>
    <x v="2"/>
    <s v="M"/>
    <n v="0"/>
    <n v="5366.19"/>
    <n v="0"/>
    <n v="0"/>
    <x v="369"/>
    <x v="0"/>
    <x v="3"/>
    <n v="638.29999999999995"/>
  </r>
  <r>
    <n v="3040"/>
    <x v="1"/>
    <x v="2"/>
    <x v="7"/>
    <s v="XL"/>
    <n v="0"/>
    <n v="0"/>
    <n v="0"/>
    <n v="0"/>
    <x v="370"/>
    <x v="0"/>
    <x v="1"/>
    <n v="3833.04"/>
  </r>
  <r>
    <n v="3041"/>
    <x v="0"/>
    <x v="2"/>
    <x v="7"/>
    <s v="M"/>
    <n v="0"/>
    <n v="4884.55"/>
    <n v="0"/>
    <n v="0"/>
    <x v="303"/>
    <x v="0"/>
    <x v="0"/>
    <n v="-1182.29"/>
  </r>
  <r>
    <n v="3042"/>
    <x v="2"/>
    <x v="2"/>
    <x v="18"/>
    <s v="M"/>
    <n v="1"/>
    <n v="0"/>
    <n v="0"/>
    <n v="0"/>
    <x v="303"/>
    <x v="0"/>
    <x v="4"/>
    <n v="3750.11"/>
  </r>
  <r>
    <n v="3043"/>
    <x v="2"/>
    <x v="3"/>
    <x v="4"/>
    <s v="L"/>
    <n v="2"/>
    <n v="0"/>
    <n v="0"/>
    <n v="0"/>
    <x v="18"/>
    <x v="1"/>
    <x v="4"/>
    <n v="147.79"/>
  </r>
  <r>
    <n v="3044"/>
    <x v="0"/>
    <x v="2"/>
    <x v="18"/>
    <s v="M"/>
    <n v="3"/>
    <n v="4222.2"/>
    <n v="0"/>
    <n v="0"/>
    <x v="18"/>
    <x v="1"/>
    <x v="1"/>
    <n v="931.4"/>
  </r>
  <r>
    <n v="3045"/>
    <x v="0"/>
    <x v="1"/>
    <x v="2"/>
    <s v="XL"/>
    <n v="1"/>
    <n v="2196.1999999999998"/>
    <n v="0"/>
    <n v="0"/>
    <x v="18"/>
    <x v="1"/>
    <x v="0"/>
    <n v="3809.54"/>
  </r>
  <r>
    <n v="3046"/>
    <x v="2"/>
    <x v="4"/>
    <x v="8"/>
    <s v="M"/>
    <n v="0"/>
    <n v="4597.2299999999996"/>
    <n v="0"/>
    <n v="0"/>
    <x v="234"/>
    <x v="0"/>
    <x v="0"/>
    <n v="3277.67"/>
  </r>
  <r>
    <n v="3048"/>
    <x v="1"/>
    <x v="2"/>
    <x v="7"/>
    <s v="M"/>
    <n v="1"/>
    <n v="0"/>
    <n v="0.23"/>
    <n v="0"/>
    <x v="371"/>
    <x v="1"/>
    <x v="1"/>
    <n v="517.16999999999996"/>
  </r>
  <r>
    <n v="3049"/>
    <x v="0"/>
    <x v="2"/>
    <x v="18"/>
    <s v="M"/>
    <n v="0"/>
    <n v="0"/>
    <n v="1.06"/>
    <n v="0"/>
    <x v="372"/>
    <x v="0"/>
    <x v="3"/>
    <n v="-156.44999999999999"/>
  </r>
  <r>
    <n v="3051"/>
    <x v="2"/>
    <x v="0"/>
    <x v="9"/>
    <s v="M"/>
    <n v="0"/>
    <n v="0"/>
    <n v="0"/>
    <n v="0"/>
    <x v="373"/>
    <x v="0"/>
    <x v="0"/>
    <n v="166.42"/>
  </r>
  <r>
    <n v="3052"/>
    <x v="0"/>
    <x v="3"/>
    <x v="4"/>
    <s v="M"/>
    <n v="0"/>
    <n v="9448.34"/>
    <n v="0.78"/>
    <n v="0"/>
    <x v="211"/>
    <x v="0"/>
    <x v="4"/>
    <n v="-871.1"/>
  </r>
  <r>
    <n v="3053"/>
    <x v="1"/>
    <x v="2"/>
    <x v="18"/>
    <s v="L"/>
    <n v="0"/>
    <n v="6323.09"/>
    <n v="1"/>
    <n v="0"/>
    <x v="256"/>
    <x v="1"/>
    <x v="2"/>
    <n v="1283.6199999999999"/>
  </r>
  <r>
    <n v="3054"/>
    <x v="2"/>
    <x v="1"/>
    <x v="2"/>
    <s v="M"/>
    <n v="0"/>
    <n v="6667.47"/>
    <n v="0"/>
    <n v="0"/>
    <x v="92"/>
    <x v="1"/>
    <x v="3"/>
    <n v="-402.6"/>
  </r>
  <r>
    <n v="2048"/>
    <x v="0"/>
    <x v="4"/>
    <x v="19"/>
    <s v="XL"/>
    <n v="0"/>
    <n v="5357.49"/>
    <n v="0"/>
    <n v="0"/>
    <x v="92"/>
    <x v="0"/>
    <x v="3"/>
    <n v="-548"/>
  </r>
  <r>
    <n v="3056"/>
    <x v="2"/>
    <x v="0"/>
    <x v="14"/>
    <s v="M"/>
    <n v="0"/>
    <n v="0"/>
    <n v="0"/>
    <n v="0"/>
    <x v="92"/>
    <x v="0"/>
    <x v="2"/>
    <n v="544.14"/>
  </r>
  <r>
    <n v="3058"/>
    <x v="2"/>
    <x v="1"/>
    <x v="15"/>
    <s v="M"/>
    <n v="-1"/>
    <n v="8048.66"/>
    <n v="0"/>
    <n v="0"/>
    <x v="374"/>
    <x v="1"/>
    <x v="5"/>
    <n v="3860.59"/>
  </r>
  <r>
    <n v="3059"/>
    <x v="1"/>
    <x v="3"/>
    <x v="4"/>
    <s v="L"/>
    <n v="3"/>
    <n v="0"/>
    <n v="1"/>
    <n v="0"/>
    <x v="76"/>
    <x v="0"/>
    <x v="1"/>
    <n v="3692.43"/>
  </r>
  <r>
    <n v="3060"/>
    <x v="1"/>
    <x v="3"/>
    <x v="11"/>
    <s v="L"/>
    <n v="0"/>
    <n v="0"/>
    <n v="0"/>
    <n v="0"/>
    <x v="112"/>
    <x v="1"/>
    <x v="0"/>
    <n v="-1137.29"/>
  </r>
  <r>
    <n v="3061"/>
    <x v="0"/>
    <x v="3"/>
    <x v="16"/>
    <s v="XL"/>
    <n v="0"/>
    <n v="0"/>
    <n v="0"/>
    <n v="0"/>
    <x v="112"/>
    <x v="1"/>
    <x v="2"/>
    <n v="-549.04999999999995"/>
  </r>
  <r>
    <n v="3063"/>
    <x v="0"/>
    <x v="3"/>
    <x v="10"/>
    <s v="M"/>
    <n v="2"/>
    <n v="9676.61"/>
    <n v="0"/>
    <n v="0"/>
    <x v="274"/>
    <x v="0"/>
    <x v="2"/>
    <n v="3674.74"/>
  </r>
  <r>
    <n v="3065"/>
    <x v="1"/>
    <x v="3"/>
    <x v="11"/>
    <s v="M"/>
    <n v="0"/>
    <n v="0"/>
    <n v="0"/>
    <n v="0"/>
    <x v="274"/>
    <x v="0"/>
    <x v="5"/>
    <n v="3909.92"/>
  </r>
  <r>
    <n v="3066"/>
    <x v="0"/>
    <x v="0"/>
    <x v="14"/>
    <s v="L"/>
    <n v="0"/>
    <n v="0"/>
    <n v="0"/>
    <n v="0"/>
    <x v="375"/>
    <x v="0"/>
    <x v="2"/>
    <n v="1383.01"/>
  </r>
  <r>
    <n v="3067"/>
    <x v="2"/>
    <x v="2"/>
    <x v="3"/>
    <s v="M"/>
    <n v="4"/>
    <n v="0"/>
    <n v="0"/>
    <n v="0"/>
    <x v="376"/>
    <x v="1"/>
    <x v="1"/>
    <n v="1939.56"/>
  </r>
  <r>
    <n v="3068"/>
    <x v="0"/>
    <x v="2"/>
    <x v="18"/>
    <s v="L"/>
    <n v="4"/>
    <n v="4867.07"/>
    <n v="1.21"/>
    <n v="-4088.34"/>
    <x v="205"/>
    <x v="0"/>
    <x v="4"/>
    <n v="2863.56"/>
  </r>
  <r>
    <n v="3069"/>
    <x v="2"/>
    <x v="0"/>
    <x v="9"/>
    <s v="L"/>
    <n v="1"/>
    <n v="0"/>
    <n v="1.23"/>
    <n v="0"/>
    <x v="254"/>
    <x v="0"/>
    <x v="1"/>
    <n v="-6.91"/>
  </r>
  <r>
    <n v="3070"/>
    <x v="1"/>
    <x v="3"/>
    <x v="10"/>
    <s v="M"/>
    <n v="0"/>
    <n v="6737.19"/>
    <n v="1.02"/>
    <n v="0"/>
    <x v="254"/>
    <x v="0"/>
    <x v="1"/>
    <n v="2150.16"/>
  </r>
  <r>
    <n v="3072"/>
    <x v="2"/>
    <x v="0"/>
    <x v="5"/>
    <s v="M"/>
    <n v="0"/>
    <n v="0"/>
    <n v="0"/>
    <n v="0"/>
    <x v="377"/>
    <x v="1"/>
    <x v="2"/>
    <n v="2621.5"/>
  </r>
  <r>
    <n v="3074"/>
    <x v="1"/>
    <x v="3"/>
    <x v="11"/>
    <s v="M"/>
    <n v="0"/>
    <n v="0"/>
    <n v="0"/>
    <n v="0"/>
    <x v="377"/>
    <x v="0"/>
    <x v="1"/>
    <n v="1216.3399999999999"/>
  </r>
  <r>
    <n v="3075"/>
    <x v="0"/>
    <x v="1"/>
    <x v="2"/>
    <s v="L"/>
    <n v="0"/>
    <n v="0"/>
    <n v="0.91"/>
    <n v="0"/>
    <x v="228"/>
    <x v="1"/>
    <x v="2"/>
    <n v="3594.94"/>
  </r>
  <r>
    <n v="2044"/>
    <x v="0"/>
    <x v="2"/>
    <x v="3"/>
    <s v="M"/>
    <n v="0"/>
    <n v="4032.43"/>
    <n v="0"/>
    <n v="0"/>
    <x v="228"/>
    <x v="0"/>
    <x v="1"/>
    <n v="2059.4"/>
  </r>
  <r>
    <n v="3077"/>
    <x v="2"/>
    <x v="2"/>
    <x v="17"/>
    <s v="XL"/>
    <n v="0"/>
    <n v="0"/>
    <n v="0.46"/>
    <n v="0"/>
    <x v="228"/>
    <x v="0"/>
    <x v="3"/>
    <n v="3700.77"/>
  </r>
  <r>
    <n v="3078"/>
    <x v="2"/>
    <x v="3"/>
    <x v="11"/>
    <s v="M"/>
    <n v="1"/>
    <n v="2555.1799999999998"/>
    <n v="0"/>
    <n v="0"/>
    <x v="34"/>
    <x v="0"/>
    <x v="4"/>
    <n v="1820.38"/>
  </r>
  <r>
    <n v="3079"/>
    <x v="1"/>
    <x v="3"/>
    <x v="4"/>
    <s v="L"/>
    <n v="0"/>
    <n v="0"/>
    <n v="0"/>
    <n v="0"/>
    <x v="378"/>
    <x v="1"/>
    <x v="0"/>
    <n v="2815.43"/>
  </r>
  <r>
    <n v="3080"/>
    <x v="0"/>
    <x v="3"/>
    <x v="10"/>
    <s v="L"/>
    <n v="4"/>
    <n v="3317.71"/>
    <n v="0"/>
    <n v="0"/>
    <x v="378"/>
    <x v="0"/>
    <x v="1"/>
    <n v="-198"/>
  </r>
  <r>
    <n v="3081"/>
    <x v="0"/>
    <x v="0"/>
    <x v="5"/>
    <s v="M"/>
    <n v="0"/>
    <n v="8442.39"/>
    <n v="0"/>
    <n v="0"/>
    <x v="252"/>
    <x v="1"/>
    <x v="2"/>
    <n v="3126.66"/>
  </r>
  <r>
    <n v="3082"/>
    <x v="2"/>
    <x v="0"/>
    <x v="9"/>
    <s v="L"/>
    <n v="-1"/>
    <n v="0"/>
    <n v="0"/>
    <n v="0"/>
    <x v="379"/>
    <x v="0"/>
    <x v="4"/>
    <n v="-65.959999999999994"/>
  </r>
  <r>
    <n v="3083"/>
    <x v="0"/>
    <x v="0"/>
    <x v="14"/>
    <s v="XL"/>
    <n v="0"/>
    <n v="8535.31"/>
    <n v="0"/>
    <n v="0"/>
    <x v="380"/>
    <x v="1"/>
    <x v="4"/>
    <n v="1159.57"/>
  </r>
  <r>
    <n v="3084"/>
    <x v="1"/>
    <x v="2"/>
    <x v="3"/>
    <s v="L"/>
    <n v="0"/>
    <n v="8955.52"/>
    <n v="0"/>
    <n v="0"/>
    <x v="380"/>
    <x v="1"/>
    <x v="3"/>
    <n v="491.85"/>
  </r>
  <r>
    <n v="3085"/>
    <x v="2"/>
    <x v="1"/>
    <x v="15"/>
    <s v="L"/>
    <n v="0"/>
    <n v="0"/>
    <n v="1.1599999999999999"/>
    <n v="0"/>
    <x v="380"/>
    <x v="0"/>
    <x v="4"/>
    <n v="2484.31"/>
  </r>
  <r>
    <n v="3086"/>
    <x v="0"/>
    <x v="4"/>
    <x v="12"/>
    <s v="M"/>
    <n v="-1"/>
    <n v="0"/>
    <n v="1.2"/>
    <n v="0"/>
    <x v="380"/>
    <x v="1"/>
    <x v="0"/>
    <n v="-592.41"/>
  </r>
  <r>
    <n v="3087"/>
    <x v="0"/>
    <x v="2"/>
    <x v="7"/>
    <s v="M"/>
    <n v="3"/>
    <n v="2765.77"/>
    <n v="0"/>
    <n v="0"/>
    <x v="59"/>
    <x v="1"/>
    <x v="0"/>
    <n v="2785.94"/>
  </r>
  <r>
    <n v="3088"/>
    <x v="0"/>
    <x v="0"/>
    <x v="14"/>
    <s v="XL"/>
    <n v="3"/>
    <n v="0"/>
    <n v="0"/>
    <n v="0"/>
    <x v="59"/>
    <x v="0"/>
    <x v="4"/>
    <n v="2418.7399999999998"/>
  </r>
  <r>
    <n v="3089"/>
    <x v="1"/>
    <x v="4"/>
    <x v="13"/>
    <s v="XL"/>
    <n v="0"/>
    <n v="8399.35"/>
    <n v="0"/>
    <n v="0"/>
    <x v="381"/>
    <x v="0"/>
    <x v="2"/>
    <n v="2967.22"/>
  </r>
  <r>
    <n v="3092"/>
    <x v="0"/>
    <x v="0"/>
    <x v="9"/>
    <s v="L"/>
    <n v="0"/>
    <n v="3005.37"/>
    <n v="0"/>
    <n v="0"/>
    <x v="302"/>
    <x v="1"/>
    <x v="5"/>
    <n v="-288.77"/>
  </r>
  <r>
    <n v="3093"/>
    <x v="1"/>
    <x v="1"/>
    <x v="1"/>
    <s v="M"/>
    <n v="3"/>
    <n v="0"/>
    <n v="0"/>
    <n v="0"/>
    <x v="161"/>
    <x v="1"/>
    <x v="5"/>
    <n v="28.77"/>
  </r>
  <r>
    <n v="3095"/>
    <x v="2"/>
    <x v="3"/>
    <x v="11"/>
    <s v="L"/>
    <n v="0"/>
    <n v="9297.64"/>
    <n v="0.16"/>
    <n v="0"/>
    <x v="382"/>
    <x v="1"/>
    <x v="4"/>
    <n v="36.700000000000003"/>
  </r>
  <r>
    <n v="3097"/>
    <x v="2"/>
    <x v="2"/>
    <x v="3"/>
    <s v="L"/>
    <n v="0"/>
    <n v="0"/>
    <n v="0.5"/>
    <n v="0"/>
    <x v="317"/>
    <x v="0"/>
    <x v="1"/>
    <n v="3419.32"/>
  </r>
  <r>
    <n v="3098"/>
    <x v="1"/>
    <x v="4"/>
    <x v="12"/>
    <s v="M"/>
    <n v="0"/>
    <n v="5562.46"/>
    <n v="0"/>
    <n v="0"/>
    <x v="383"/>
    <x v="1"/>
    <x v="5"/>
    <n v="1090.52"/>
  </r>
  <r>
    <n v="3099"/>
    <x v="1"/>
    <x v="2"/>
    <x v="7"/>
    <s v="L"/>
    <n v="0"/>
    <n v="8462.09"/>
    <n v="0.08"/>
    <n v="0"/>
    <x v="138"/>
    <x v="0"/>
    <x v="2"/>
    <n v="1720.4"/>
  </r>
  <r>
    <n v="3100"/>
    <x v="1"/>
    <x v="0"/>
    <x v="14"/>
    <s v="M"/>
    <n v="4"/>
    <n v="0"/>
    <n v="0.97"/>
    <n v="0"/>
    <x v="102"/>
    <x v="1"/>
    <x v="2"/>
    <n v="1861.15"/>
  </r>
  <r>
    <n v="2021"/>
    <x v="2"/>
    <x v="2"/>
    <x v="3"/>
    <s v="M"/>
    <n v="3"/>
    <n v="3723.21"/>
    <n v="0"/>
    <n v="0"/>
    <x v="372"/>
    <x v="0"/>
    <x v="0"/>
    <n v="-1133.4000000000001"/>
  </r>
  <r>
    <n v="3102"/>
    <x v="0"/>
    <x v="4"/>
    <x v="19"/>
    <s v="M"/>
    <n v="0"/>
    <n v="0"/>
    <n v="0"/>
    <n v="0"/>
    <x v="153"/>
    <x v="1"/>
    <x v="0"/>
    <n v="-1117.98"/>
  </r>
  <r>
    <n v="3104"/>
    <x v="2"/>
    <x v="3"/>
    <x v="11"/>
    <s v="L"/>
    <n v="0"/>
    <n v="7734.26"/>
    <n v="0.47"/>
    <n v="0"/>
    <x v="128"/>
    <x v="0"/>
    <x v="0"/>
    <n v="1921.82"/>
  </r>
  <r>
    <n v="3105"/>
    <x v="1"/>
    <x v="1"/>
    <x v="15"/>
    <s v="L"/>
    <n v="4"/>
    <n v="0"/>
    <n v="0.56999999999999995"/>
    <n v="0"/>
    <x v="384"/>
    <x v="0"/>
    <x v="3"/>
    <n v="3176.71"/>
  </r>
  <r>
    <n v="3107"/>
    <x v="2"/>
    <x v="3"/>
    <x v="16"/>
    <s v="M"/>
    <n v="0"/>
    <n v="9572.44"/>
    <n v="0"/>
    <n v="0"/>
    <x v="297"/>
    <x v="1"/>
    <x v="1"/>
    <n v="-694.97"/>
  </r>
  <r>
    <n v="3108"/>
    <x v="0"/>
    <x v="1"/>
    <x v="15"/>
    <s v="M"/>
    <n v="-1"/>
    <n v="0"/>
    <n v="0.38"/>
    <n v="0"/>
    <x v="110"/>
    <x v="0"/>
    <x v="2"/>
    <n v="1350.25"/>
  </r>
  <r>
    <n v="3109"/>
    <x v="2"/>
    <x v="3"/>
    <x v="4"/>
    <s v="XL"/>
    <n v="0"/>
    <n v="6323.74"/>
    <n v="0.8"/>
    <n v="0"/>
    <x v="110"/>
    <x v="1"/>
    <x v="5"/>
    <n v="492.62"/>
  </r>
  <r>
    <n v="3110"/>
    <x v="2"/>
    <x v="3"/>
    <x v="4"/>
    <s v="L"/>
    <n v="0"/>
    <n v="8431.5499999999993"/>
    <n v="0"/>
    <n v="0"/>
    <x v="44"/>
    <x v="1"/>
    <x v="2"/>
    <n v="3977.41"/>
  </r>
  <r>
    <n v="3111"/>
    <x v="1"/>
    <x v="4"/>
    <x v="8"/>
    <s v="XL"/>
    <n v="3"/>
    <n v="0"/>
    <n v="0"/>
    <n v="0"/>
    <x v="44"/>
    <x v="1"/>
    <x v="1"/>
    <n v="2732.23"/>
  </r>
  <r>
    <n v="3112"/>
    <x v="2"/>
    <x v="4"/>
    <x v="12"/>
    <s v="L"/>
    <n v="1"/>
    <n v="0"/>
    <n v="0.49"/>
    <n v="0"/>
    <x v="44"/>
    <x v="1"/>
    <x v="4"/>
    <n v="-532.65"/>
  </r>
  <r>
    <n v="3113"/>
    <x v="1"/>
    <x v="1"/>
    <x v="1"/>
    <s v="M"/>
    <n v="0"/>
    <n v="0"/>
    <n v="0"/>
    <n v="0"/>
    <x v="44"/>
    <x v="0"/>
    <x v="0"/>
    <n v="1328.68"/>
  </r>
  <r>
    <n v="3114"/>
    <x v="1"/>
    <x v="3"/>
    <x v="4"/>
    <s v="L"/>
    <n v="1"/>
    <n v="7627.37"/>
    <n v="0"/>
    <n v="0"/>
    <x v="385"/>
    <x v="1"/>
    <x v="0"/>
    <n v="2752.18"/>
  </r>
  <r>
    <n v="3115"/>
    <x v="2"/>
    <x v="3"/>
    <x v="4"/>
    <s v="M"/>
    <n v="4"/>
    <n v="0"/>
    <n v="0"/>
    <n v="0"/>
    <x v="385"/>
    <x v="1"/>
    <x v="4"/>
    <n v="693.29"/>
  </r>
  <r>
    <n v="3116"/>
    <x v="0"/>
    <x v="4"/>
    <x v="13"/>
    <s v="M"/>
    <n v="3"/>
    <n v="0"/>
    <n v="0.06"/>
    <n v="0"/>
    <x v="237"/>
    <x v="1"/>
    <x v="5"/>
    <n v="-236.15"/>
  </r>
  <r>
    <n v="3117"/>
    <x v="2"/>
    <x v="4"/>
    <x v="8"/>
    <s v="M"/>
    <n v="0"/>
    <n v="6435.2"/>
    <n v="0"/>
    <n v="0"/>
    <x v="173"/>
    <x v="1"/>
    <x v="4"/>
    <n v="-1181.06"/>
  </r>
  <r>
    <n v="3118"/>
    <x v="0"/>
    <x v="2"/>
    <x v="18"/>
    <s v="M"/>
    <n v="0"/>
    <n v="0"/>
    <n v="0"/>
    <n v="0"/>
    <x v="173"/>
    <x v="0"/>
    <x v="0"/>
    <n v="2058.9899999999998"/>
  </r>
  <r>
    <n v="3120"/>
    <x v="0"/>
    <x v="4"/>
    <x v="12"/>
    <s v="XL"/>
    <n v="0"/>
    <n v="8869.93"/>
    <n v="0"/>
    <n v="0"/>
    <x v="173"/>
    <x v="1"/>
    <x v="0"/>
    <n v="551.46"/>
  </r>
  <r>
    <n v="3121"/>
    <x v="0"/>
    <x v="0"/>
    <x v="5"/>
    <s v="M"/>
    <n v="0"/>
    <n v="2514"/>
    <n v="0.69"/>
    <n v="0"/>
    <x v="87"/>
    <x v="0"/>
    <x v="5"/>
    <n v="1345.4"/>
  </r>
  <r>
    <n v="3122"/>
    <x v="1"/>
    <x v="4"/>
    <x v="8"/>
    <s v="M"/>
    <n v="1"/>
    <n v="5835.6"/>
    <n v="1.04"/>
    <n v="-233.42"/>
    <x v="87"/>
    <x v="0"/>
    <x v="5"/>
    <n v="-1197.5999999999999"/>
  </r>
  <r>
    <n v="3123"/>
    <x v="0"/>
    <x v="3"/>
    <x v="11"/>
    <s v="L"/>
    <n v="0"/>
    <n v="9804.7800000000007"/>
    <n v="0"/>
    <n v="0"/>
    <x v="234"/>
    <x v="0"/>
    <x v="3"/>
    <n v="-965.5"/>
  </r>
  <r>
    <n v="3125"/>
    <x v="0"/>
    <x v="1"/>
    <x v="15"/>
    <s v="XL"/>
    <n v="2"/>
    <n v="0"/>
    <n v="0.7"/>
    <n v="0"/>
    <x v="78"/>
    <x v="0"/>
    <x v="0"/>
    <n v="1561.59"/>
  </r>
  <r>
    <n v="3127"/>
    <x v="2"/>
    <x v="0"/>
    <x v="14"/>
    <s v="XL"/>
    <n v="1"/>
    <n v="4614.33"/>
    <n v="0.47"/>
    <n v="2445.59"/>
    <x v="318"/>
    <x v="0"/>
    <x v="3"/>
    <n v="-440.44"/>
  </r>
  <r>
    <n v="3128"/>
    <x v="2"/>
    <x v="3"/>
    <x v="10"/>
    <s v="M"/>
    <n v="0"/>
    <n v="0"/>
    <n v="0"/>
    <n v="0"/>
    <x v="318"/>
    <x v="1"/>
    <x v="5"/>
    <n v="2219.8200000000002"/>
  </r>
  <r>
    <n v="3129"/>
    <x v="0"/>
    <x v="4"/>
    <x v="12"/>
    <s v="XL"/>
    <n v="0"/>
    <n v="5732.66"/>
    <n v="0"/>
    <n v="0"/>
    <x v="139"/>
    <x v="1"/>
    <x v="4"/>
    <n v="3187.59"/>
  </r>
  <r>
    <n v="3130"/>
    <x v="2"/>
    <x v="4"/>
    <x v="8"/>
    <s v="XL"/>
    <n v="0"/>
    <n v="3015.02"/>
    <n v="0"/>
    <n v="0"/>
    <x v="386"/>
    <x v="0"/>
    <x v="3"/>
    <n v="2868.91"/>
  </r>
  <r>
    <n v="3131"/>
    <x v="0"/>
    <x v="0"/>
    <x v="0"/>
    <s v="M"/>
    <n v="0"/>
    <n v="5171.4399999999996"/>
    <n v="0.33"/>
    <n v="0"/>
    <x v="82"/>
    <x v="0"/>
    <x v="3"/>
    <n v="634.64"/>
  </r>
  <r>
    <n v="3133"/>
    <x v="0"/>
    <x v="1"/>
    <x v="6"/>
    <s v="L"/>
    <n v="0"/>
    <n v="0"/>
    <n v="0.77"/>
    <n v="0"/>
    <x v="387"/>
    <x v="1"/>
    <x v="4"/>
    <n v="88.55"/>
  </r>
  <r>
    <n v="3134"/>
    <x v="2"/>
    <x v="4"/>
    <x v="8"/>
    <s v="L"/>
    <n v="0"/>
    <n v="0"/>
    <n v="0.19"/>
    <n v="0"/>
    <x v="364"/>
    <x v="1"/>
    <x v="4"/>
    <n v="31.3"/>
  </r>
  <r>
    <n v="3135"/>
    <x v="1"/>
    <x v="1"/>
    <x v="6"/>
    <s v="XL"/>
    <n v="3"/>
    <n v="4009.47"/>
    <n v="1.21"/>
    <n v="-2525.9699999999998"/>
    <x v="285"/>
    <x v="0"/>
    <x v="3"/>
    <n v="2434.87"/>
  </r>
  <r>
    <n v="3138"/>
    <x v="0"/>
    <x v="2"/>
    <x v="3"/>
    <s v="L"/>
    <n v="0"/>
    <n v="3911.84"/>
    <n v="0.42"/>
    <n v="0"/>
    <x v="99"/>
    <x v="0"/>
    <x v="1"/>
    <n v="3601.48"/>
  </r>
  <r>
    <n v="3139"/>
    <x v="0"/>
    <x v="2"/>
    <x v="3"/>
    <s v="XL"/>
    <n v="0"/>
    <n v="9682.4599999999991"/>
    <n v="0"/>
    <n v="0"/>
    <x v="99"/>
    <x v="0"/>
    <x v="0"/>
    <n v="3095.64"/>
  </r>
  <r>
    <n v="3140"/>
    <x v="1"/>
    <x v="2"/>
    <x v="3"/>
    <s v="L"/>
    <n v="0"/>
    <n v="0"/>
    <n v="1.03"/>
    <n v="0"/>
    <x v="388"/>
    <x v="1"/>
    <x v="0"/>
    <n v="3855.21"/>
  </r>
  <r>
    <n v="3141"/>
    <x v="1"/>
    <x v="0"/>
    <x v="14"/>
    <s v="M"/>
    <n v="-1"/>
    <n v="0"/>
    <n v="0"/>
    <n v="0"/>
    <x v="388"/>
    <x v="1"/>
    <x v="5"/>
    <n v="-734.72"/>
  </r>
  <r>
    <n v="3142"/>
    <x v="0"/>
    <x v="1"/>
    <x v="15"/>
    <s v="XL"/>
    <n v="0"/>
    <n v="0"/>
    <n v="0"/>
    <n v="0"/>
    <x v="190"/>
    <x v="0"/>
    <x v="4"/>
    <n v="2520.02"/>
  </r>
  <r>
    <n v="3143"/>
    <x v="2"/>
    <x v="0"/>
    <x v="5"/>
    <s v="M"/>
    <n v="3"/>
    <n v="3938.59"/>
    <n v="0.98"/>
    <n v="236.32"/>
    <x v="389"/>
    <x v="0"/>
    <x v="2"/>
    <n v="635.39"/>
  </r>
  <r>
    <n v="3144"/>
    <x v="1"/>
    <x v="3"/>
    <x v="11"/>
    <s v="M"/>
    <n v="0"/>
    <n v="8613.08"/>
    <n v="0"/>
    <n v="0"/>
    <x v="390"/>
    <x v="1"/>
    <x v="1"/>
    <n v="-1049.73"/>
  </r>
  <r>
    <n v="3145"/>
    <x v="1"/>
    <x v="4"/>
    <x v="8"/>
    <s v="M"/>
    <n v="0"/>
    <n v="3427.03"/>
    <n v="0.37"/>
    <n v="0"/>
    <x v="391"/>
    <x v="1"/>
    <x v="3"/>
    <n v="2527.96"/>
  </r>
  <r>
    <n v="3146"/>
    <x v="1"/>
    <x v="1"/>
    <x v="2"/>
    <s v="XL"/>
    <n v="1"/>
    <n v="0"/>
    <n v="0"/>
    <n v="0"/>
    <x v="150"/>
    <x v="1"/>
    <x v="1"/>
    <n v="1087.27"/>
  </r>
  <r>
    <n v="3147"/>
    <x v="0"/>
    <x v="0"/>
    <x v="0"/>
    <s v="M"/>
    <n v="0"/>
    <n v="2579.36"/>
    <n v="0"/>
    <n v="0"/>
    <x v="312"/>
    <x v="0"/>
    <x v="2"/>
    <n v="939.38"/>
  </r>
  <r>
    <n v="3148"/>
    <x v="0"/>
    <x v="1"/>
    <x v="1"/>
    <s v="M"/>
    <n v="3"/>
    <n v="0"/>
    <n v="0"/>
    <n v="0"/>
    <x v="312"/>
    <x v="1"/>
    <x v="0"/>
    <n v="1125.29"/>
  </r>
  <r>
    <n v="3149"/>
    <x v="0"/>
    <x v="1"/>
    <x v="2"/>
    <s v="L"/>
    <n v="0"/>
    <n v="0"/>
    <n v="0"/>
    <n v="0"/>
    <x v="312"/>
    <x v="1"/>
    <x v="5"/>
    <n v="3435.01"/>
  </r>
  <r>
    <n v="3151"/>
    <x v="2"/>
    <x v="2"/>
    <x v="18"/>
    <s v="L"/>
    <n v="0"/>
    <n v="0"/>
    <n v="0"/>
    <n v="0"/>
    <x v="132"/>
    <x v="0"/>
    <x v="5"/>
    <n v="2968.24"/>
  </r>
  <r>
    <n v="3154"/>
    <x v="0"/>
    <x v="3"/>
    <x v="11"/>
    <s v="L"/>
    <n v="2"/>
    <n v="0"/>
    <n v="0.95"/>
    <n v="0"/>
    <x v="270"/>
    <x v="0"/>
    <x v="4"/>
    <n v="-1100.45"/>
  </r>
  <r>
    <n v="3155"/>
    <x v="1"/>
    <x v="2"/>
    <x v="7"/>
    <s v="L"/>
    <n v="0"/>
    <n v="0"/>
    <n v="0"/>
    <n v="0"/>
    <x v="270"/>
    <x v="1"/>
    <x v="0"/>
    <n v="2013.96"/>
  </r>
  <r>
    <n v="3156"/>
    <x v="1"/>
    <x v="1"/>
    <x v="15"/>
    <s v="XL"/>
    <n v="0"/>
    <n v="6700.68"/>
    <n v="0"/>
    <n v="0"/>
    <x v="392"/>
    <x v="1"/>
    <x v="2"/>
    <n v="611.80999999999995"/>
  </r>
  <r>
    <n v="3157"/>
    <x v="0"/>
    <x v="3"/>
    <x v="16"/>
    <s v="M"/>
    <n v="0"/>
    <n v="2991.75"/>
    <n v="1.21"/>
    <n v="0"/>
    <x v="392"/>
    <x v="0"/>
    <x v="0"/>
    <n v="-92.45"/>
  </r>
  <r>
    <n v="3158"/>
    <x v="0"/>
    <x v="2"/>
    <x v="18"/>
    <s v="M"/>
    <n v="2"/>
    <n v="0"/>
    <n v="0"/>
    <n v="0"/>
    <x v="392"/>
    <x v="0"/>
    <x v="3"/>
    <n v="324.37"/>
  </r>
  <r>
    <n v="3159"/>
    <x v="1"/>
    <x v="3"/>
    <x v="10"/>
    <s v="M"/>
    <n v="-1"/>
    <n v="0"/>
    <n v="0"/>
    <n v="0"/>
    <x v="268"/>
    <x v="1"/>
    <x v="3"/>
    <n v="2494.21"/>
  </r>
  <r>
    <n v="3160"/>
    <x v="1"/>
    <x v="4"/>
    <x v="8"/>
    <s v="M"/>
    <n v="0"/>
    <n v="0"/>
    <n v="0"/>
    <n v="0"/>
    <x v="291"/>
    <x v="1"/>
    <x v="4"/>
    <n v="888.87"/>
  </r>
  <r>
    <n v="3162"/>
    <x v="2"/>
    <x v="1"/>
    <x v="1"/>
    <s v="XL"/>
    <n v="2"/>
    <n v="0"/>
    <n v="0"/>
    <n v="0"/>
    <x v="393"/>
    <x v="0"/>
    <x v="3"/>
    <n v="1686.78"/>
  </r>
  <r>
    <n v="3165"/>
    <x v="1"/>
    <x v="1"/>
    <x v="15"/>
    <s v="XL"/>
    <n v="2"/>
    <n v="2530.29"/>
    <n v="0.28999999999999998"/>
    <n v="3593.01"/>
    <x v="180"/>
    <x v="0"/>
    <x v="5"/>
    <n v="3264.03"/>
  </r>
  <r>
    <n v="3167"/>
    <x v="1"/>
    <x v="4"/>
    <x v="13"/>
    <s v="M"/>
    <n v="0"/>
    <n v="3212.74"/>
    <n v="0"/>
    <n v="0"/>
    <x v="180"/>
    <x v="0"/>
    <x v="1"/>
    <n v="3517.65"/>
  </r>
  <r>
    <n v="3168"/>
    <x v="1"/>
    <x v="2"/>
    <x v="18"/>
    <s v="M"/>
    <n v="2"/>
    <n v="6125.15"/>
    <n v="0"/>
    <n v="0"/>
    <x v="394"/>
    <x v="1"/>
    <x v="4"/>
    <n v="61.83"/>
  </r>
  <r>
    <n v="3169"/>
    <x v="2"/>
    <x v="2"/>
    <x v="3"/>
    <s v="M"/>
    <n v="0"/>
    <n v="0"/>
    <n v="1.1499999999999999"/>
    <n v="0"/>
    <x v="73"/>
    <x v="1"/>
    <x v="4"/>
    <n v="-744.54"/>
  </r>
  <r>
    <n v="3170"/>
    <x v="2"/>
    <x v="0"/>
    <x v="5"/>
    <s v="L"/>
    <n v="0"/>
    <n v="0"/>
    <n v="0"/>
    <n v="0"/>
    <x v="395"/>
    <x v="0"/>
    <x v="3"/>
    <n v="-367.73"/>
  </r>
  <r>
    <n v="3172"/>
    <x v="2"/>
    <x v="0"/>
    <x v="9"/>
    <s v="M"/>
    <n v="-1"/>
    <n v="0"/>
    <n v="0.39"/>
    <n v="0"/>
    <x v="396"/>
    <x v="1"/>
    <x v="3"/>
    <n v="1877.19"/>
  </r>
  <r>
    <n v="3173"/>
    <x v="1"/>
    <x v="1"/>
    <x v="2"/>
    <s v="XL"/>
    <n v="0"/>
    <n v="0"/>
    <n v="0"/>
    <n v="0"/>
    <x v="188"/>
    <x v="1"/>
    <x v="3"/>
    <n v="1560.81"/>
  </r>
  <r>
    <n v="3175"/>
    <x v="1"/>
    <x v="2"/>
    <x v="17"/>
    <s v="M"/>
    <n v="-1"/>
    <n v="6583.76"/>
    <n v="0.71"/>
    <n v="-1909.29"/>
    <x v="157"/>
    <x v="1"/>
    <x v="2"/>
    <n v="2194.69"/>
  </r>
  <r>
    <n v="3177"/>
    <x v="0"/>
    <x v="2"/>
    <x v="18"/>
    <s v="L"/>
    <n v="3"/>
    <n v="7042.12"/>
    <n v="0.89"/>
    <n v="2323.9"/>
    <x v="157"/>
    <x v="0"/>
    <x v="2"/>
    <n v="-411.55"/>
  </r>
  <r>
    <n v="3178"/>
    <x v="1"/>
    <x v="0"/>
    <x v="0"/>
    <s v="M"/>
    <n v="0"/>
    <n v="0"/>
    <n v="0"/>
    <n v="0"/>
    <x v="397"/>
    <x v="1"/>
    <x v="4"/>
    <n v="-271.02999999999997"/>
  </r>
  <r>
    <n v="3180"/>
    <x v="2"/>
    <x v="4"/>
    <x v="13"/>
    <s v="XL"/>
    <n v="0"/>
    <n v="0"/>
    <n v="0.65"/>
    <n v="0"/>
    <x v="22"/>
    <x v="0"/>
    <x v="3"/>
    <n v="1603.13"/>
  </r>
  <r>
    <n v="3181"/>
    <x v="1"/>
    <x v="3"/>
    <x v="10"/>
    <s v="XL"/>
    <n v="1"/>
    <n v="0"/>
    <n v="0"/>
    <n v="0"/>
    <x v="22"/>
    <x v="1"/>
    <x v="4"/>
    <n v="2808"/>
  </r>
  <r>
    <n v="3182"/>
    <x v="2"/>
    <x v="1"/>
    <x v="2"/>
    <s v="L"/>
    <n v="0"/>
    <n v="0"/>
    <n v="0"/>
    <n v="0"/>
    <x v="22"/>
    <x v="1"/>
    <x v="2"/>
    <n v="42.14"/>
  </r>
  <r>
    <n v="3183"/>
    <x v="0"/>
    <x v="1"/>
    <x v="15"/>
    <s v="XL"/>
    <n v="2"/>
    <n v="8074.82"/>
    <n v="0"/>
    <n v="0"/>
    <x v="22"/>
    <x v="1"/>
    <x v="2"/>
    <n v="2968.78"/>
  </r>
  <r>
    <n v="3184"/>
    <x v="2"/>
    <x v="0"/>
    <x v="14"/>
    <s v="M"/>
    <n v="0"/>
    <n v="0"/>
    <n v="0.42"/>
    <n v="0"/>
    <x v="368"/>
    <x v="0"/>
    <x v="2"/>
    <n v="-760.63"/>
  </r>
  <r>
    <n v="3188"/>
    <x v="0"/>
    <x v="2"/>
    <x v="18"/>
    <s v="L"/>
    <n v="0"/>
    <n v="8024.17"/>
    <n v="0.6"/>
    <n v="0"/>
    <x v="128"/>
    <x v="1"/>
    <x v="3"/>
    <n v="2328.33"/>
  </r>
  <r>
    <n v="3189"/>
    <x v="2"/>
    <x v="4"/>
    <x v="19"/>
    <s v="L"/>
    <n v="3"/>
    <n v="6730.48"/>
    <n v="0.33"/>
    <n v="13528.26"/>
    <x v="398"/>
    <x v="0"/>
    <x v="5"/>
    <n v="1456.87"/>
  </r>
  <r>
    <n v="3190"/>
    <x v="1"/>
    <x v="1"/>
    <x v="15"/>
    <s v="M"/>
    <n v="0"/>
    <n v="0"/>
    <n v="0"/>
    <n v="0"/>
    <x v="398"/>
    <x v="0"/>
    <x v="5"/>
    <n v="457.93"/>
  </r>
  <r>
    <n v="3191"/>
    <x v="0"/>
    <x v="1"/>
    <x v="6"/>
    <s v="L"/>
    <n v="4"/>
    <n v="0"/>
    <n v="0"/>
    <n v="0"/>
    <x v="155"/>
    <x v="1"/>
    <x v="3"/>
    <n v="2709.18"/>
  </r>
  <r>
    <n v="3192"/>
    <x v="0"/>
    <x v="3"/>
    <x v="11"/>
    <s v="M"/>
    <n v="1"/>
    <n v="0"/>
    <n v="0"/>
    <n v="0"/>
    <x v="399"/>
    <x v="0"/>
    <x v="3"/>
    <n v="2055.67"/>
  </r>
  <r>
    <n v="3193"/>
    <x v="0"/>
    <x v="3"/>
    <x v="16"/>
    <s v="M"/>
    <n v="0"/>
    <n v="8581.98"/>
    <n v="0"/>
    <n v="0"/>
    <x v="181"/>
    <x v="1"/>
    <x v="3"/>
    <n v="3969.18"/>
  </r>
  <r>
    <n v="3194"/>
    <x v="0"/>
    <x v="0"/>
    <x v="0"/>
    <s v="M"/>
    <n v="-1"/>
    <n v="0"/>
    <n v="0"/>
    <n v="0"/>
    <x v="400"/>
    <x v="0"/>
    <x v="1"/>
    <n v="896.94"/>
  </r>
  <r>
    <n v="3196"/>
    <x v="1"/>
    <x v="0"/>
    <x v="14"/>
    <s v="M"/>
    <n v="1"/>
    <n v="0"/>
    <n v="0"/>
    <n v="0"/>
    <x v="400"/>
    <x v="1"/>
    <x v="5"/>
    <n v="425.5"/>
  </r>
  <r>
    <n v="3197"/>
    <x v="2"/>
    <x v="0"/>
    <x v="9"/>
    <s v="M"/>
    <n v="-1"/>
    <n v="0"/>
    <n v="0"/>
    <n v="0"/>
    <x v="400"/>
    <x v="0"/>
    <x v="4"/>
    <n v="751.76"/>
  </r>
  <r>
    <n v="3198"/>
    <x v="1"/>
    <x v="3"/>
    <x v="10"/>
    <s v="XL"/>
    <n v="0"/>
    <n v="0"/>
    <n v="0"/>
    <n v="0"/>
    <x v="400"/>
    <x v="0"/>
    <x v="4"/>
    <n v="2009.69"/>
  </r>
  <r>
    <n v="3200"/>
    <x v="2"/>
    <x v="1"/>
    <x v="2"/>
    <s v="L"/>
    <n v="0"/>
    <n v="6308.83"/>
    <n v="0"/>
    <n v="0"/>
    <x v="400"/>
    <x v="1"/>
    <x v="3"/>
    <n v="-582.02"/>
  </r>
  <r>
    <n v="3201"/>
    <x v="1"/>
    <x v="0"/>
    <x v="5"/>
    <s v="L"/>
    <n v="0"/>
    <n v="9608.99"/>
    <n v="0"/>
    <n v="0"/>
    <x v="400"/>
    <x v="1"/>
    <x v="2"/>
    <n v="2866.39"/>
  </r>
  <r>
    <n v="3202"/>
    <x v="0"/>
    <x v="3"/>
    <x v="16"/>
    <s v="M"/>
    <n v="0"/>
    <n v="8926.14"/>
    <n v="0"/>
    <n v="0"/>
    <x v="400"/>
    <x v="0"/>
    <x v="0"/>
    <n v="1565.51"/>
  </r>
  <r>
    <n v="3203"/>
    <x v="1"/>
    <x v="0"/>
    <x v="0"/>
    <s v="M"/>
    <n v="0"/>
    <n v="0"/>
    <n v="1.17"/>
    <n v="0"/>
    <x v="401"/>
    <x v="1"/>
    <x v="3"/>
    <n v="2854.21"/>
  </r>
  <r>
    <n v="2002"/>
    <x v="1"/>
    <x v="2"/>
    <x v="17"/>
    <s v="M"/>
    <n v="0"/>
    <n v="0"/>
    <n v="0.24"/>
    <n v="0"/>
    <x v="281"/>
    <x v="0"/>
    <x v="4"/>
    <n v="912.61"/>
  </r>
  <r>
    <n v="3206"/>
    <x v="0"/>
    <x v="4"/>
    <x v="12"/>
    <s v="L"/>
    <n v="-1"/>
    <n v="4694.72"/>
    <n v="0.57999999999999996"/>
    <n v="-1971.78"/>
    <x v="253"/>
    <x v="1"/>
    <x v="0"/>
    <n v="3611.24"/>
  </r>
  <r>
    <n v="3209"/>
    <x v="1"/>
    <x v="0"/>
    <x v="5"/>
    <s v="M"/>
    <n v="0"/>
    <n v="0"/>
    <n v="0.17"/>
    <n v="0"/>
    <x v="224"/>
    <x v="1"/>
    <x v="0"/>
    <n v="1986.27"/>
  </r>
  <r>
    <n v="3210"/>
    <x v="1"/>
    <x v="0"/>
    <x v="0"/>
    <s v="M"/>
    <n v="4"/>
    <n v="6344.63"/>
    <n v="0"/>
    <n v="0"/>
    <x v="224"/>
    <x v="0"/>
    <x v="2"/>
    <n v="160.72999999999999"/>
  </r>
  <r>
    <n v="3211"/>
    <x v="1"/>
    <x v="2"/>
    <x v="3"/>
    <s v="L"/>
    <n v="0"/>
    <n v="8346.17"/>
    <n v="0.82"/>
    <n v="0"/>
    <x v="276"/>
    <x v="1"/>
    <x v="5"/>
    <n v="1368.59"/>
  </r>
  <r>
    <n v="3212"/>
    <x v="0"/>
    <x v="1"/>
    <x v="6"/>
    <s v="M"/>
    <n v="4"/>
    <n v="7670.57"/>
    <n v="0"/>
    <n v="0"/>
    <x v="333"/>
    <x v="1"/>
    <x v="5"/>
    <n v="2025.11"/>
  </r>
  <r>
    <n v="3213"/>
    <x v="2"/>
    <x v="3"/>
    <x v="10"/>
    <s v="XL"/>
    <n v="0"/>
    <n v="0"/>
    <n v="0"/>
    <n v="0"/>
    <x v="14"/>
    <x v="0"/>
    <x v="5"/>
    <n v="3221.7"/>
  </r>
  <r>
    <n v="3214"/>
    <x v="0"/>
    <x v="2"/>
    <x v="17"/>
    <s v="XL"/>
    <n v="0"/>
    <n v="0"/>
    <n v="0"/>
    <n v="0"/>
    <x v="402"/>
    <x v="0"/>
    <x v="5"/>
    <n v="-857.15"/>
  </r>
  <r>
    <n v="3215"/>
    <x v="2"/>
    <x v="1"/>
    <x v="15"/>
    <s v="XL"/>
    <n v="0"/>
    <n v="0"/>
    <n v="0"/>
    <n v="0"/>
    <x v="403"/>
    <x v="0"/>
    <x v="5"/>
    <n v="2109.6799999999998"/>
  </r>
  <r>
    <n v="3216"/>
    <x v="2"/>
    <x v="4"/>
    <x v="8"/>
    <s v="XL"/>
    <n v="0"/>
    <n v="0"/>
    <n v="0"/>
    <n v="0"/>
    <x v="404"/>
    <x v="0"/>
    <x v="2"/>
    <n v="2508.13"/>
  </r>
  <r>
    <n v="3217"/>
    <x v="2"/>
    <x v="1"/>
    <x v="1"/>
    <s v="M"/>
    <n v="1"/>
    <n v="4819.75"/>
    <n v="0.22"/>
    <n v="3759.41"/>
    <x v="80"/>
    <x v="1"/>
    <x v="3"/>
    <n v="-514.9"/>
  </r>
  <r>
    <n v="3218"/>
    <x v="2"/>
    <x v="3"/>
    <x v="10"/>
    <s v="M"/>
    <n v="0"/>
    <n v="4854.18"/>
    <n v="0"/>
    <n v="0"/>
    <x v="405"/>
    <x v="1"/>
    <x v="5"/>
    <n v="3807.88"/>
  </r>
  <r>
    <n v="3219"/>
    <x v="1"/>
    <x v="4"/>
    <x v="8"/>
    <s v="XL"/>
    <n v="0"/>
    <n v="2277.83"/>
    <n v="1.04"/>
    <n v="0"/>
    <x v="8"/>
    <x v="0"/>
    <x v="4"/>
    <n v="1151.76"/>
  </r>
  <r>
    <n v="3220"/>
    <x v="1"/>
    <x v="2"/>
    <x v="17"/>
    <s v="M"/>
    <n v="0"/>
    <n v="0"/>
    <n v="0"/>
    <n v="0"/>
    <x v="382"/>
    <x v="0"/>
    <x v="0"/>
    <n v="2731.04"/>
  </r>
  <r>
    <n v="3222"/>
    <x v="0"/>
    <x v="4"/>
    <x v="8"/>
    <s v="XL"/>
    <n v="-1"/>
    <n v="5300.32"/>
    <n v="0"/>
    <n v="0"/>
    <x v="29"/>
    <x v="0"/>
    <x v="0"/>
    <n v="2593.48"/>
  </r>
  <r>
    <n v="3223"/>
    <x v="2"/>
    <x v="1"/>
    <x v="6"/>
    <s v="M"/>
    <n v="0"/>
    <n v="0"/>
    <n v="0"/>
    <n v="0"/>
    <x v="29"/>
    <x v="0"/>
    <x v="4"/>
    <n v="3088.54"/>
  </r>
  <r>
    <n v="3225"/>
    <x v="0"/>
    <x v="4"/>
    <x v="12"/>
    <s v="L"/>
    <n v="0"/>
    <n v="7364.6"/>
    <n v="0"/>
    <n v="0"/>
    <x v="406"/>
    <x v="1"/>
    <x v="5"/>
    <n v="-458.05"/>
  </r>
  <r>
    <n v="3227"/>
    <x v="1"/>
    <x v="0"/>
    <x v="14"/>
    <s v="M"/>
    <n v="1"/>
    <n v="0"/>
    <n v="0.2"/>
    <n v="0"/>
    <x v="406"/>
    <x v="0"/>
    <x v="4"/>
    <n v="-604.23"/>
  </r>
  <r>
    <n v="3228"/>
    <x v="0"/>
    <x v="4"/>
    <x v="19"/>
    <s v="XL"/>
    <n v="0"/>
    <n v="6745.63"/>
    <n v="0"/>
    <n v="0"/>
    <x v="23"/>
    <x v="1"/>
    <x v="0"/>
    <n v="3620.9"/>
  </r>
  <r>
    <n v="3230"/>
    <x v="2"/>
    <x v="1"/>
    <x v="15"/>
    <s v="XL"/>
    <n v="0"/>
    <n v="7398.98"/>
    <n v="0.87"/>
    <n v="0"/>
    <x v="23"/>
    <x v="1"/>
    <x v="4"/>
    <n v="3634.75"/>
  </r>
  <r>
    <n v="3231"/>
    <x v="2"/>
    <x v="2"/>
    <x v="17"/>
    <s v="L"/>
    <n v="0"/>
    <n v="6406.53"/>
    <n v="0.9"/>
    <n v="0"/>
    <x v="92"/>
    <x v="0"/>
    <x v="5"/>
    <n v="2859.55"/>
  </r>
  <r>
    <n v="3233"/>
    <x v="2"/>
    <x v="1"/>
    <x v="15"/>
    <s v="M"/>
    <n v="1"/>
    <n v="4091.68"/>
    <n v="0"/>
    <n v="0"/>
    <x v="49"/>
    <x v="1"/>
    <x v="1"/>
    <n v="571.79999999999995"/>
  </r>
  <r>
    <n v="3234"/>
    <x v="0"/>
    <x v="1"/>
    <x v="15"/>
    <s v="XL"/>
    <n v="0"/>
    <n v="0"/>
    <n v="0"/>
    <n v="0"/>
    <x v="364"/>
    <x v="0"/>
    <x v="4"/>
    <n v="327.76"/>
  </r>
  <r>
    <n v="3237"/>
    <x v="0"/>
    <x v="4"/>
    <x v="19"/>
    <s v="L"/>
    <n v="3"/>
    <n v="5596.52"/>
    <n v="0"/>
    <n v="0"/>
    <x v="407"/>
    <x v="1"/>
    <x v="2"/>
    <n v="2926.28"/>
  </r>
  <r>
    <n v="3238"/>
    <x v="1"/>
    <x v="0"/>
    <x v="0"/>
    <s v="XL"/>
    <n v="1"/>
    <n v="4420.21"/>
    <n v="0.32"/>
    <n v="3005.74"/>
    <x v="407"/>
    <x v="1"/>
    <x v="2"/>
    <n v="705.58"/>
  </r>
  <r>
    <n v="3239"/>
    <x v="2"/>
    <x v="3"/>
    <x v="16"/>
    <s v="XL"/>
    <n v="-1"/>
    <n v="0"/>
    <n v="0"/>
    <n v="0"/>
    <x v="407"/>
    <x v="1"/>
    <x v="2"/>
    <n v="1810.07"/>
  </r>
  <r>
    <n v="3240"/>
    <x v="0"/>
    <x v="4"/>
    <x v="13"/>
    <s v="M"/>
    <n v="-1"/>
    <n v="8776.59"/>
    <n v="0"/>
    <n v="0"/>
    <x v="408"/>
    <x v="1"/>
    <x v="1"/>
    <n v="-1020.05"/>
  </r>
  <r>
    <n v="3241"/>
    <x v="1"/>
    <x v="4"/>
    <x v="19"/>
    <s v="XL"/>
    <n v="0"/>
    <n v="7477.49"/>
    <n v="0"/>
    <n v="0"/>
    <x v="50"/>
    <x v="1"/>
    <x v="0"/>
    <n v="3176.2"/>
  </r>
  <r>
    <n v="3242"/>
    <x v="2"/>
    <x v="4"/>
    <x v="19"/>
    <s v="L"/>
    <n v="0"/>
    <n v="9677.18"/>
    <n v="0.59"/>
    <n v="0"/>
    <x v="198"/>
    <x v="1"/>
    <x v="0"/>
    <n v="609.45000000000005"/>
  </r>
  <r>
    <n v="3243"/>
    <x v="2"/>
    <x v="2"/>
    <x v="18"/>
    <s v="L"/>
    <n v="3"/>
    <n v="0"/>
    <n v="0"/>
    <n v="0"/>
    <x v="366"/>
    <x v="1"/>
    <x v="3"/>
    <n v="1943.22"/>
  </r>
  <r>
    <n v="3244"/>
    <x v="1"/>
    <x v="0"/>
    <x v="9"/>
    <s v="M"/>
    <n v="0"/>
    <n v="0"/>
    <n v="0"/>
    <n v="0"/>
    <x v="312"/>
    <x v="0"/>
    <x v="1"/>
    <n v="1750.18"/>
  </r>
  <r>
    <n v="3245"/>
    <x v="1"/>
    <x v="3"/>
    <x v="4"/>
    <s v="L"/>
    <n v="3"/>
    <n v="0"/>
    <n v="0"/>
    <n v="0"/>
    <x v="267"/>
    <x v="1"/>
    <x v="3"/>
    <n v="3102.91"/>
  </r>
  <r>
    <n v="3246"/>
    <x v="2"/>
    <x v="3"/>
    <x v="10"/>
    <s v="M"/>
    <n v="0"/>
    <n v="7787.74"/>
    <n v="0"/>
    <n v="0"/>
    <x v="364"/>
    <x v="0"/>
    <x v="3"/>
    <n v="479.25"/>
  </r>
  <r>
    <n v="3248"/>
    <x v="1"/>
    <x v="2"/>
    <x v="3"/>
    <s v="M"/>
    <n v="0"/>
    <n v="8234.91"/>
    <n v="0"/>
    <n v="0"/>
    <x v="210"/>
    <x v="0"/>
    <x v="2"/>
    <n v="2984.1"/>
  </r>
  <r>
    <n v="3249"/>
    <x v="0"/>
    <x v="2"/>
    <x v="3"/>
    <s v="M"/>
    <n v="1"/>
    <n v="4738.25"/>
    <n v="0"/>
    <n v="0"/>
    <x v="216"/>
    <x v="0"/>
    <x v="0"/>
    <n v="731.1"/>
  </r>
  <r>
    <n v="3250"/>
    <x v="1"/>
    <x v="2"/>
    <x v="18"/>
    <s v="L"/>
    <n v="0"/>
    <n v="0"/>
    <n v="0"/>
    <n v="0"/>
    <x v="256"/>
    <x v="0"/>
    <x v="3"/>
    <n v="1172.07"/>
  </r>
  <r>
    <n v="3251"/>
    <x v="2"/>
    <x v="1"/>
    <x v="2"/>
    <s v="M"/>
    <n v="-1"/>
    <n v="6735.33"/>
    <n v="0"/>
    <n v="0"/>
    <x v="126"/>
    <x v="1"/>
    <x v="5"/>
    <n v="3462.04"/>
  </r>
  <r>
    <n v="3252"/>
    <x v="2"/>
    <x v="4"/>
    <x v="13"/>
    <s v="M"/>
    <n v="1"/>
    <n v="0"/>
    <n v="0"/>
    <n v="0"/>
    <x v="409"/>
    <x v="0"/>
    <x v="2"/>
    <n v="-563.83000000000004"/>
  </r>
  <r>
    <n v="3253"/>
    <x v="0"/>
    <x v="3"/>
    <x v="10"/>
    <s v="M"/>
    <n v="0"/>
    <n v="0"/>
    <n v="0"/>
    <n v="0"/>
    <x v="225"/>
    <x v="0"/>
    <x v="0"/>
    <n v="2267.92"/>
  </r>
  <r>
    <n v="3255"/>
    <x v="0"/>
    <x v="4"/>
    <x v="8"/>
    <s v="XL"/>
    <n v="-1"/>
    <n v="6975.67"/>
    <n v="0"/>
    <n v="0"/>
    <x v="38"/>
    <x v="0"/>
    <x v="0"/>
    <n v="960.65"/>
  </r>
  <r>
    <n v="3256"/>
    <x v="2"/>
    <x v="0"/>
    <x v="0"/>
    <s v="M"/>
    <n v="0"/>
    <n v="4814.32"/>
    <n v="0"/>
    <n v="0"/>
    <x v="38"/>
    <x v="1"/>
    <x v="1"/>
    <n v="-583.08000000000004"/>
  </r>
  <r>
    <n v="3257"/>
    <x v="1"/>
    <x v="3"/>
    <x v="11"/>
    <s v="M"/>
    <n v="-1"/>
    <n v="7056.01"/>
    <n v="0"/>
    <n v="0"/>
    <x v="46"/>
    <x v="1"/>
    <x v="5"/>
    <n v="1190.8900000000001"/>
  </r>
  <r>
    <n v="3258"/>
    <x v="2"/>
    <x v="2"/>
    <x v="17"/>
    <s v="M"/>
    <n v="0"/>
    <n v="0"/>
    <n v="0"/>
    <n v="0"/>
    <x v="46"/>
    <x v="0"/>
    <x v="2"/>
    <n v="853.35"/>
  </r>
  <r>
    <n v="3259"/>
    <x v="1"/>
    <x v="2"/>
    <x v="18"/>
    <s v="M"/>
    <n v="0"/>
    <n v="7305.78"/>
    <n v="0"/>
    <n v="0"/>
    <x v="71"/>
    <x v="1"/>
    <x v="2"/>
    <n v="573.79"/>
  </r>
  <r>
    <n v="3260"/>
    <x v="2"/>
    <x v="1"/>
    <x v="6"/>
    <s v="M"/>
    <n v="1"/>
    <n v="0"/>
    <n v="0"/>
    <n v="0"/>
    <x v="90"/>
    <x v="0"/>
    <x v="2"/>
    <n v="1287.17"/>
  </r>
  <r>
    <n v="3261"/>
    <x v="2"/>
    <x v="4"/>
    <x v="8"/>
    <s v="XL"/>
    <n v="0"/>
    <n v="0"/>
    <n v="0"/>
    <n v="0"/>
    <x v="227"/>
    <x v="0"/>
    <x v="1"/>
    <n v="472.79"/>
  </r>
  <r>
    <n v="3262"/>
    <x v="1"/>
    <x v="4"/>
    <x v="19"/>
    <s v="M"/>
    <n v="0"/>
    <n v="0"/>
    <n v="0"/>
    <n v="0"/>
    <x v="410"/>
    <x v="1"/>
    <x v="0"/>
    <n v="1490.29"/>
  </r>
  <r>
    <n v="3263"/>
    <x v="1"/>
    <x v="3"/>
    <x v="4"/>
    <s v="L"/>
    <n v="4"/>
    <n v="0"/>
    <n v="0"/>
    <n v="0"/>
    <x v="154"/>
    <x v="0"/>
    <x v="2"/>
    <n v="2278.12"/>
  </r>
  <r>
    <n v="3265"/>
    <x v="1"/>
    <x v="1"/>
    <x v="6"/>
    <s v="M"/>
    <n v="4"/>
    <n v="0"/>
    <n v="0"/>
    <n v="0"/>
    <x v="186"/>
    <x v="1"/>
    <x v="0"/>
    <n v="2860.71"/>
  </r>
  <r>
    <n v="2006"/>
    <x v="0"/>
    <x v="0"/>
    <x v="5"/>
    <s v="M"/>
    <n v="3"/>
    <n v="0"/>
    <n v="0"/>
    <n v="0"/>
    <x v="186"/>
    <x v="1"/>
    <x v="4"/>
    <n v="-573.17999999999995"/>
  </r>
  <r>
    <n v="3268"/>
    <x v="2"/>
    <x v="1"/>
    <x v="6"/>
    <s v="L"/>
    <n v="0"/>
    <n v="0"/>
    <n v="0"/>
    <n v="0"/>
    <x v="56"/>
    <x v="1"/>
    <x v="2"/>
    <n v="1586.4"/>
  </r>
  <r>
    <n v="3269"/>
    <x v="1"/>
    <x v="1"/>
    <x v="6"/>
    <s v="M"/>
    <n v="0"/>
    <n v="7268.31"/>
    <n v="0"/>
    <n v="0"/>
    <x v="411"/>
    <x v="0"/>
    <x v="2"/>
    <n v="-719.57"/>
  </r>
  <r>
    <n v="3270"/>
    <x v="0"/>
    <x v="2"/>
    <x v="17"/>
    <s v="XL"/>
    <n v="0"/>
    <n v="0"/>
    <n v="0"/>
    <n v="0"/>
    <x v="412"/>
    <x v="0"/>
    <x v="3"/>
    <n v="3619.8"/>
  </r>
  <r>
    <n v="3271"/>
    <x v="2"/>
    <x v="4"/>
    <x v="19"/>
    <s v="M"/>
    <n v="0"/>
    <n v="0"/>
    <n v="0"/>
    <n v="0"/>
    <x v="127"/>
    <x v="1"/>
    <x v="1"/>
    <n v="545.1"/>
  </r>
  <r>
    <n v="3272"/>
    <x v="2"/>
    <x v="2"/>
    <x v="3"/>
    <s v="M"/>
    <n v="0"/>
    <n v="0"/>
    <n v="0"/>
    <n v="0"/>
    <x v="127"/>
    <x v="1"/>
    <x v="1"/>
    <n v="-321.24"/>
  </r>
  <r>
    <n v="3273"/>
    <x v="1"/>
    <x v="1"/>
    <x v="15"/>
    <s v="M"/>
    <n v="-1"/>
    <n v="5527.7"/>
    <n v="0.17"/>
    <n v="-4587.99"/>
    <x v="413"/>
    <x v="0"/>
    <x v="0"/>
    <n v="2577.59"/>
  </r>
  <r>
    <n v="3274"/>
    <x v="2"/>
    <x v="0"/>
    <x v="0"/>
    <s v="L"/>
    <n v="3"/>
    <n v="6031.14"/>
    <n v="0.15"/>
    <n v="15379.41"/>
    <x v="250"/>
    <x v="1"/>
    <x v="1"/>
    <n v="169.05"/>
  </r>
  <r>
    <n v="3275"/>
    <x v="1"/>
    <x v="1"/>
    <x v="2"/>
    <s v="L"/>
    <n v="4"/>
    <n v="0"/>
    <n v="0"/>
    <n v="0"/>
    <x v="82"/>
    <x v="1"/>
    <x v="1"/>
    <n v="1652.12"/>
  </r>
  <r>
    <n v="3278"/>
    <x v="0"/>
    <x v="2"/>
    <x v="17"/>
    <s v="L"/>
    <n v="0"/>
    <n v="0"/>
    <n v="0"/>
    <n v="0"/>
    <x v="97"/>
    <x v="1"/>
    <x v="3"/>
    <n v="107.83"/>
  </r>
  <r>
    <n v="3279"/>
    <x v="0"/>
    <x v="1"/>
    <x v="6"/>
    <s v="XL"/>
    <n v="4"/>
    <n v="2572.41"/>
    <n v="0.1"/>
    <n v="9260.68"/>
    <x v="99"/>
    <x v="1"/>
    <x v="4"/>
    <n v="3098.28"/>
  </r>
  <r>
    <n v="3280"/>
    <x v="0"/>
    <x v="0"/>
    <x v="0"/>
    <s v="XL"/>
    <n v="-1"/>
    <n v="7709.7"/>
    <n v="0"/>
    <n v="0"/>
    <x v="190"/>
    <x v="0"/>
    <x v="2"/>
    <n v="663.54"/>
  </r>
  <r>
    <n v="3281"/>
    <x v="2"/>
    <x v="1"/>
    <x v="6"/>
    <s v="L"/>
    <n v="2"/>
    <n v="6075.6"/>
    <n v="0"/>
    <n v="0"/>
    <x v="190"/>
    <x v="1"/>
    <x v="3"/>
    <n v="93.8"/>
  </r>
  <r>
    <n v="3282"/>
    <x v="0"/>
    <x v="4"/>
    <x v="8"/>
    <s v="XL"/>
    <n v="4"/>
    <n v="0"/>
    <n v="0.23"/>
    <n v="0"/>
    <x v="267"/>
    <x v="1"/>
    <x v="4"/>
    <n v="-190.17"/>
  </r>
  <r>
    <n v="3283"/>
    <x v="2"/>
    <x v="1"/>
    <x v="2"/>
    <s v="XL"/>
    <n v="2"/>
    <n v="0"/>
    <n v="0"/>
    <n v="0"/>
    <x v="414"/>
    <x v="0"/>
    <x v="2"/>
    <n v="3871.51"/>
  </r>
  <r>
    <n v="3285"/>
    <x v="2"/>
    <x v="0"/>
    <x v="9"/>
    <s v="XL"/>
    <n v="4"/>
    <n v="0"/>
    <n v="0"/>
    <n v="0"/>
    <x v="333"/>
    <x v="0"/>
    <x v="1"/>
    <n v="-401.38"/>
  </r>
  <r>
    <n v="3288"/>
    <x v="0"/>
    <x v="2"/>
    <x v="17"/>
    <s v="M"/>
    <n v="4"/>
    <n v="0"/>
    <n v="0"/>
    <n v="0"/>
    <x v="291"/>
    <x v="1"/>
    <x v="4"/>
    <n v="3852.98"/>
  </r>
  <r>
    <n v="3289"/>
    <x v="2"/>
    <x v="0"/>
    <x v="9"/>
    <s v="M"/>
    <n v="-1"/>
    <n v="0"/>
    <n v="0"/>
    <n v="0"/>
    <x v="159"/>
    <x v="0"/>
    <x v="3"/>
    <n v="-878.7"/>
  </r>
  <r>
    <n v="3290"/>
    <x v="0"/>
    <x v="2"/>
    <x v="18"/>
    <s v="XL"/>
    <n v="2"/>
    <n v="7377.71"/>
    <n v="0"/>
    <n v="0"/>
    <x v="159"/>
    <x v="0"/>
    <x v="3"/>
    <n v="2588.85"/>
  </r>
  <r>
    <n v="3291"/>
    <x v="1"/>
    <x v="3"/>
    <x v="11"/>
    <s v="XL"/>
    <n v="0"/>
    <n v="0"/>
    <n v="0"/>
    <n v="0"/>
    <x v="159"/>
    <x v="1"/>
    <x v="1"/>
    <n v="-231.54"/>
  </r>
  <r>
    <n v="3292"/>
    <x v="1"/>
    <x v="0"/>
    <x v="9"/>
    <s v="M"/>
    <n v="0"/>
    <n v="0"/>
    <n v="0"/>
    <n v="0"/>
    <x v="340"/>
    <x v="0"/>
    <x v="1"/>
    <n v="2299.04"/>
  </r>
  <r>
    <n v="3295"/>
    <x v="1"/>
    <x v="0"/>
    <x v="0"/>
    <s v="M"/>
    <n v="0"/>
    <n v="2983.6"/>
    <n v="0"/>
    <n v="0"/>
    <x v="150"/>
    <x v="0"/>
    <x v="4"/>
    <n v="3650.65"/>
  </r>
  <r>
    <n v="2021"/>
    <x v="0"/>
    <x v="3"/>
    <x v="4"/>
    <s v="M"/>
    <n v="4"/>
    <n v="0"/>
    <n v="0"/>
    <n v="0"/>
    <x v="150"/>
    <x v="0"/>
    <x v="1"/>
    <n v="2465.98"/>
  </r>
  <r>
    <n v="3297"/>
    <x v="2"/>
    <x v="2"/>
    <x v="18"/>
    <s v="L"/>
    <n v="0"/>
    <n v="5875.99"/>
    <n v="0"/>
    <n v="0"/>
    <x v="415"/>
    <x v="0"/>
    <x v="4"/>
    <n v="3803.18"/>
  </r>
  <r>
    <n v="3300"/>
    <x v="1"/>
    <x v="4"/>
    <x v="8"/>
    <s v="L"/>
    <n v="2"/>
    <n v="0"/>
    <n v="0"/>
    <n v="0"/>
    <x v="416"/>
    <x v="1"/>
    <x v="0"/>
    <n v="3436.23"/>
  </r>
  <r>
    <n v="3301"/>
    <x v="1"/>
    <x v="2"/>
    <x v="7"/>
    <s v="L"/>
    <n v="0"/>
    <n v="4492.46"/>
    <n v="0"/>
    <n v="0"/>
    <x v="416"/>
    <x v="1"/>
    <x v="1"/>
    <n v="1018.52"/>
  </r>
  <r>
    <n v="3302"/>
    <x v="1"/>
    <x v="1"/>
    <x v="1"/>
    <s v="M"/>
    <n v="0"/>
    <n v="6226.74"/>
    <n v="0"/>
    <n v="0"/>
    <x v="279"/>
    <x v="1"/>
    <x v="3"/>
    <n v="-316.51"/>
  </r>
  <r>
    <n v="3303"/>
    <x v="0"/>
    <x v="1"/>
    <x v="1"/>
    <s v="M"/>
    <n v="2"/>
    <n v="6380.5"/>
    <n v="0"/>
    <n v="0"/>
    <x v="417"/>
    <x v="0"/>
    <x v="5"/>
    <n v="2846.02"/>
  </r>
  <r>
    <n v="3304"/>
    <x v="1"/>
    <x v="3"/>
    <x v="4"/>
    <s v="M"/>
    <n v="0"/>
    <n v="0"/>
    <n v="0.65"/>
    <n v="0"/>
    <x v="61"/>
    <x v="0"/>
    <x v="2"/>
    <n v="2405.3000000000002"/>
  </r>
  <r>
    <n v="3306"/>
    <x v="0"/>
    <x v="4"/>
    <x v="19"/>
    <s v="L"/>
    <n v="0"/>
    <n v="0"/>
    <n v="0.25"/>
    <n v="0"/>
    <x v="79"/>
    <x v="1"/>
    <x v="2"/>
    <n v="3052.49"/>
  </r>
  <r>
    <n v="3307"/>
    <x v="1"/>
    <x v="1"/>
    <x v="6"/>
    <s v="M"/>
    <n v="0"/>
    <n v="7127.99"/>
    <n v="0"/>
    <n v="0"/>
    <x v="370"/>
    <x v="0"/>
    <x v="2"/>
    <n v="818.55"/>
  </r>
  <r>
    <n v="3310"/>
    <x v="1"/>
    <x v="3"/>
    <x v="11"/>
    <s v="M"/>
    <n v="4"/>
    <n v="0"/>
    <n v="0.21"/>
    <n v="0"/>
    <x v="418"/>
    <x v="1"/>
    <x v="5"/>
    <n v="2856.16"/>
  </r>
  <r>
    <n v="3311"/>
    <x v="0"/>
    <x v="1"/>
    <x v="2"/>
    <s v="M"/>
    <n v="0"/>
    <n v="0"/>
    <n v="0.04"/>
    <n v="0"/>
    <x v="352"/>
    <x v="0"/>
    <x v="4"/>
    <n v="3152.21"/>
  </r>
  <r>
    <n v="3312"/>
    <x v="1"/>
    <x v="4"/>
    <x v="13"/>
    <s v="M"/>
    <n v="1"/>
    <n v="8069.3"/>
    <n v="0"/>
    <n v="0"/>
    <x v="205"/>
    <x v="1"/>
    <x v="3"/>
    <n v="-95.96"/>
  </r>
  <r>
    <n v="3313"/>
    <x v="0"/>
    <x v="4"/>
    <x v="12"/>
    <s v="M"/>
    <n v="0"/>
    <n v="9460.52"/>
    <n v="0"/>
    <n v="0"/>
    <x v="205"/>
    <x v="1"/>
    <x v="1"/>
    <n v="-476.54"/>
  </r>
  <r>
    <n v="3314"/>
    <x v="2"/>
    <x v="0"/>
    <x v="14"/>
    <s v="M"/>
    <n v="2"/>
    <n v="7050.14"/>
    <n v="0"/>
    <n v="0"/>
    <x v="205"/>
    <x v="1"/>
    <x v="1"/>
    <n v="-815.54"/>
  </r>
  <r>
    <n v="3315"/>
    <x v="1"/>
    <x v="0"/>
    <x v="9"/>
    <s v="XL"/>
    <n v="0"/>
    <n v="0"/>
    <n v="0"/>
    <n v="0"/>
    <x v="205"/>
    <x v="1"/>
    <x v="0"/>
    <n v="1345.26"/>
  </r>
  <r>
    <n v="3316"/>
    <x v="1"/>
    <x v="3"/>
    <x v="4"/>
    <s v="L"/>
    <n v="0"/>
    <n v="0"/>
    <n v="1.02"/>
    <n v="0"/>
    <x v="419"/>
    <x v="0"/>
    <x v="0"/>
    <n v="27.15"/>
  </r>
  <r>
    <n v="3317"/>
    <x v="0"/>
    <x v="4"/>
    <x v="8"/>
    <s v="M"/>
    <n v="3"/>
    <n v="0"/>
    <n v="0"/>
    <n v="0"/>
    <x v="419"/>
    <x v="0"/>
    <x v="1"/>
    <n v="3852.52"/>
  </r>
  <r>
    <n v="3318"/>
    <x v="2"/>
    <x v="0"/>
    <x v="5"/>
    <s v="XL"/>
    <n v="0"/>
    <n v="0"/>
    <n v="0"/>
    <n v="0"/>
    <x v="18"/>
    <x v="0"/>
    <x v="4"/>
    <n v="1096.06"/>
  </r>
  <r>
    <n v="3319"/>
    <x v="1"/>
    <x v="3"/>
    <x v="10"/>
    <s v="XL"/>
    <n v="0"/>
    <n v="6109.1"/>
    <n v="0.37"/>
    <n v="0"/>
    <x v="100"/>
    <x v="1"/>
    <x v="2"/>
    <n v="-846.73"/>
  </r>
  <r>
    <n v="3321"/>
    <x v="0"/>
    <x v="1"/>
    <x v="1"/>
    <s v="M"/>
    <n v="4"/>
    <n v="4986.67"/>
    <n v="1.07"/>
    <n v="-1396.27"/>
    <x v="299"/>
    <x v="1"/>
    <x v="2"/>
    <n v="3170.16"/>
  </r>
  <r>
    <n v="3322"/>
    <x v="2"/>
    <x v="0"/>
    <x v="9"/>
    <s v="M"/>
    <n v="0"/>
    <n v="0"/>
    <n v="0"/>
    <n v="0"/>
    <x v="315"/>
    <x v="0"/>
    <x v="1"/>
    <n v="864.55"/>
  </r>
  <r>
    <n v="3325"/>
    <x v="0"/>
    <x v="4"/>
    <x v="19"/>
    <s v="L"/>
    <n v="0"/>
    <n v="0"/>
    <n v="0"/>
    <n v="0"/>
    <x v="420"/>
    <x v="0"/>
    <x v="1"/>
    <n v="1115.7"/>
  </r>
  <r>
    <n v="3326"/>
    <x v="2"/>
    <x v="0"/>
    <x v="0"/>
    <s v="M"/>
    <n v="0"/>
    <n v="0"/>
    <n v="0.88"/>
    <n v="0"/>
    <x v="245"/>
    <x v="0"/>
    <x v="2"/>
    <n v="991.04"/>
  </r>
  <r>
    <n v="3327"/>
    <x v="2"/>
    <x v="0"/>
    <x v="5"/>
    <s v="M"/>
    <n v="3"/>
    <n v="0"/>
    <n v="0"/>
    <n v="0"/>
    <x v="78"/>
    <x v="0"/>
    <x v="0"/>
    <n v="-1155.6099999999999"/>
  </r>
  <r>
    <n v="3329"/>
    <x v="0"/>
    <x v="0"/>
    <x v="14"/>
    <s v="M"/>
    <n v="0"/>
    <n v="0"/>
    <n v="0"/>
    <n v="0"/>
    <x v="421"/>
    <x v="1"/>
    <x v="5"/>
    <n v="530.29"/>
  </r>
  <r>
    <n v="3330"/>
    <x v="1"/>
    <x v="0"/>
    <x v="9"/>
    <s v="M"/>
    <n v="-1"/>
    <n v="0"/>
    <n v="0.85"/>
    <n v="0"/>
    <x v="421"/>
    <x v="0"/>
    <x v="5"/>
    <n v="1714.75"/>
  </r>
  <r>
    <n v="3331"/>
    <x v="0"/>
    <x v="1"/>
    <x v="15"/>
    <s v="L"/>
    <n v="-1"/>
    <n v="9040.5499999999993"/>
    <n v="0"/>
    <n v="0"/>
    <x v="421"/>
    <x v="1"/>
    <x v="2"/>
    <n v="2233.5700000000002"/>
  </r>
  <r>
    <n v="3332"/>
    <x v="2"/>
    <x v="0"/>
    <x v="0"/>
    <s v="L"/>
    <n v="0"/>
    <n v="3106.54"/>
    <n v="0"/>
    <n v="0"/>
    <x v="421"/>
    <x v="1"/>
    <x v="3"/>
    <n v="3793.25"/>
  </r>
  <r>
    <n v="3333"/>
    <x v="0"/>
    <x v="0"/>
    <x v="0"/>
    <s v="L"/>
    <n v="2"/>
    <n v="0"/>
    <n v="0"/>
    <n v="0"/>
    <x v="421"/>
    <x v="1"/>
    <x v="5"/>
    <n v="1519.97"/>
  </r>
  <r>
    <n v="3334"/>
    <x v="0"/>
    <x v="1"/>
    <x v="1"/>
    <s v="L"/>
    <n v="3"/>
    <n v="2471.71"/>
    <n v="0"/>
    <n v="0"/>
    <x v="396"/>
    <x v="0"/>
    <x v="2"/>
    <n v="1190.8900000000001"/>
  </r>
  <r>
    <n v="3336"/>
    <x v="0"/>
    <x v="3"/>
    <x v="4"/>
    <s v="XL"/>
    <n v="0"/>
    <n v="4334.53"/>
    <n v="0"/>
    <n v="0"/>
    <x v="47"/>
    <x v="0"/>
    <x v="1"/>
    <n v="2759.16"/>
  </r>
  <r>
    <n v="3337"/>
    <x v="2"/>
    <x v="0"/>
    <x v="14"/>
    <s v="L"/>
    <n v="4"/>
    <n v="0"/>
    <n v="0"/>
    <n v="0"/>
    <x v="73"/>
    <x v="0"/>
    <x v="4"/>
    <n v="2915.13"/>
  </r>
  <r>
    <n v="3338"/>
    <x v="1"/>
    <x v="0"/>
    <x v="14"/>
    <s v="L"/>
    <n v="0"/>
    <n v="0"/>
    <n v="1.24"/>
    <n v="0"/>
    <x v="195"/>
    <x v="0"/>
    <x v="5"/>
    <n v="3011.73"/>
  </r>
  <r>
    <n v="3340"/>
    <x v="0"/>
    <x v="1"/>
    <x v="2"/>
    <s v="M"/>
    <n v="3"/>
    <n v="3248.74"/>
    <n v="0"/>
    <n v="0"/>
    <x v="150"/>
    <x v="1"/>
    <x v="2"/>
    <n v="2551.4699999999998"/>
  </r>
  <r>
    <n v="3341"/>
    <x v="0"/>
    <x v="0"/>
    <x v="9"/>
    <s v="M"/>
    <n v="3"/>
    <n v="8387.99"/>
    <n v="0"/>
    <n v="0"/>
    <x v="422"/>
    <x v="0"/>
    <x v="0"/>
    <n v="1693.41"/>
  </r>
  <r>
    <n v="2037"/>
    <x v="1"/>
    <x v="2"/>
    <x v="17"/>
    <s v="M"/>
    <n v="4"/>
    <n v="0"/>
    <n v="1.23"/>
    <n v="0"/>
    <x v="18"/>
    <x v="0"/>
    <x v="4"/>
    <n v="3651.05"/>
  </r>
  <r>
    <n v="3343"/>
    <x v="0"/>
    <x v="4"/>
    <x v="8"/>
    <s v="L"/>
    <n v="3"/>
    <n v="9405.77"/>
    <n v="0"/>
    <n v="0"/>
    <x v="158"/>
    <x v="1"/>
    <x v="1"/>
    <n v="1688.78"/>
  </r>
  <r>
    <n v="3344"/>
    <x v="0"/>
    <x v="1"/>
    <x v="6"/>
    <s v="M"/>
    <n v="0"/>
    <n v="8217.3700000000008"/>
    <n v="1.06"/>
    <n v="0"/>
    <x v="295"/>
    <x v="1"/>
    <x v="1"/>
    <n v="303.77"/>
  </r>
  <r>
    <n v="2048"/>
    <x v="2"/>
    <x v="2"/>
    <x v="3"/>
    <s v="XL"/>
    <n v="0"/>
    <n v="0"/>
    <n v="0"/>
    <n v="0"/>
    <x v="295"/>
    <x v="0"/>
    <x v="0"/>
    <n v="1635.47"/>
  </r>
  <r>
    <n v="3346"/>
    <x v="0"/>
    <x v="0"/>
    <x v="0"/>
    <s v="M"/>
    <n v="4"/>
    <n v="0"/>
    <n v="0.15"/>
    <n v="0"/>
    <x v="295"/>
    <x v="1"/>
    <x v="4"/>
    <n v="3392.46"/>
  </r>
  <r>
    <n v="3347"/>
    <x v="2"/>
    <x v="0"/>
    <x v="14"/>
    <s v="L"/>
    <n v="0"/>
    <n v="4389.4399999999996"/>
    <n v="0"/>
    <n v="0"/>
    <x v="295"/>
    <x v="0"/>
    <x v="2"/>
    <n v="1546.55"/>
  </r>
  <r>
    <n v="3348"/>
    <x v="1"/>
    <x v="1"/>
    <x v="6"/>
    <s v="M"/>
    <n v="0"/>
    <n v="2114.86"/>
    <n v="0"/>
    <n v="0"/>
    <x v="423"/>
    <x v="0"/>
    <x v="1"/>
    <n v="2636.76"/>
  </r>
  <r>
    <n v="3349"/>
    <x v="2"/>
    <x v="0"/>
    <x v="14"/>
    <s v="M"/>
    <n v="0"/>
    <n v="8180.92"/>
    <n v="1.25"/>
    <n v="0"/>
    <x v="423"/>
    <x v="1"/>
    <x v="1"/>
    <n v="-481.2"/>
  </r>
  <r>
    <n v="3350"/>
    <x v="1"/>
    <x v="4"/>
    <x v="13"/>
    <s v="L"/>
    <n v="0"/>
    <n v="0"/>
    <n v="0.48"/>
    <n v="0"/>
    <x v="228"/>
    <x v="0"/>
    <x v="0"/>
    <n v="2199.4299999999998"/>
  </r>
  <r>
    <n v="3352"/>
    <x v="1"/>
    <x v="0"/>
    <x v="0"/>
    <s v="M"/>
    <n v="0"/>
    <n v="6622.41"/>
    <n v="0.23"/>
    <n v="0"/>
    <x v="86"/>
    <x v="1"/>
    <x v="3"/>
    <n v="1437.43"/>
  </r>
  <r>
    <n v="2028"/>
    <x v="2"/>
    <x v="4"/>
    <x v="12"/>
    <s v="M"/>
    <n v="4"/>
    <n v="2824.55"/>
    <n v="0"/>
    <n v="0"/>
    <x v="86"/>
    <x v="0"/>
    <x v="4"/>
    <n v="1123.78"/>
  </r>
  <r>
    <n v="3354"/>
    <x v="2"/>
    <x v="2"/>
    <x v="17"/>
    <s v="L"/>
    <n v="0"/>
    <n v="0"/>
    <n v="0.4"/>
    <n v="0"/>
    <x v="424"/>
    <x v="1"/>
    <x v="5"/>
    <n v="-987.6"/>
  </r>
  <r>
    <n v="3355"/>
    <x v="0"/>
    <x v="4"/>
    <x v="19"/>
    <s v="M"/>
    <n v="0"/>
    <n v="7781.4"/>
    <n v="1.1399999999999999"/>
    <n v="0"/>
    <x v="6"/>
    <x v="0"/>
    <x v="3"/>
    <n v="1815.96"/>
  </r>
  <r>
    <n v="3356"/>
    <x v="1"/>
    <x v="1"/>
    <x v="1"/>
    <s v="M"/>
    <n v="4"/>
    <n v="0"/>
    <n v="0"/>
    <n v="0"/>
    <x v="312"/>
    <x v="0"/>
    <x v="2"/>
    <n v="724.11"/>
  </r>
  <r>
    <n v="3357"/>
    <x v="0"/>
    <x v="0"/>
    <x v="5"/>
    <s v="M"/>
    <n v="4"/>
    <n v="6206.45"/>
    <n v="0.5"/>
    <n v="12412.9"/>
    <x v="67"/>
    <x v="0"/>
    <x v="4"/>
    <n v="678.42"/>
  </r>
  <r>
    <n v="3358"/>
    <x v="2"/>
    <x v="4"/>
    <x v="12"/>
    <s v="M"/>
    <n v="0"/>
    <n v="0"/>
    <n v="0.43"/>
    <n v="0"/>
    <x v="239"/>
    <x v="0"/>
    <x v="1"/>
    <n v="2019.56"/>
  </r>
  <r>
    <n v="3360"/>
    <x v="1"/>
    <x v="0"/>
    <x v="9"/>
    <s v="M"/>
    <n v="4"/>
    <n v="0"/>
    <n v="0.06"/>
    <n v="0"/>
    <x v="209"/>
    <x v="0"/>
    <x v="0"/>
    <n v="304.12"/>
  </r>
  <r>
    <n v="3361"/>
    <x v="1"/>
    <x v="4"/>
    <x v="19"/>
    <s v="XL"/>
    <n v="0"/>
    <n v="0"/>
    <n v="0"/>
    <n v="0"/>
    <x v="209"/>
    <x v="1"/>
    <x v="0"/>
    <n v="3007.91"/>
  </r>
  <r>
    <n v="3362"/>
    <x v="2"/>
    <x v="2"/>
    <x v="18"/>
    <s v="L"/>
    <n v="0"/>
    <n v="0"/>
    <n v="0"/>
    <n v="0"/>
    <x v="272"/>
    <x v="1"/>
    <x v="4"/>
    <n v="2730.12"/>
  </r>
  <r>
    <n v="3364"/>
    <x v="0"/>
    <x v="1"/>
    <x v="2"/>
    <s v="M"/>
    <n v="0"/>
    <n v="0"/>
    <n v="0.24"/>
    <n v="0"/>
    <x v="402"/>
    <x v="0"/>
    <x v="3"/>
    <n v="-371.86"/>
  </r>
  <r>
    <n v="3365"/>
    <x v="0"/>
    <x v="3"/>
    <x v="10"/>
    <s v="M"/>
    <n v="0"/>
    <n v="0"/>
    <n v="0.95"/>
    <n v="0"/>
    <x v="402"/>
    <x v="1"/>
    <x v="3"/>
    <n v="-445.03"/>
  </r>
  <r>
    <n v="3366"/>
    <x v="2"/>
    <x v="4"/>
    <x v="19"/>
    <s v="M"/>
    <n v="0"/>
    <n v="0"/>
    <n v="0"/>
    <n v="0"/>
    <x v="425"/>
    <x v="1"/>
    <x v="3"/>
    <n v="2762.68"/>
  </r>
  <r>
    <n v="2029"/>
    <x v="0"/>
    <x v="0"/>
    <x v="9"/>
    <s v="L"/>
    <n v="0"/>
    <n v="6548.87"/>
    <n v="0.2"/>
    <n v="0"/>
    <x v="341"/>
    <x v="0"/>
    <x v="5"/>
    <n v="3640.6"/>
  </r>
  <r>
    <n v="3368"/>
    <x v="1"/>
    <x v="0"/>
    <x v="5"/>
    <s v="M"/>
    <n v="0"/>
    <n v="0"/>
    <n v="0"/>
    <n v="0"/>
    <x v="383"/>
    <x v="1"/>
    <x v="4"/>
    <n v="2027.47"/>
  </r>
  <r>
    <n v="3369"/>
    <x v="2"/>
    <x v="3"/>
    <x v="4"/>
    <s v="L"/>
    <n v="0"/>
    <n v="5103.34"/>
    <n v="0.05"/>
    <n v="0"/>
    <x v="262"/>
    <x v="0"/>
    <x v="5"/>
    <n v="1247.02"/>
  </r>
  <r>
    <n v="3370"/>
    <x v="1"/>
    <x v="4"/>
    <x v="8"/>
    <s v="XL"/>
    <n v="0"/>
    <n v="3328.45"/>
    <n v="0"/>
    <n v="0"/>
    <x v="355"/>
    <x v="1"/>
    <x v="0"/>
    <n v="-1137.54"/>
  </r>
  <r>
    <n v="3371"/>
    <x v="2"/>
    <x v="0"/>
    <x v="5"/>
    <s v="XL"/>
    <n v="1"/>
    <n v="2636.01"/>
    <n v="0"/>
    <n v="0"/>
    <x v="49"/>
    <x v="1"/>
    <x v="4"/>
    <n v="2255.4299999999998"/>
  </r>
  <r>
    <n v="3372"/>
    <x v="0"/>
    <x v="4"/>
    <x v="12"/>
    <s v="M"/>
    <n v="0"/>
    <n v="0"/>
    <n v="0.77"/>
    <n v="0"/>
    <x v="181"/>
    <x v="0"/>
    <x v="4"/>
    <n v="-1088.45"/>
  </r>
  <r>
    <n v="3373"/>
    <x v="0"/>
    <x v="0"/>
    <x v="0"/>
    <s v="M"/>
    <n v="0"/>
    <n v="0"/>
    <n v="0.76"/>
    <n v="0"/>
    <x v="181"/>
    <x v="1"/>
    <x v="3"/>
    <n v="1069.43"/>
  </r>
  <r>
    <n v="3374"/>
    <x v="2"/>
    <x v="0"/>
    <x v="5"/>
    <s v="M"/>
    <n v="4"/>
    <n v="4500.96"/>
    <n v="0"/>
    <n v="0"/>
    <x v="110"/>
    <x v="0"/>
    <x v="3"/>
    <n v="1905.25"/>
  </r>
  <r>
    <n v="3375"/>
    <x v="0"/>
    <x v="3"/>
    <x v="11"/>
    <s v="M"/>
    <n v="0"/>
    <n v="2134.23"/>
    <n v="0"/>
    <n v="0"/>
    <x v="292"/>
    <x v="0"/>
    <x v="0"/>
    <n v="1647.39"/>
  </r>
  <r>
    <n v="3376"/>
    <x v="0"/>
    <x v="1"/>
    <x v="15"/>
    <s v="M"/>
    <n v="0"/>
    <n v="0"/>
    <n v="0"/>
    <n v="0"/>
    <x v="292"/>
    <x v="1"/>
    <x v="5"/>
    <n v="1286.6400000000001"/>
  </r>
  <r>
    <n v="3377"/>
    <x v="2"/>
    <x v="4"/>
    <x v="12"/>
    <s v="M"/>
    <n v="0"/>
    <n v="0"/>
    <n v="0.38"/>
    <n v="0"/>
    <x v="292"/>
    <x v="0"/>
    <x v="1"/>
    <n v="1295.93"/>
  </r>
  <r>
    <n v="3378"/>
    <x v="0"/>
    <x v="1"/>
    <x v="15"/>
    <s v="XL"/>
    <n v="1"/>
    <n v="3642.74"/>
    <n v="0"/>
    <n v="0"/>
    <x v="292"/>
    <x v="0"/>
    <x v="5"/>
    <n v="2416.87"/>
  </r>
  <r>
    <n v="3382"/>
    <x v="2"/>
    <x v="4"/>
    <x v="19"/>
    <s v="XL"/>
    <n v="2"/>
    <n v="9187.23"/>
    <n v="0"/>
    <n v="0"/>
    <x v="13"/>
    <x v="1"/>
    <x v="1"/>
    <n v="1710.15"/>
  </r>
  <r>
    <n v="3383"/>
    <x v="1"/>
    <x v="2"/>
    <x v="18"/>
    <s v="XL"/>
    <n v="0"/>
    <n v="0"/>
    <n v="0"/>
    <n v="0"/>
    <x v="370"/>
    <x v="1"/>
    <x v="0"/>
    <n v="3793.87"/>
  </r>
  <r>
    <n v="3384"/>
    <x v="1"/>
    <x v="4"/>
    <x v="8"/>
    <s v="M"/>
    <n v="0"/>
    <n v="0"/>
    <n v="0.27"/>
    <n v="0"/>
    <x v="325"/>
    <x v="1"/>
    <x v="0"/>
    <n v="144.65"/>
  </r>
  <r>
    <n v="3386"/>
    <x v="1"/>
    <x v="1"/>
    <x v="15"/>
    <s v="M"/>
    <n v="0"/>
    <n v="9212.82"/>
    <n v="1.0900000000000001"/>
    <n v="0"/>
    <x v="52"/>
    <x v="1"/>
    <x v="1"/>
    <n v="3827.83"/>
  </r>
  <r>
    <n v="3387"/>
    <x v="2"/>
    <x v="1"/>
    <x v="15"/>
    <s v="M"/>
    <n v="4"/>
    <n v="0"/>
    <n v="1.07"/>
    <n v="0"/>
    <x v="426"/>
    <x v="1"/>
    <x v="0"/>
    <n v="2821.58"/>
  </r>
  <r>
    <n v="3388"/>
    <x v="1"/>
    <x v="3"/>
    <x v="11"/>
    <s v="M"/>
    <n v="0"/>
    <n v="4042.33"/>
    <n v="0"/>
    <n v="0"/>
    <x v="250"/>
    <x v="0"/>
    <x v="3"/>
    <n v="1915.52"/>
  </r>
  <r>
    <n v="3389"/>
    <x v="1"/>
    <x v="3"/>
    <x v="10"/>
    <s v="M"/>
    <n v="3"/>
    <n v="9764.91"/>
    <n v="0"/>
    <n v="0"/>
    <x v="160"/>
    <x v="0"/>
    <x v="2"/>
    <n v="3491.49"/>
  </r>
  <r>
    <n v="2044"/>
    <x v="0"/>
    <x v="1"/>
    <x v="2"/>
    <s v="XL"/>
    <n v="3"/>
    <n v="2068.9499999999998"/>
    <n v="0.81"/>
    <n v="1179.3"/>
    <x v="160"/>
    <x v="1"/>
    <x v="4"/>
    <n v="-182.98"/>
  </r>
  <r>
    <n v="3391"/>
    <x v="1"/>
    <x v="1"/>
    <x v="6"/>
    <s v="M"/>
    <n v="2"/>
    <n v="0"/>
    <n v="0"/>
    <n v="0"/>
    <x v="396"/>
    <x v="1"/>
    <x v="1"/>
    <n v="1628.31"/>
  </r>
  <r>
    <n v="3393"/>
    <x v="0"/>
    <x v="4"/>
    <x v="8"/>
    <s v="M"/>
    <n v="0"/>
    <n v="0"/>
    <n v="0.68"/>
    <n v="0"/>
    <x v="98"/>
    <x v="0"/>
    <x v="0"/>
    <n v="1329.32"/>
  </r>
  <r>
    <n v="3394"/>
    <x v="0"/>
    <x v="2"/>
    <x v="17"/>
    <s v="XL"/>
    <n v="1"/>
    <n v="0"/>
    <n v="0"/>
    <n v="0"/>
    <x v="43"/>
    <x v="0"/>
    <x v="1"/>
    <n v="2396.11"/>
  </r>
  <r>
    <n v="3395"/>
    <x v="1"/>
    <x v="3"/>
    <x v="11"/>
    <s v="L"/>
    <n v="3"/>
    <n v="0"/>
    <n v="0"/>
    <n v="0"/>
    <x v="299"/>
    <x v="0"/>
    <x v="2"/>
    <n v="3069.77"/>
  </r>
  <r>
    <n v="3396"/>
    <x v="0"/>
    <x v="3"/>
    <x v="11"/>
    <s v="L"/>
    <n v="0"/>
    <n v="6325.01"/>
    <n v="0"/>
    <n v="0"/>
    <x v="299"/>
    <x v="1"/>
    <x v="0"/>
    <n v="-1047.8"/>
  </r>
  <r>
    <n v="3397"/>
    <x v="1"/>
    <x v="2"/>
    <x v="17"/>
    <s v="M"/>
    <n v="0"/>
    <n v="9972.81"/>
    <n v="0"/>
    <n v="0"/>
    <x v="299"/>
    <x v="0"/>
    <x v="2"/>
    <n v="3478.84"/>
  </r>
  <r>
    <n v="3398"/>
    <x v="2"/>
    <x v="4"/>
    <x v="19"/>
    <s v="XL"/>
    <n v="2"/>
    <n v="2082.4899999999998"/>
    <n v="0"/>
    <n v="0"/>
    <x v="427"/>
    <x v="1"/>
    <x v="5"/>
    <n v="415.57"/>
  </r>
  <r>
    <n v="3399"/>
    <x v="1"/>
    <x v="4"/>
    <x v="19"/>
    <s v="M"/>
    <n v="0"/>
    <n v="4507.45"/>
    <n v="0"/>
    <n v="0"/>
    <x v="207"/>
    <x v="0"/>
    <x v="1"/>
    <n v="-1021.01"/>
  </r>
  <r>
    <n v="3400"/>
    <x v="0"/>
    <x v="2"/>
    <x v="7"/>
    <s v="M"/>
    <n v="0"/>
    <n v="0"/>
    <n v="0.23"/>
    <n v="0"/>
    <x v="5"/>
    <x v="1"/>
    <x v="1"/>
    <n v="703.25"/>
  </r>
  <r>
    <n v="3401"/>
    <x v="0"/>
    <x v="4"/>
    <x v="13"/>
    <s v="M"/>
    <n v="0"/>
    <n v="0"/>
    <n v="0"/>
    <n v="0"/>
    <x v="5"/>
    <x v="1"/>
    <x v="5"/>
    <n v="3834.84"/>
  </r>
  <r>
    <n v="3403"/>
    <x v="0"/>
    <x v="0"/>
    <x v="5"/>
    <s v="M"/>
    <n v="0"/>
    <n v="0"/>
    <n v="0"/>
    <n v="0"/>
    <x v="65"/>
    <x v="1"/>
    <x v="3"/>
    <n v="-200.19"/>
  </r>
  <r>
    <n v="3404"/>
    <x v="0"/>
    <x v="4"/>
    <x v="13"/>
    <s v="XL"/>
    <n v="0"/>
    <n v="0"/>
    <n v="0"/>
    <n v="0"/>
    <x v="67"/>
    <x v="0"/>
    <x v="3"/>
    <n v="1505.06"/>
  </r>
  <r>
    <n v="3405"/>
    <x v="1"/>
    <x v="2"/>
    <x v="17"/>
    <s v="M"/>
    <n v="0"/>
    <n v="9986.17"/>
    <n v="1.04"/>
    <n v="0"/>
    <x v="116"/>
    <x v="0"/>
    <x v="5"/>
    <n v="1861.72"/>
  </r>
  <r>
    <n v="3406"/>
    <x v="1"/>
    <x v="4"/>
    <x v="13"/>
    <s v="M"/>
    <n v="0"/>
    <n v="0"/>
    <n v="1.06"/>
    <n v="0"/>
    <x v="171"/>
    <x v="0"/>
    <x v="0"/>
    <n v="3314.92"/>
  </r>
  <r>
    <n v="3407"/>
    <x v="1"/>
    <x v="2"/>
    <x v="18"/>
    <s v="M"/>
    <n v="0"/>
    <n v="5704.39"/>
    <n v="1.1100000000000001"/>
    <n v="0"/>
    <x v="428"/>
    <x v="1"/>
    <x v="4"/>
    <n v="-4.0999999999999996"/>
  </r>
  <r>
    <n v="3408"/>
    <x v="2"/>
    <x v="4"/>
    <x v="8"/>
    <s v="XL"/>
    <n v="0"/>
    <n v="0"/>
    <n v="0"/>
    <n v="0"/>
    <x v="394"/>
    <x v="1"/>
    <x v="4"/>
    <n v="1675.58"/>
  </r>
  <r>
    <n v="3409"/>
    <x v="0"/>
    <x v="3"/>
    <x v="10"/>
    <s v="M"/>
    <n v="1"/>
    <n v="6312.01"/>
    <n v="0.3"/>
    <n v="4418.41"/>
    <x v="429"/>
    <x v="1"/>
    <x v="4"/>
    <n v="-1106.07"/>
  </r>
  <r>
    <n v="3411"/>
    <x v="0"/>
    <x v="1"/>
    <x v="6"/>
    <s v="M"/>
    <n v="0"/>
    <n v="0"/>
    <n v="0"/>
    <n v="0"/>
    <x v="429"/>
    <x v="1"/>
    <x v="3"/>
    <n v="-970.59"/>
  </r>
  <r>
    <n v="3412"/>
    <x v="2"/>
    <x v="0"/>
    <x v="5"/>
    <s v="XL"/>
    <n v="0"/>
    <n v="6983.68"/>
    <n v="0"/>
    <n v="0"/>
    <x v="429"/>
    <x v="0"/>
    <x v="1"/>
    <n v="2789.29"/>
  </r>
  <r>
    <n v="3413"/>
    <x v="0"/>
    <x v="1"/>
    <x v="15"/>
    <s v="XL"/>
    <n v="2"/>
    <n v="0"/>
    <n v="0"/>
    <n v="0"/>
    <x v="430"/>
    <x v="0"/>
    <x v="1"/>
    <n v="2752.65"/>
  </r>
  <r>
    <n v="3414"/>
    <x v="2"/>
    <x v="2"/>
    <x v="17"/>
    <s v="M"/>
    <n v="4"/>
    <n v="9996.2199999999993"/>
    <n v="0"/>
    <n v="0"/>
    <x v="431"/>
    <x v="0"/>
    <x v="2"/>
    <n v="520.63"/>
  </r>
  <r>
    <n v="3415"/>
    <x v="0"/>
    <x v="4"/>
    <x v="8"/>
    <s v="L"/>
    <n v="-1"/>
    <n v="6165.08"/>
    <n v="0"/>
    <n v="0"/>
    <x v="432"/>
    <x v="0"/>
    <x v="1"/>
    <n v="-426.97"/>
  </r>
  <r>
    <n v="3416"/>
    <x v="2"/>
    <x v="1"/>
    <x v="15"/>
    <s v="XL"/>
    <n v="0"/>
    <n v="8954.59"/>
    <n v="0.33"/>
    <n v="0"/>
    <x v="4"/>
    <x v="1"/>
    <x v="1"/>
    <n v="-819.45"/>
  </r>
  <r>
    <n v="3417"/>
    <x v="2"/>
    <x v="4"/>
    <x v="19"/>
    <s v="XL"/>
    <n v="0"/>
    <n v="5700.61"/>
    <n v="0"/>
    <n v="0"/>
    <x v="433"/>
    <x v="0"/>
    <x v="5"/>
    <n v="-409.81"/>
  </r>
  <r>
    <n v="3418"/>
    <x v="2"/>
    <x v="1"/>
    <x v="1"/>
    <s v="M"/>
    <n v="1"/>
    <n v="0"/>
    <n v="1.24"/>
    <n v="0"/>
    <x v="433"/>
    <x v="1"/>
    <x v="0"/>
    <n v="639.28"/>
  </r>
  <r>
    <n v="3421"/>
    <x v="1"/>
    <x v="4"/>
    <x v="13"/>
    <s v="L"/>
    <n v="0"/>
    <n v="0"/>
    <n v="0"/>
    <n v="0"/>
    <x v="182"/>
    <x v="0"/>
    <x v="1"/>
    <n v="-242.44"/>
  </r>
  <r>
    <n v="3422"/>
    <x v="0"/>
    <x v="0"/>
    <x v="9"/>
    <s v="XL"/>
    <n v="0"/>
    <n v="3197.01"/>
    <n v="0"/>
    <n v="0"/>
    <x v="434"/>
    <x v="1"/>
    <x v="1"/>
    <n v="2432.7600000000002"/>
  </r>
  <r>
    <n v="3423"/>
    <x v="0"/>
    <x v="4"/>
    <x v="12"/>
    <s v="L"/>
    <n v="2"/>
    <n v="0"/>
    <n v="0"/>
    <n v="0"/>
    <x v="74"/>
    <x v="1"/>
    <x v="2"/>
    <n v="106"/>
  </r>
  <r>
    <n v="3424"/>
    <x v="1"/>
    <x v="0"/>
    <x v="0"/>
    <s v="M"/>
    <n v="0"/>
    <n v="7007.84"/>
    <n v="0.32"/>
    <n v="0"/>
    <x v="207"/>
    <x v="0"/>
    <x v="2"/>
    <n v="1955.19"/>
  </r>
  <r>
    <n v="3426"/>
    <x v="2"/>
    <x v="3"/>
    <x v="11"/>
    <s v="L"/>
    <n v="0"/>
    <n v="8124.38"/>
    <n v="1.1599999999999999"/>
    <n v="0"/>
    <x v="207"/>
    <x v="0"/>
    <x v="4"/>
    <n v="3119.24"/>
  </r>
  <r>
    <n v="3427"/>
    <x v="2"/>
    <x v="3"/>
    <x v="16"/>
    <s v="M"/>
    <n v="1"/>
    <n v="0"/>
    <n v="0"/>
    <n v="0"/>
    <x v="207"/>
    <x v="1"/>
    <x v="2"/>
    <n v="2741.85"/>
  </r>
  <r>
    <n v="3428"/>
    <x v="1"/>
    <x v="4"/>
    <x v="8"/>
    <s v="M"/>
    <n v="1"/>
    <n v="2825.86"/>
    <n v="0.23"/>
    <n v="2175.91"/>
    <x v="411"/>
    <x v="0"/>
    <x v="0"/>
    <n v="625.29999999999995"/>
  </r>
  <r>
    <n v="3429"/>
    <x v="2"/>
    <x v="1"/>
    <x v="2"/>
    <s v="M"/>
    <n v="0"/>
    <n v="0"/>
    <n v="0"/>
    <n v="0"/>
    <x v="81"/>
    <x v="1"/>
    <x v="4"/>
    <n v="-77.97"/>
  </r>
  <r>
    <n v="3430"/>
    <x v="2"/>
    <x v="0"/>
    <x v="5"/>
    <s v="M"/>
    <n v="0"/>
    <n v="7036.03"/>
    <n v="0"/>
    <n v="0"/>
    <x v="81"/>
    <x v="0"/>
    <x v="0"/>
    <n v="-890.2"/>
  </r>
  <r>
    <n v="3431"/>
    <x v="1"/>
    <x v="0"/>
    <x v="9"/>
    <s v="L"/>
    <n v="-1"/>
    <n v="0"/>
    <n v="0.96"/>
    <n v="0"/>
    <x v="126"/>
    <x v="1"/>
    <x v="4"/>
    <n v="3816.31"/>
  </r>
  <r>
    <n v="3432"/>
    <x v="0"/>
    <x v="4"/>
    <x v="12"/>
    <s v="XL"/>
    <n v="0"/>
    <n v="0"/>
    <n v="0"/>
    <n v="0"/>
    <x v="412"/>
    <x v="0"/>
    <x v="5"/>
    <n v="-640.44000000000005"/>
  </r>
  <r>
    <n v="2028"/>
    <x v="0"/>
    <x v="2"/>
    <x v="7"/>
    <s v="XL"/>
    <n v="0"/>
    <n v="0"/>
    <n v="0.95"/>
    <n v="0"/>
    <x v="435"/>
    <x v="0"/>
    <x v="4"/>
    <n v="2511.65"/>
  </r>
  <r>
    <n v="3434"/>
    <x v="0"/>
    <x v="4"/>
    <x v="8"/>
    <s v="XL"/>
    <n v="0"/>
    <n v="8741.65"/>
    <n v="0"/>
    <n v="0"/>
    <x v="138"/>
    <x v="0"/>
    <x v="4"/>
    <n v="570.25"/>
  </r>
  <r>
    <n v="3436"/>
    <x v="0"/>
    <x v="1"/>
    <x v="6"/>
    <s v="L"/>
    <n v="0"/>
    <n v="0"/>
    <n v="0"/>
    <n v="0"/>
    <x v="436"/>
    <x v="1"/>
    <x v="0"/>
    <n v="2107.65"/>
  </r>
  <r>
    <n v="3437"/>
    <x v="0"/>
    <x v="1"/>
    <x v="1"/>
    <s v="M"/>
    <n v="0"/>
    <n v="0"/>
    <n v="0"/>
    <n v="0"/>
    <x v="105"/>
    <x v="1"/>
    <x v="2"/>
    <n v="-113.52"/>
  </r>
  <r>
    <n v="3438"/>
    <x v="1"/>
    <x v="1"/>
    <x v="15"/>
    <s v="M"/>
    <n v="3"/>
    <n v="0"/>
    <n v="0.18"/>
    <n v="0"/>
    <x v="323"/>
    <x v="1"/>
    <x v="1"/>
    <n v="1669.74"/>
  </r>
  <r>
    <n v="2043"/>
    <x v="0"/>
    <x v="3"/>
    <x v="4"/>
    <s v="M"/>
    <n v="0"/>
    <n v="5395.6"/>
    <n v="0.06"/>
    <n v="0"/>
    <x v="21"/>
    <x v="0"/>
    <x v="4"/>
    <n v="2992.96"/>
  </r>
  <r>
    <n v="3440"/>
    <x v="0"/>
    <x v="2"/>
    <x v="7"/>
    <s v="M"/>
    <n v="3"/>
    <n v="0"/>
    <n v="0"/>
    <n v="0"/>
    <x v="21"/>
    <x v="0"/>
    <x v="2"/>
    <n v="-510.72"/>
  </r>
  <r>
    <n v="3441"/>
    <x v="0"/>
    <x v="3"/>
    <x v="11"/>
    <s v="M"/>
    <n v="2"/>
    <n v="9313.98"/>
    <n v="0"/>
    <n v="0"/>
    <x v="184"/>
    <x v="1"/>
    <x v="4"/>
    <n v="3301.27"/>
  </r>
  <r>
    <n v="3442"/>
    <x v="0"/>
    <x v="4"/>
    <x v="13"/>
    <s v="XL"/>
    <n v="4"/>
    <n v="0"/>
    <n v="0"/>
    <n v="0"/>
    <x v="431"/>
    <x v="0"/>
    <x v="2"/>
    <n v="3129.5"/>
  </r>
  <r>
    <n v="3443"/>
    <x v="0"/>
    <x v="4"/>
    <x v="13"/>
    <s v="M"/>
    <n v="0"/>
    <n v="2989.01"/>
    <n v="0"/>
    <n v="0"/>
    <x v="431"/>
    <x v="1"/>
    <x v="2"/>
    <n v="3549.06"/>
  </r>
  <r>
    <n v="3444"/>
    <x v="2"/>
    <x v="4"/>
    <x v="19"/>
    <s v="L"/>
    <n v="0"/>
    <n v="0"/>
    <n v="0"/>
    <n v="0"/>
    <x v="71"/>
    <x v="0"/>
    <x v="5"/>
    <n v="-382.31"/>
  </r>
  <r>
    <n v="3445"/>
    <x v="2"/>
    <x v="2"/>
    <x v="3"/>
    <s v="M"/>
    <n v="-1"/>
    <n v="4693.8100000000004"/>
    <n v="0"/>
    <n v="0"/>
    <x v="71"/>
    <x v="1"/>
    <x v="0"/>
    <n v="3658.04"/>
  </r>
  <r>
    <n v="3446"/>
    <x v="2"/>
    <x v="2"/>
    <x v="17"/>
    <s v="M"/>
    <n v="0"/>
    <n v="0"/>
    <n v="0"/>
    <n v="0"/>
    <x v="347"/>
    <x v="1"/>
    <x v="0"/>
    <n v="1680.5"/>
  </r>
  <r>
    <n v="3447"/>
    <x v="1"/>
    <x v="4"/>
    <x v="19"/>
    <s v="M"/>
    <n v="0"/>
    <n v="0"/>
    <n v="0"/>
    <n v="0"/>
    <x v="364"/>
    <x v="1"/>
    <x v="1"/>
    <n v="1860.15"/>
  </r>
  <r>
    <n v="3450"/>
    <x v="2"/>
    <x v="3"/>
    <x v="4"/>
    <s v="M"/>
    <n v="3"/>
    <n v="0"/>
    <n v="0"/>
    <n v="0"/>
    <x v="124"/>
    <x v="1"/>
    <x v="0"/>
    <n v="904.82"/>
  </r>
  <r>
    <n v="3451"/>
    <x v="2"/>
    <x v="0"/>
    <x v="0"/>
    <s v="M"/>
    <n v="0"/>
    <n v="0"/>
    <n v="0"/>
    <n v="0"/>
    <x v="355"/>
    <x v="1"/>
    <x v="2"/>
    <n v="720.76"/>
  </r>
  <r>
    <n v="3452"/>
    <x v="2"/>
    <x v="0"/>
    <x v="0"/>
    <s v="M"/>
    <n v="0"/>
    <n v="0"/>
    <n v="0"/>
    <n v="0"/>
    <x v="265"/>
    <x v="0"/>
    <x v="4"/>
    <n v="1239.1099999999999"/>
  </r>
  <r>
    <n v="3454"/>
    <x v="0"/>
    <x v="4"/>
    <x v="13"/>
    <s v="XL"/>
    <n v="2"/>
    <n v="0"/>
    <n v="0"/>
    <n v="0"/>
    <x v="265"/>
    <x v="0"/>
    <x v="4"/>
    <n v="2313.9499999999998"/>
  </r>
  <r>
    <n v="3456"/>
    <x v="1"/>
    <x v="4"/>
    <x v="8"/>
    <s v="M"/>
    <n v="-1"/>
    <n v="3011.32"/>
    <n v="0"/>
    <n v="0"/>
    <x v="265"/>
    <x v="0"/>
    <x v="4"/>
    <n v="2531.2199999999998"/>
  </r>
  <r>
    <n v="3457"/>
    <x v="1"/>
    <x v="0"/>
    <x v="5"/>
    <s v="M"/>
    <n v="0"/>
    <n v="0"/>
    <n v="0.81"/>
    <n v="0"/>
    <x v="181"/>
    <x v="0"/>
    <x v="3"/>
    <n v="3777.72"/>
  </r>
  <r>
    <n v="3460"/>
    <x v="1"/>
    <x v="3"/>
    <x v="4"/>
    <s v="XL"/>
    <n v="0"/>
    <n v="5403.67"/>
    <n v="0"/>
    <n v="0"/>
    <x v="181"/>
    <x v="0"/>
    <x v="3"/>
    <n v="1372.6"/>
  </r>
  <r>
    <n v="2004"/>
    <x v="0"/>
    <x v="3"/>
    <x v="11"/>
    <s v="M"/>
    <n v="1"/>
    <n v="0"/>
    <n v="0"/>
    <n v="0"/>
    <x v="181"/>
    <x v="0"/>
    <x v="1"/>
    <n v="2588.88"/>
  </r>
  <r>
    <n v="3463"/>
    <x v="1"/>
    <x v="1"/>
    <x v="15"/>
    <s v="M"/>
    <n v="1"/>
    <n v="0"/>
    <n v="0"/>
    <n v="0"/>
    <x v="181"/>
    <x v="1"/>
    <x v="3"/>
    <n v="1853.7"/>
  </r>
  <r>
    <n v="3464"/>
    <x v="0"/>
    <x v="0"/>
    <x v="5"/>
    <s v="XL"/>
    <n v="0"/>
    <n v="3362.64"/>
    <n v="0"/>
    <n v="0"/>
    <x v="181"/>
    <x v="0"/>
    <x v="0"/>
    <n v="1587.01"/>
  </r>
  <r>
    <n v="3467"/>
    <x v="2"/>
    <x v="2"/>
    <x v="18"/>
    <s v="M"/>
    <n v="2"/>
    <n v="0"/>
    <n v="0"/>
    <n v="0"/>
    <x v="312"/>
    <x v="0"/>
    <x v="0"/>
    <n v="1472.83"/>
  </r>
  <r>
    <n v="3469"/>
    <x v="0"/>
    <x v="3"/>
    <x v="10"/>
    <s v="M"/>
    <n v="1"/>
    <n v="4590.24"/>
    <n v="0"/>
    <n v="0"/>
    <x v="126"/>
    <x v="0"/>
    <x v="2"/>
    <n v="3792.66"/>
  </r>
  <r>
    <n v="3470"/>
    <x v="0"/>
    <x v="1"/>
    <x v="1"/>
    <s v="M"/>
    <n v="0"/>
    <n v="0"/>
    <n v="0"/>
    <n v="0"/>
    <x v="207"/>
    <x v="0"/>
    <x v="5"/>
    <n v="284.95999999999998"/>
  </r>
  <r>
    <n v="3471"/>
    <x v="0"/>
    <x v="2"/>
    <x v="7"/>
    <s v="L"/>
    <n v="0"/>
    <n v="5637.46"/>
    <n v="0"/>
    <n v="0"/>
    <x v="155"/>
    <x v="1"/>
    <x v="5"/>
    <n v="-364.01"/>
  </r>
  <r>
    <n v="3472"/>
    <x v="2"/>
    <x v="4"/>
    <x v="8"/>
    <s v="XL"/>
    <n v="0"/>
    <n v="0"/>
    <n v="0"/>
    <n v="0"/>
    <x v="84"/>
    <x v="0"/>
    <x v="1"/>
    <n v="1750.67"/>
  </r>
  <r>
    <n v="3473"/>
    <x v="0"/>
    <x v="1"/>
    <x v="2"/>
    <s v="M"/>
    <n v="4"/>
    <n v="3551.05"/>
    <n v="0"/>
    <n v="0"/>
    <x v="437"/>
    <x v="0"/>
    <x v="4"/>
    <n v="63.47"/>
  </r>
  <r>
    <n v="3474"/>
    <x v="1"/>
    <x v="4"/>
    <x v="19"/>
    <s v="M"/>
    <n v="2"/>
    <n v="6506.07"/>
    <n v="0"/>
    <n v="0"/>
    <x v="437"/>
    <x v="1"/>
    <x v="1"/>
    <n v="3969.54"/>
  </r>
  <r>
    <n v="3475"/>
    <x v="0"/>
    <x v="1"/>
    <x v="1"/>
    <s v="L"/>
    <n v="1"/>
    <n v="2120.44"/>
    <n v="0"/>
    <n v="0"/>
    <x v="176"/>
    <x v="0"/>
    <x v="2"/>
    <n v="2996.47"/>
  </r>
  <r>
    <n v="3476"/>
    <x v="2"/>
    <x v="0"/>
    <x v="5"/>
    <s v="M"/>
    <n v="0"/>
    <n v="3891.22"/>
    <n v="0.37"/>
    <n v="0"/>
    <x v="275"/>
    <x v="1"/>
    <x v="2"/>
    <n v="1881.61"/>
  </r>
  <r>
    <n v="3477"/>
    <x v="2"/>
    <x v="4"/>
    <x v="8"/>
    <s v="M"/>
    <n v="2"/>
    <n v="4135.26"/>
    <n v="0"/>
    <n v="0"/>
    <x v="326"/>
    <x v="0"/>
    <x v="4"/>
    <n v="1691.28"/>
  </r>
  <r>
    <n v="3478"/>
    <x v="0"/>
    <x v="0"/>
    <x v="5"/>
    <s v="M"/>
    <n v="0"/>
    <n v="0"/>
    <n v="0"/>
    <n v="0"/>
    <x v="106"/>
    <x v="1"/>
    <x v="2"/>
    <n v="2192.6799999999998"/>
  </r>
  <r>
    <n v="3479"/>
    <x v="1"/>
    <x v="0"/>
    <x v="14"/>
    <s v="XL"/>
    <n v="4"/>
    <n v="0"/>
    <n v="0"/>
    <n v="0"/>
    <x v="336"/>
    <x v="1"/>
    <x v="2"/>
    <n v="1909.78"/>
  </r>
  <r>
    <n v="3480"/>
    <x v="0"/>
    <x v="3"/>
    <x v="11"/>
    <s v="M"/>
    <n v="4"/>
    <n v="2917.45"/>
    <n v="0"/>
    <n v="0"/>
    <x v="336"/>
    <x v="0"/>
    <x v="0"/>
    <n v="2872.75"/>
  </r>
  <r>
    <n v="3481"/>
    <x v="1"/>
    <x v="2"/>
    <x v="18"/>
    <s v="XL"/>
    <n v="4"/>
    <n v="0"/>
    <n v="0"/>
    <n v="0"/>
    <x v="438"/>
    <x v="0"/>
    <x v="0"/>
    <n v="2564.61"/>
  </r>
  <r>
    <n v="3482"/>
    <x v="2"/>
    <x v="1"/>
    <x v="6"/>
    <s v="M"/>
    <n v="0"/>
    <n v="0"/>
    <n v="0"/>
    <n v="0"/>
    <x v="171"/>
    <x v="0"/>
    <x v="1"/>
    <n v="1660.47"/>
  </r>
  <r>
    <n v="3483"/>
    <x v="2"/>
    <x v="2"/>
    <x v="18"/>
    <s v="L"/>
    <n v="4"/>
    <n v="4733.92"/>
    <n v="0"/>
    <n v="0"/>
    <x v="354"/>
    <x v="0"/>
    <x v="5"/>
    <n v="738.19"/>
  </r>
  <r>
    <n v="3484"/>
    <x v="0"/>
    <x v="2"/>
    <x v="17"/>
    <s v="M"/>
    <n v="0"/>
    <n v="2638.44"/>
    <n v="0"/>
    <n v="0"/>
    <x v="439"/>
    <x v="0"/>
    <x v="0"/>
    <n v="1395.41"/>
  </r>
  <r>
    <n v="3486"/>
    <x v="0"/>
    <x v="0"/>
    <x v="0"/>
    <s v="L"/>
    <n v="4"/>
    <n v="0"/>
    <n v="0"/>
    <n v="0"/>
    <x v="296"/>
    <x v="1"/>
    <x v="4"/>
    <n v="1451.77"/>
  </r>
  <r>
    <n v="3487"/>
    <x v="2"/>
    <x v="2"/>
    <x v="17"/>
    <s v="M"/>
    <n v="0"/>
    <n v="3240.99"/>
    <n v="0.42"/>
    <n v="0"/>
    <x v="228"/>
    <x v="0"/>
    <x v="1"/>
    <n v="2927.35"/>
  </r>
  <r>
    <n v="3488"/>
    <x v="1"/>
    <x v="1"/>
    <x v="1"/>
    <s v="XL"/>
    <n v="4"/>
    <n v="0"/>
    <n v="0"/>
    <n v="0"/>
    <x v="365"/>
    <x v="0"/>
    <x v="5"/>
    <n v="86.25"/>
  </r>
  <r>
    <n v="3489"/>
    <x v="0"/>
    <x v="3"/>
    <x v="4"/>
    <s v="M"/>
    <n v="2"/>
    <n v="0"/>
    <n v="0"/>
    <n v="0"/>
    <x v="160"/>
    <x v="0"/>
    <x v="2"/>
    <n v="1734.72"/>
  </r>
  <r>
    <n v="3490"/>
    <x v="2"/>
    <x v="3"/>
    <x v="11"/>
    <s v="L"/>
    <n v="0"/>
    <n v="0"/>
    <n v="0.98"/>
    <n v="0"/>
    <x v="194"/>
    <x v="0"/>
    <x v="4"/>
    <n v="1591.77"/>
  </r>
  <r>
    <n v="3491"/>
    <x v="2"/>
    <x v="1"/>
    <x v="2"/>
    <s v="XL"/>
    <n v="0"/>
    <n v="0"/>
    <n v="0.39"/>
    <n v="0"/>
    <x v="417"/>
    <x v="0"/>
    <x v="2"/>
    <n v="-473.94"/>
  </r>
  <r>
    <n v="2018"/>
    <x v="1"/>
    <x v="1"/>
    <x v="15"/>
    <s v="M"/>
    <n v="0"/>
    <n v="0"/>
    <n v="0"/>
    <n v="0"/>
    <x v="440"/>
    <x v="0"/>
    <x v="0"/>
    <n v="-777.58"/>
  </r>
  <r>
    <n v="3495"/>
    <x v="1"/>
    <x v="4"/>
    <x v="19"/>
    <s v="M"/>
    <n v="-1"/>
    <n v="0"/>
    <n v="0"/>
    <n v="0"/>
    <x v="441"/>
    <x v="1"/>
    <x v="3"/>
    <n v="3572.8"/>
  </r>
  <r>
    <n v="3496"/>
    <x v="2"/>
    <x v="3"/>
    <x v="10"/>
    <s v="M"/>
    <n v="3"/>
    <n v="0"/>
    <n v="0.77"/>
    <n v="0"/>
    <x v="29"/>
    <x v="1"/>
    <x v="4"/>
    <n v="-786.91"/>
  </r>
  <r>
    <n v="3497"/>
    <x v="1"/>
    <x v="4"/>
    <x v="13"/>
    <s v="L"/>
    <n v="2"/>
    <n v="8688.92"/>
    <n v="0"/>
    <n v="0"/>
    <x v="442"/>
    <x v="0"/>
    <x v="2"/>
    <n v="1878.22"/>
  </r>
  <r>
    <n v="3498"/>
    <x v="1"/>
    <x v="0"/>
    <x v="0"/>
    <s v="M"/>
    <n v="0"/>
    <n v="8797.69"/>
    <n v="0"/>
    <n v="0"/>
    <x v="36"/>
    <x v="1"/>
    <x v="3"/>
    <n v="-910.3"/>
  </r>
  <r>
    <n v="3500"/>
    <x v="0"/>
    <x v="2"/>
    <x v="3"/>
    <s v="L"/>
    <n v="0"/>
    <n v="5471.81"/>
    <n v="0.56000000000000005"/>
    <n v="0"/>
    <x v="346"/>
    <x v="1"/>
    <x v="5"/>
    <n v="361.86"/>
  </r>
  <r>
    <n v="3502"/>
    <x v="2"/>
    <x v="2"/>
    <x v="3"/>
    <s v="L"/>
    <n v="0"/>
    <n v="6418.29"/>
    <n v="0.89"/>
    <n v="0"/>
    <x v="443"/>
    <x v="0"/>
    <x v="4"/>
    <n v="3665.75"/>
  </r>
  <r>
    <n v="3503"/>
    <x v="2"/>
    <x v="0"/>
    <x v="0"/>
    <s v="M"/>
    <n v="0"/>
    <n v="6992.17"/>
    <n v="0"/>
    <n v="0"/>
    <x v="328"/>
    <x v="0"/>
    <x v="2"/>
    <n v="-1048.24"/>
  </r>
  <r>
    <n v="2020"/>
    <x v="0"/>
    <x v="2"/>
    <x v="3"/>
    <s v="XL"/>
    <n v="0"/>
    <n v="7126.64"/>
    <n v="0.89"/>
    <n v="0"/>
    <x v="226"/>
    <x v="1"/>
    <x v="4"/>
    <n v="535.13"/>
  </r>
  <r>
    <n v="3506"/>
    <x v="2"/>
    <x v="0"/>
    <x v="9"/>
    <s v="L"/>
    <n v="0"/>
    <n v="9701.91"/>
    <n v="0.51"/>
    <n v="0"/>
    <x v="226"/>
    <x v="0"/>
    <x v="3"/>
    <n v="2393.61"/>
  </r>
  <r>
    <n v="3507"/>
    <x v="0"/>
    <x v="3"/>
    <x v="11"/>
    <s v="M"/>
    <n v="0"/>
    <n v="0"/>
    <n v="0.05"/>
    <n v="0"/>
    <x v="226"/>
    <x v="1"/>
    <x v="2"/>
    <n v="11.97"/>
  </r>
  <r>
    <n v="3509"/>
    <x v="0"/>
    <x v="2"/>
    <x v="3"/>
    <s v="M"/>
    <n v="0"/>
    <n v="2066.04"/>
    <n v="0"/>
    <n v="0"/>
    <x v="325"/>
    <x v="0"/>
    <x v="2"/>
    <n v="2278.11"/>
  </r>
  <r>
    <n v="3510"/>
    <x v="2"/>
    <x v="1"/>
    <x v="1"/>
    <s v="M"/>
    <n v="0"/>
    <n v="0"/>
    <n v="0"/>
    <n v="0"/>
    <x v="225"/>
    <x v="1"/>
    <x v="1"/>
    <n v="3445.21"/>
  </r>
  <r>
    <n v="3511"/>
    <x v="0"/>
    <x v="2"/>
    <x v="3"/>
    <s v="XL"/>
    <n v="0"/>
    <n v="3248.17"/>
    <n v="0.06"/>
    <n v="0"/>
    <x v="80"/>
    <x v="1"/>
    <x v="1"/>
    <n v="877.12"/>
  </r>
  <r>
    <n v="3512"/>
    <x v="0"/>
    <x v="4"/>
    <x v="13"/>
    <s v="M"/>
    <n v="4"/>
    <n v="0"/>
    <n v="0.96"/>
    <n v="0"/>
    <x v="166"/>
    <x v="1"/>
    <x v="3"/>
    <n v="2516.79"/>
  </r>
  <r>
    <n v="3514"/>
    <x v="0"/>
    <x v="3"/>
    <x v="4"/>
    <s v="M"/>
    <n v="0"/>
    <n v="6546.46"/>
    <n v="0"/>
    <n v="0"/>
    <x v="15"/>
    <x v="1"/>
    <x v="1"/>
    <n v="2804.16"/>
  </r>
  <r>
    <n v="3515"/>
    <x v="2"/>
    <x v="0"/>
    <x v="5"/>
    <s v="XL"/>
    <n v="0"/>
    <n v="2604.11"/>
    <n v="0.9"/>
    <n v="0"/>
    <x v="15"/>
    <x v="0"/>
    <x v="5"/>
    <n v="699.6"/>
  </r>
  <r>
    <n v="3516"/>
    <x v="2"/>
    <x v="0"/>
    <x v="14"/>
    <s v="M"/>
    <n v="0"/>
    <n v="7495.24"/>
    <n v="0.42"/>
    <n v="0"/>
    <x v="15"/>
    <x v="0"/>
    <x v="3"/>
    <n v="3844.73"/>
  </r>
  <r>
    <n v="3518"/>
    <x v="1"/>
    <x v="4"/>
    <x v="8"/>
    <s v="XL"/>
    <n v="0"/>
    <n v="0"/>
    <n v="0"/>
    <n v="0"/>
    <x v="301"/>
    <x v="1"/>
    <x v="4"/>
    <n v="3047.69"/>
  </r>
  <r>
    <n v="3520"/>
    <x v="1"/>
    <x v="2"/>
    <x v="7"/>
    <s v="XL"/>
    <n v="2"/>
    <n v="2080.85"/>
    <n v="1.24"/>
    <n v="-998.81"/>
    <x v="444"/>
    <x v="1"/>
    <x v="4"/>
    <n v="-776.21"/>
  </r>
  <r>
    <n v="3521"/>
    <x v="1"/>
    <x v="0"/>
    <x v="14"/>
    <s v="M"/>
    <n v="0"/>
    <n v="8565.24"/>
    <n v="0"/>
    <n v="0"/>
    <x v="444"/>
    <x v="0"/>
    <x v="5"/>
    <n v="3721.9"/>
  </r>
  <r>
    <n v="2002"/>
    <x v="1"/>
    <x v="4"/>
    <x v="13"/>
    <s v="M"/>
    <n v="0"/>
    <n v="9041.15"/>
    <n v="0.44"/>
    <n v="0"/>
    <x v="444"/>
    <x v="1"/>
    <x v="5"/>
    <n v="1597.12"/>
  </r>
  <r>
    <n v="3523"/>
    <x v="0"/>
    <x v="0"/>
    <x v="0"/>
    <s v="M"/>
    <n v="0"/>
    <n v="7061.5"/>
    <n v="1.04"/>
    <n v="0"/>
    <x v="445"/>
    <x v="1"/>
    <x v="5"/>
    <n v="825.03"/>
  </r>
  <r>
    <n v="3524"/>
    <x v="0"/>
    <x v="0"/>
    <x v="0"/>
    <s v="M"/>
    <n v="0"/>
    <n v="0"/>
    <n v="0"/>
    <n v="0"/>
    <x v="158"/>
    <x v="0"/>
    <x v="2"/>
    <n v="1646.1"/>
  </r>
  <r>
    <n v="3528"/>
    <x v="0"/>
    <x v="3"/>
    <x v="4"/>
    <s v="L"/>
    <n v="0"/>
    <n v="3742.67"/>
    <n v="0"/>
    <n v="0"/>
    <x v="145"/>
    <x v="1"/>
    <x v="1"/>
    <n v="2662.77"/>
  </r>
  <r>
    <n v="3529"/>
    <x v="2"/>
    <x v="0"/>
    <x v="0"/>
    <s v="L"/>
    <n v="1"/>
    <n v="0"/>
    <n v="0.2"/>
    <n v="0"/>
    <x v="10"/>
    <x v="1"/>
    <x v="4"/>
    <n v="1448.77"/>
  </r>
  <r>
    <n v="3532"/>
    <x v="0"/>
    <x v="3"/>
    <x v="4"/>
    <s v="XL"/>
    <n v="0"/>
    <n v="9244.9599999999991"/>
    <n v="0.47"/>
    <n v="0"/>
    <x v="446"/>
    <x v="0"/>
    <x v="2"/>
    <n v="-955.19"/>
  </r>
  <r>
    <n v="3533"/>
    <x v="0"/>
    <x v="3"/>
    <x v="10"/>
    <s v="L"/>
    <n v="0"/>
    <n v="0"/>
    <n v="0"/>
    <n v="0"/>
    <x v="220"/>
    <x v="1"/>
    <x v="1"/>
    <n v="451.71"/>
  </r>
  <r>
    <n v="3535"/>
    <x v="0"/>
    <x v="4"/>
    <x v="19"/>
    <s v="XL"/>
    <n v="0"/>
    <n v="6302.89"/>
    <n v="0.82"/>
    <n v="0"/>
    <x v="53"/>
    <x v="1"/>
    <x v="3"/>
    <n v="169.86"/>
  </r>
  <r>
    <n v="3536"/>
    <x v="1"/>
    <x v="2"/>
    <x v="17"/>
    <s v="M"/>
    <n v="0"/>
    <n v="3929.3"/>
    <n v="0"/>
    <n v="0"/>
    <x v="447"/>
    <x v="1"/>
    <x v="0"/>
    <n v="3934.31"/>
  </r>
  <r>
    <n v="3537"/>
    <x v="2"/>
    <x v="2"/>
    <x v="3"/>
    <s v="XL"/>
    <n v="2"/>
    <n v="5464.07"/>
    <n v="1.01"/>
    <n v="-109.28"/>
    <x v="283"/>
    <x v="0"/>
    <x v="5"/>
    <n v="3170.78"/>
  </r>
  <r>
    <n v="3538"/>
    <x v="0"/>
    <x v="4"/>
    <x v="12"/>
    <s v="L"/>
    <n v="0"/>
    <n v="0"/>
    <n v="0"/>
    <n v="0"/>
    <x v="130"/>
    <x v="0"/>
    <x v="0"/>
    <n v="2787.81"/>
  </r>
  <r>
    <n v="3539"/>
    <x v="0"/>
    <x v="2"/>
    <x v="18"/>
    <s v="XL"/>
    <n v="3"/>
    <n v="7706.3"/>
    <n v="1.1499999999999999"/>
    <n v="-3467.83"/>
    <x v="130"/>
    <x v="1"/>
    <x v="1"/>
    <n v="2366.58"/>
  </r>
  <r>
    <n v="3540"/>
    <x v="0"/>
    <x v="0"/>
    <x v="5"/>
    <s v="XL"/>
    <n v="-1"/>
    <n v="9564.4"/>
    <n v="0"/>
    <n v="0"/>
    <x v="386"/>
    <x v="1"/>
    <x v="4"/>
    <n v="1850.13"/>
  </r>
  <r>
    <n v="3541"/>
    <x v="0"/>
    <x v="0"/>
    <x v="0"/>
    <s v="M"/>
    <n v="-1"/>
    <n v="3644.5"/>
    <n v="0"/>
    <n v="0"/>
    <x v="448"/>
    <x v="0"/>
    <x v="2"/>
    <n v="2011.76"/>
  </r>
  <r>
    <n v="3544"/>
    <x v="2"/>
    <x v="3"/>
    <x v="10"/>
    <s v="M"/>
    <n v="0"/>
    <n v="3923.39"/>
    <n v="0"/>
    <n v="0"/>
    <x v="448"/>
    <x v="1"/>
    <x v="5"/>
    <n v="-684.88"/>
  </r>
  <r>
    <n v="3545"/>
    <x v="2"/>
    <x v="0"/>
    <x v="5"/>
    <s v="M"/>
    <n v="3"/>
    <n v="0"/>
    <n v="0"/>
    <n v="0"/>
    <x v="361"/>
    <x v="0"/>
    <x v="4"/>
    <n v="2239.86"/>
  </r>
  <r>
    <n v="3546"/>
    <x v="2"/>
    <x v="2"/>
    <x v="7"/>
    <s v="L"/>
    <n v="0"/>
    <n v="0"/>
    <n v="0"/>
    <n v="0"/>
    <x v="361"/>
    <x v="1"/>
    <x v="4"/>
    <n v="945.11"/>
  </r>
  <r>
    <n v="3547"/>
    <x v="0"/>
    <x v="1"/>
    <x v="1"/>
    <s v="XL"/>
    <n v="4"/>
    <n v="0"/>
    <n v="0"/>
    <n v="0"/>
    <x v="361"/>
    <x v="0"/>
    <x v="4"/>
    <n v="2157.7399999999998"/>
  </r>
  <r>
    <n v="3549"/>
    <x v="0"/>
    <x v="0"/>
    <x v="0"/>
    <s v="L"/>
    <n v="0"/>
    <n v="4493.0200000000004"/>
    <n v="0.81"/>
    <n v="0"/>
    <x v="361"/>
    <x v="0"/>
    <x v="2"/>
    <n v="14.79"/>
  </r>
  <r>
    <n v="3550"/>
    <x v="1"/>
    <x v="2"/>
    <x v="18"/>
    <s v="M"/>
    <n v="0"/>
    <n v="8645.09"/>
    <n v="0"/>
    <n v="0"/>
    <x v="361"/>
    <x v="0"/>
    <x v="0"/>
    <n v="3289.86"/>
  </r>
  <r>
    <n v="3551"/>
    <x v="1"/>
    <x v="0"/>
    <x v="0"/>
    <s v="M"/>
    <n v="0"/>
    <n v="9948.15"/>
    <n v="1.1200000000000001"/>
    <n v="0"/>
    <x v="449"/>
    <x v="1"/>
    <x v="5"/>
    <n v="-259.16000000000003"/>
  </r>
  <r>
    <n v="3552"/>
    <x v="2"/>
    <x v="3"/>
    <x v="4"/>
    <s v="XL"/>
    <n v="4"/>
    <n v="0"/>
    <n v="0"/>
    <n v="0"/>
    <x v="106"/>
    <x v="1"/>
    <x v="2"/>
    <n v="762.95"/>
  </r>
  <r>
    <n v="3553"/>
    <x v="1"/>
    <x v="3"/>
    <x v="10"/>
    <s v="XL"/>
    <n v="2"/>
    <n v="5216.2700000000004"/>
    <n v="0"/>
    <n v="0"/>
    <x v="275"/>
    <x v="0"/>
    <x v="3"/>
    <n v="-720.87"/>
  </r>
  <r>
    <n v="3554"/>
    <x v="2"/>
    <x v="1"/>
    <x v="2"/>
    <s v="L"/>
    <n v="0"/>
    <n v="0"/>
    <n v="0"/>
    <n v="0"/>
    <x v="275"/>
    <x v="1"/>
    <x v="0"/>
    <n v="2052.71"/>
  </r>
  <r>
    <n v="3555"/>
    <x v="0"/>
    <x v="1"/>
    <x v="15"/>
    <s v="M"/>
    <n v="2"/>
    <n v="0"/>
    <n v="0"/>
    <n v="0"/>
    <x v="49"/>
    <x v="1"/>
    <x v="1"/>
    <n v="-1069.25"/>
  </r>
  <r>
    <n v="3556"/>
    <x v="1"/>
    <x v="4"/>
    <x v="12"/>
    <s v="M"/>
    <n v="4"/>
    <n v="0"/>
    <n v="0"/>
    <n v="0"/>
    <x v="312"/>
    <x v="1"/>
    <x v="5"/>
    <n v="-843.61"/>
  </r>
  <r>
    <n v="3557"/>
    <x v="0"/>
    <x v="4"/>
    <x v="8"/>
    <s v="L"/>
    <n v="1"/>
    <n v="0"/>
    <n v="0.66"/>
    <n v="0"/>
    <x v="108"/>
    <x v="1"/>
    <x v="1"/>
    <n v="-884.81"/>
  </r>
  <r>
    <n v="3558"/>
    <x v="1"/>
    <x v="0"/>
    <x v="5"/>
    <s v="L"/>
    <n v="4"/>
    <n v="4045.21"/>
    <n v="0"/>
    <n v="0"/>
    <x v="60"/>
    <x v="0"/>
    <x v="2"/>
    <n v="-113.44"/>
  </r>
  <r>
    <n v="3559"/>
    <x v="1"/>
    <x v="3"/>
    <x v="16"/>
    <s v="M"/>
    <n v="0"/>
    <n v="0"/>
    <n v="0"/>
    <n v="0"/>
    <x v="60"/>
    <x v="0"/>
    <x v="4"/>
    <n v="-787.01"/>
  </r>
  <r>
    <n v="3561"/>
    <x v="1"/>
    <x v="4"/>
    <x v="13"/>
    <s v="M"/>
    <n v="0"/>
    <n v="0"/>
    <n v="0"/>
    <n v="0"/>
    <x v="450"/>
    <x v="0"/>
    <x v="5"/>
    <n v="1062.3900000000001"/>
  </r>
  <r>
    <n v="3563"/>
    <x v="0"/>
    <x v="3"/>
    <x v="16"/>
    <s v="L"/>
    <n v="0"/>
    <n v="2470.4299999999998"/>
    <n v="0"/>
    <n v="0"/>
    <x v="450"/>
    <x v="0"/>
    <x v="5"/>
    <n v="233.05"/>
  </r>
  <r>
    <n v="3564"/>
    <x v="0"/>
    <x v="1"/>
    <x v="2"/>
    <s v="M"/>
    <n v="0"/>
    <n v="0"/>
    <n v="0"/>
    <n v="0"/>
    <x v="450"/>
    <x v="1"/>
    <x v="5"/>
    <n v="2685.43"/>
  </r>
  <r>
    <n v="3565"/>
    <x v="0"/>
    <x v="4"/>
    <x v="12"/>
    <s v="XL"/>
    <n v="0"/>
    <n v="0"/>
    <n v="0.55000000000000004"/>
    <n v="0"/>
    <x v="451"/>
    <x v="0"/>
    <x v="5"/>
    <n v="3851.81"/>
  </r>
  <r>
    <n v="3566"/>
    <x v="2"/>
    <x v="2"/>
    <x v="7"/>
    <s v="XL"/>
    <n v="0"/>
    <n v="0"/>
    <n v="0"/>
    <n v="0"/>
    <x v="130"/>
    <x v="1"/>
    <x v="1"/>
    <n v="2315.64"/>
  </r>
  <r>
    <n v="3567"/>
    <x v="2"/>
    <x v="2"/>
    <x v="18"/>
    <s v="L"/>
    <n v="2"/>
    <n v="0"/>
    <n v="0.56000000000000005"/>
    <n v="0"/>
    <x v="130"/>
    <x v="0"/>
    <x v="5"/>
    <n v="1353.32"/>
  </r>
  <r>
    <n v="3568"/>
    <x v="1"/>
    <x v="3"/>
    <x v="16"/>
    <s v="L"/>
    <n v="0"/>
    <n v="6099.8"/>
    <n v="1.2"/>
    <n v="0"/>
    <x v="130"/>
    <x v="1"/>
    <x v="3"/>
    <n v="1494.24"/>
  </r>
  <r>
    <n v="3569"/>
    <x v="1"/>
    <x v="1"/>
    <x v="15"/>
    <s v="M"/>
    <n v="0"/>
    <n v="9203"/>
    <n v="0"/>
    <n v="0"/>
    <x v="370"/>
    <x v="0"/>
    <x v="5"/>
    <n v="1797.66"/>
  </r>
  <r>
    <n v="3571"/>
    <x v="0"/>
    <x v="4"/>
    <x v="19"/>
    <s v="XL"/>
    <n v="0"/>
    <n v="7596.71"/>
    <n v="0"/>
    <n v="0"/>
    <x v="370"/>
    <x v="0"/>
    <x v="4"/>
    <n v="166.47"/>
  </r>
  <r>
    <n v="3572"/>
    <x v="0"/>
    <x v="4"/>
    <x v="19"/>
    <s v="M"/>
    <n v="0"/>
    <n v="0"/>
    <n v="0"/>
    <n v="0"/>
    <x v="370"/>
    <x v="1"/>
    <x v="4"/>
    <n v="3729.45"/>
  </r>
  <r>
    <n v="3574"/>
    <x v="0"/>
    <x v="4"/>
    <x v="8"/>
    <s v="XL"/>
    <n v="0"/>
    <n v="0"/>
    <n v="0.96"/>
    <n v="0"/>
    <x v="251"/>
    <x v="0"/>
    <x v="0"/>
    <n v="2589"/>
  </r>
  <r>
    <n v="3575"/>
    <x v="1"/>
    <x v="3"/>
    <x v="4"/>
    <s v="XL"/>
    <n v="0"/>
    <n v="5716.18"/>
    <n v="1.1000000000000001"/>
    <n v="0"/>
    <x v="57"/>
    <x v="1"/>
    <x v="3"/>
    <n v="3271.27"/>
  </r>
  <r>
    <n v="3576"/>
    <x v="1"/>
    <x v="2"/>
    <x v="7"/>
    <s v="M"/>
    <n v="2"/>
    <n v="3533.18"/>
    <n v="0"/>
    <n v="0"/>
    <x v="369"/>
    <x v="1"/>
    <x v="0"/>
    <n v="-586.23"/>
  </r>
  <r>
    <n v="3577"/>
    <x v="1"/>
    <x v="3"/>
    <x v="16"/>
    <s v="XL"/>
    <n v="0"/>
    <n v="0"/>
    <n v="0"/>
    <n v="0"/>
    <x v="417"/>
    <x v="0"/>
    <x v="5"/>
    <n v="102.77"/>
  </r>
  <r>
    <n v="3578"/>
    <x v="2"/>
    <x v="2"/>
    <x v="3"/>
    <s v="XL"/>
    <n v="4"/>
    <n v="6348.19"/>
    <n v="0"/>
    <n v="0"/>
    <x v="417"/>
    <x v="1"/>
    <x v="1"/>
    <n v="1939.74"/>
  </r>
  <r>
    <n v="3579"/>
    <x v="2"/>
    <x v="4"/>
    <x v="19"/>
    <s v="XL"/>
    <n v="0"/>
    <n v="9995.5499999999993"/>
    <n v="0"/>
    <n v="0"/>
    <x v="337"/>
    <x v="1"/>
    <x v="4"/>
    <n v="1962.41"/>
  </r>
  <r>
    <n v="3581"/>
    <x v="1"/>
    <x v="1"/>
    <x v="15"/>
    <s v="L"/>
    <n v="4"/>
    <n v="0"/>
    <n v="0"/>
    <n v="0"/>
    <x v="452"/>
    <x v="1"/>
    <x v="5"/>
    <n v="2178.0500000000002"/>
  </r>
  <r>
    <n v="3582"/>
    <x v="0"/>
    <x v="1"/>
    <x v="6"/>
    <s v="M"/>
    <n v="0"/>
    <n v="2117.04"/>
    <n v="0"/>
    <n v="0"/>
    <x v="339"/>
    <x v="0"/>
    <x v="3"/>
    <n v="806.52"/>
  </r>
  <r>
    <n v="3583"/>
    <x v="2"/>
    <x v="4"/>
    <x v="12"/>
    <s v="M"/>
    <n v="0"/>
    <n v="3153.32"/>
    <n v="0.02"/>
    <n v="0"/>
    <x v="339"/>
    <x v="0"/>
    <x v="0"/>
    <n v="204.06"/>
  </r>
  <r>
    <n v="3584"/>
    <x v="2"/>
    <x v="4"/>
    <x v="8"/>
    <s v="M"/>
    <n v="0"/>
    <n v="3500.16"/>
    <n v="0"/>
    <n v="0"/>
    <x v="453"/>
    <x v="0"/>
    <x v="5"/>
    <n v="-258.05"/>
  </r>
  <r>
    <n v="3585"/>
    <x v="2"/>
    <x v="3"/>
    <x v="10"/>
    <s v="XL"/>
    <n v="0"/>
    <n v="0"/>
    <n v="0.52"/>
    <n v="0"/>
    <x v="250"/>
    <x v="1"/>
    <x v="5"/>
    <n v="1263.9100000000001"/>
  </r>
  <r>
    <n v="3586"/>
    <x v="1"/>
    <x v="2"/>
    <x v="7"/>
    <s v="L"/>
    <n v="0"/>
    <n v="0"/>
    <n v="0"/>
    <n v="0"/>
    <x v="68"/>
    <x v="0"/>
    <x v="4"/>
    <n v="3579.64"/>
  </r>
  <r>
    <n v="3587"/>
    <x v="2"/>
    <x v="0"/>
    <x v="0"/>
    <s v="M"/>
    <n v="0"/>
    <n v="0"/>
    <n v="0"/>
    <n v="0"/>
    <x v="183"/>
    <x v="0"/>
    <x v="0"/>
    <n v="-1182.04"/>
  </r>
  <r>
    <n v="3588"/>
    <x v="2"/>
    <x v="2"/>
    <x v="7"/>
    <s v="L"/>
    <n v="0"/>
    <n v="7808.46"/>
    <n v="0"/>
    <n v="0"/>
    <x v="380"/>
    <x v="0"/>
    <x v="3"/>
    <n v="3190.87"/>
  </r>
  <r>
    <n v="3589"/>
    <x v="0"/>
    <x v="0"/>
    <x v="5"/>
    <s v="M"/>
    <n v="0"/>
    <n v="0"/>
    <n v="0"/>
    <n v="0"/>
    <x v="3"/>
    <x v="1"/>
    <x v="2"/>
    <n v="-247.69"/>
  </r>
  <r>
    <n v="3591"/>
    <x v="0"/>
    <x v="3"/>
    <x v="16"/>
    <s v="M"/>
    <n v="0"/>
    <n v="3718.65"/>
    <n v="1.1000000000000001"/>
    <n v="0"/>
    <x v="454"/>
    <x v="1"/>
    <x v="4"/>
    <n v="2210.66"/>
  </r>
  <r>
    <n v="3592"/>
    <x v="1"/>
    <x v="3"/>
    <x v="11"/>
    <s v="L"/>
    <n v="0"/>
    <n v="8609.0499999999993"/>
    <n v="0"/>
    <n v="0"/>
    <x v="283"/>
    <x v="1"/>
    <x v="5"/>
    <n v="1289.77"/>
  </r>
  <r>
    <n v="3593"/>
    <x v="1"/>
    <x v="4"/>
    <x v="8"/>
    <s v="L"/>
    <n v="0"/>
    <n v="6452.43"/>
    <n v="0"/>
    <n v="0"/>
    <x v="283"/>
    <x v="0"/>
    <x v="3"/>
    <n v="-1012.43"/>
  </r>
  <r>
    <n v="3595"/>
    <x v="0"/>
    <x v="3"/>
    <x v="10"/>
    <s v="L"/>
    <n v="0"/>
    <n v="6890.68"/>
    <n v="0"/>
    <n v="0"/>
    <x v="455"/>
    <x v="0"/>
    <x v="3"/>
    <n v="3385.84"/>
  </r>
  <r>
    <n v="3596"/>
    <x v="2"/>
    <x v="0"/>
    <x v="9"/>
    <s v="M"/>
    <n v="2"/>
    <n v="0"/>
    <n v="0"/>
    <n v="0"/>
    <x v="241"/>
    <x v="0"/>
    <x v="3"/>
    <n v="-66.97"/>
  </r>
  <r>
    <n v="3598"/>
    <x v="2"/>
    <x v="1"/>
    <x v="1"/>
    <s v="XL"/>
    <n v="1"/>
    <n v="0"/>
    <n v="0"/>
    <n v="0"/>
    <x v="241"/>
    <x v="0"/>
    <x v="4"/>
    <n v="-798.42"/>
  </r>
  <r>
    <n v="3599"/>
    <x v="0"/>
    <x v="0"/>
    <x v="5"/>
    <s v="L"/>
    <n v="0"/>
    <n v="0"/>
    <n v="0"/>
    <n v="0"/>
    <x v="241"/>
    <x v="0"/>
    <x v="3"/>
    <n v="-1041.33"/>
  </r>
  <r>
    <n v="3601"/>
    <x v="1"/>
    <x v="3"/>
    <x v="11"/>
    <s v="XL"/>
    <n v="2"/>
    <n v="4318.12"/>
    <n v="0"/>
    <n v="0"/>
    <x v="241"/>
    <x v="1"/>
    <x v="3"/>
    <n v="2730.68"/>
  </r>
  <r>
    <n v="3602"/>
    <x v="2"/>
    <x v="1"/>
    <x v="1"/>
    <s v="XL"/>
    <n v="-1"/>
    <n v="0"/>
    <n v="0"/>
    <n v="0"/>
    <x v="373"/>
    <x v="0"/>
    <x v="3"/>
    <n v="3731.9"/>
  </r>
  <r>
    <n v="2019"/>
    <x v="2"/>
    <x v="3"/>
    <x v="10"/>
    <s v="M"/>
    <n v="0"/>
    <n v="0"/>
    <n v="0"/>
    <n v="0"/>
    <x v="373"/>
    <x v="1"/>
    <x v="0"/>
    <n v="-229.65"/>
  </r>
  <r>
    <n v="3605"/>
    <x v="2"/>
    <x v="1"/>
    <x v="15"/>
    <s v="M"/>
    <n v="2"/>
    <n v="8837.76"/>
    <n v="0"/>
    <n v="0"/>
    <x v="246"/>
    <x v="0"/>
    <x v="1"/>
    <n v="1627.87"/>
  </r>
  <r>
    <n v="3606"/>
    <x v="1"/>
    <x v="4"/>
    <x v="19"/>
    <s v="XL"/>
    <n v="3"/>
    <n v="3515.86"/>
    <n v="0"/>
    <n v="0"/>
    <x v="456"/>
    <x v="1"/>
    <x v="3"/>
    <n v="-511.49"/>
  </r>
  <r>
    <n v="3608"/>
    <x v="2"/>
    <x v="1"/>
    <x v="2"/>
    <s v="XL"/>
    <n v="0"/>
    <n v="0"/>
    <n v="0"/>
    <n v="0"/>
    <x v="75"/>
    <x v="1"/>
    <x v="4"/>
    <n v="-610.17999999999995"/>
  </r>
  <r>
    <n v="3609"/>
    <x v="2"/>
    <x v="0"/>
    <x v="0"/>
    <s v="XL"/>
    <n v="0"/>
    <n v="0"/>
    <n v="0"/>
    <n v="0"/>
    <x v="43"/>
    <x v="0"/>
    <x v="4"/>
    <n v="-696.69"/>
  </r>
  <r>
    <n v="3610"/>
    <x v="0"/>
    <x v="2"/>
    <x v="17"/>
    <s v="M"/>
    <n v="2"/>
    <n v="0"/>
    <n v="0.64"/>
    <n v="0"/>
    <x v="457"/>
    <x v="0"/>
    <x v="5"/>
    <n v="-336.38"/>
  </r>
  <r>
    <n v="3612"/>
    <x v="1"/>
    <x v="3"/>
    <x v="10"/>
    <s v="XL"/>
    <n v="1"/>
    <n v="4632"/>
    <n v="0"/>
    <n v="0"/>
    <x v="372"/>
    <x v="0"/>
    <x v="2"/>
    <n v="2397.42"/>
  </r>
  <r>
    <n v="3613"/>
    <x v="2"/>
    <x v="2"/>
    <x v="3"/>
    <s v="XL"/>
    <n v="4"/>
    <n v="0"/>
    <n v="0"/>
    <n v="0"/>
    <x v="407"/>
    <x v="0"/>
    <x v="1"/>
    <n v="2136.73"/>
  </r>
  <r>
    <n v="3614"/>
    <x v="2"/>
    <x v="0"/>
    <x v="14"/>
    <s v="L"/>
    <n v="0"/>
    <n v="6186.3"/>
    <n v="0.22"/>
    <n v="0"/>
    <x v="260"/>
    <x v="0"/>
    <x v="3"/>
    <n v="2169.69"/>
  </r>
  <r>
    <n v="3616"/>
    <x v="0"/>
    <x v="2"/>
    <x v="3"/>
    <s v="L"/>
    <n v="1"/>
    <n v="9799.16"/>
    <n v="0"/>
    <n v="0"/>
    <x v="183"/>
    <x v="1"/>
    <x v="5"/>
    <n v="3969.15"/>
  </r>
  <r>
    <n v="3617"/>
    <x v="2"/>
    <x v="1"/>
    <x v="2"/>
    <s v="M"/>
    <n v="2"/>
    <n v="4694.37"/>
    <n v="0"/>
    <n v="0"/>
    <x v="341"/>
    <x v="0"/>
    <x v="2"/>
    <n v="2406.4699999999998"/>
  </r>
  <r>
    <n v="3618"/>
    <x v="2"/>
    <x v="1"/>
    <x v="6"/>
    <s v="M"/>
    <n v="3"/>
    <n v="2209.4499999999998"/>
    <n v="0"/>
    <n v="0"/>
    <x v="283"/>
    <x v="1"/>
    <x v="5"/>
    <n v="932.04"/>
  </r>
  <r>
    <n v="3619"/>
    <x v="0"/>
    <x v="2"/>
    <x v="18"/>
    <s v="L"/>
    <n v="0"/>
    <n v="8915.8799999999992"/>
    <n v="0"/>
    <n v="0"/>
    <x v="415"/>
    <x v="0"/>
    <x v="5"/>
    <n v="824.23"/>
  </r>
  <r>
    <n v="3620"/>
    <x v="2"/>
    <x v="3"/>
    <x v="4"/>
    <s v="M"/>
    <n v="0"/>
    <n v="8561.18"/>
    <n v="0"/>
    <n v="0"/>
    <x v="321"/>
    <x v="1"/>
    <x v="0"/>
    <n v="1538.46"/>
  </r>
  <r>
    <n v="3621"/>
    <x v="1"/>
    <x v="4"/>
    <x v="19"/>
    <s v="L"/>
    <n v="0"/>
    <n v="9699.01"/>
    <n v="0"/>
    <n v="0"/>
    <x v="274"/>
    <x v="1"/>
    <x v="2"/>
    <n v="3858.11"/>
  </r>
  <r>
    <n v="3622"/>
    <x v="1"/>
    <x v="1"/>
    <x v="2"/>
    <s v="M"/>
    <n v="3"/>
    <n v="2187.91"/>
    <n v="0"/>
    <n v="0"/>
    <x v="186"/>
    <x v="0"/>
    <x v="1"/>
    <n v="1951.56"/>
  </r>
  <r>
    <n v="3623"/>
    <x v="2"/>
    <x v="2"/>
    <x v="7"/>
    <s v="XL"/>
    <n v="0"/>
    <n v="0"/>
    <n v="0.75"/>
    <n v="0"/>
    <x v="295"/>
    <x v="1"/>
    <x v="2"/>
    <n v="1980.48"/>
  </r>
  <r>
    <n v="3624"/>
    <x v="1"/>
    <x v="1"/>
    <x v="2"/>
    <s v="M"/>
    <n v="-1"/>
    <n v="8534.07"/>
    <n v="0"/>
    <n v="0"/>
    <x v="117"/>
    <x v="1"/>
    <x v="2"/>
    <n v="-1124.03"/>
  </r>
  <r>
    <n v="3625"/>
    <x v="0"/>
    <x v="1"/>
    <x v="1"/>
    <s v="XL"/>
    <n v="0"/>
    <n v="0"/>
    <n v="0"/>
    <n v="0"/>
    <x v="38"/>
    <x v="1"/>
    <x v="5"/>
    <n v="849.98"/>
  </r>
  <r>
    <n v="3626"/>
    <x v="2"/>
    <x v="3"/>
    <x v="4"/>
    <s v="M"/>
    <n v="0"/>
    <n v="0"/>
    <n v="0"/>
    <n v="0"/>
    <x v="12"/>
    <x v="1"/>
    <x v="3"/>
    <n v="1911.32"/>
  </r>
  <r>
    <n v="3627"/>
    <x v="0"/>
    <x v="0"/>
    <x v="0"/>
    <s v="M"/>
    <n v="0"/>
    <n v="0"/>
    <n v="1.07"/>
    <n v="0"/>
    <x v="114"/>
    <x v="0"/>
    <x v="2"/>
    <n v="396.74"/>
  </r>
  <r>
    <n v="3629"/>
    <x v="0"/>
    <x v="1"/>
    <x v="6"/>
    <s v="XL"/>
    <n v="0"/>
    <n v="0"/>
    <n v="0"/>
    <n v="0"/>
    <x v="114"/>
    <x v="0"/>
    <x v="1"/>
    <n v="-1052.78"/>
  </r>
  <r>
    <n v="3630"/>
    <x v="2"/>
    <x v="0"/>
    <x v="5"/>
    <s v="M"/>
    <n v="-1"/>
    <n v="2467.4899999999998"/>
    <n v="0"/>
    <n v="0"/>
    <x v="114"/>
    <x v="0"/>
    <x v="3"/>
    <n v="3101.6"/>
  </r>
  <r>
    <n v="3631"/>
    <x v="2"/>
    <x v="0"/>
    <x v="9"/>
    <s v="XL"/>
    <n v="0"/>
    <n v="2855.37"/>
    <n v="0"/>
    <n v="0"/>
    <x v="114"/>
    <x v="1"/>
    <x v="0"/>
    <n v="185.49"/>
  </r>
  <r>
    <n v="3634"/>
    <x v="2"/>
    <x v="2"/>
    <x v="7"/>
    <s v="L"/>
    <n v="0"/>
    <n v="0"/>
    <n v="1.06"/>
    <n v="0"/>
    <x v="194"/>
    <x v="0"/>
    <x v="5"/>
    <n v="3717.46"/>
  </r>
  <r>
    <n v="3635"/>
    <x v="2"/>
    <x v="0"/>
    <x v="0"/>
    <s v="M"/>
    <n v="2"/>
    <n v="0"/>
    <n v="0"/>
    <n v="0"/>
    <x v="219"/>
    <x v="1"/>
    <x v="0"/>
    <n v="3656.45"/>
  </r>
  <r>
    <n v="3636"/>
    <x v="1"/>
    <x v="1"/>
    <x v="1"/>
    <s v="M"/>
    <n v="2"/>
    <n v="7881.53"/>
    <n v="0"/>
    <n v="0"/>
    <x v="64"/>
    <x v="1"/>
    <x v="4"/>
    <n v="2615.73"/>
  </r>
  <r>
    <n v="3637"/>
    <x v="1"/>
    <x v="3"/>
    <x v="16"/>
    <s v="M"/>
    <n v="2"/>
    <n v="6577.39"/>
    <n v="0"/>
    <n v="0"/>
    <x v="458"/>
    <x v="1"/>
    <x v="4"/>
    <n v="1945.9"/>
  </r>
  <r>
    <n v="3638"/>
    <x v="0"/>
    <x v="4"/>
    <x v="8"/>
    <s v="M"/>
    <n v="0"/>
    <n v="3701.59"/>
    <n v="0"/>
    <n v="0"/>
    <x v="459"/>
    <x v="0"/>
    <x v="5"/>
    <n v="1148.57"/>
  </r>
  <r>
    <n v="3639"/>
    <x v="2"/>
    <x v="1"/>
    <x v="6"/>
    <s v="XL"/>
    <n v="0"/>
    <n v="0"/>
    <n v="0.43"/>
    <n v="0"/>
    <x v="104"/>
    <x v="0"/>
    <x v="3"/>
    <n v="2929.76"/>
  </r>
  <r>
    <n v="3640"/>
    <x v="2"/>
    <x v="0"/>
    <x v="9"/>
    <s v="M"/>
    <n v="0"/>
    <n v="5219.18"/>
    <n v="0"/>
    <n v="0"/>
    <x v="77"/>
    <x v="0"/>
    <x v="4"/>
    <n v="309.64999999999998"/>
  </r>
  <r>
    <n v="3641"/>
    <x v="0"/>
    <x v="0"/>
    <x v="0"/>
    <s v="XL"/>
    <n v="0"/>
    <n v="6037.65"/>
    <n v="0"/>
    <n v="0"/>
    <x v="77"/>
    <x v="1"/>
    <x v="4"/>
    <n v="-132.13"/>
  </r>
  <r>
    <n v="3642"/>
    <x v="2"/>
    <x v="0"/>
    <x v="9"/>
    <s v="XL"/>
    <n v="-1"/>
    <n v="0"/>
    <n v="0"/>
    <n v="0"/>
    <x v="77"/>
    <x v="0"/>
    <x v="2"/>
    <n v="3617.85"/>
  </r>
  <r>
    <n v="3643"/>
    <x v="0"/>
    <x v="0"/>
    <x v="9"/>
    <s v="M"/>
    <n v="0"/>
    <n v="9262.4500000000007"/>
    <n v="0.73"/>
    <n v="0"/>
    <x v="77"/>
    <x v="0"/>
    <x v="5"/>
    <n v="2037.13"/>
  </r>
  <r>
    <n v="3646"/>
    <x v="2"/>
    <x v="0"/>
    <x v="5"/>
    <s v="XL"/>
    <n v="3"/>
    <n v="0"/>
    <n v="0"/>
    <n v="0"/>
    <x v="270"/>
    <x v="0"/>
    <x v="0"/>
    <n v="2873.66"/>
  </r>
  <r>
    <n v="3647"/>
    <x v="1"/>
    <x v="4"/>
    <x v="19"/>
    <s v="M"/>
    <n v="0"/>
    <n v="3263.64"/>
    <n v="0"/>
    <n v="0"/>
    <x v="103"/>
    <x v="1"/>
    <x v="5"/>
    <n v="3233.66"/>
  </r>
  <r>
    <n v="3648"/>
    <x v="2"/>
    <x v="1"/>
    <x v="1"/>
    <s v="M"/>
    <n v="0"/>
    <n v="0"/>
    <n v="0"/>
    <n v="0"/>
    <x v="59"/>
    <x v="0"/>
    <x v="0"/>
    <n v="3584.04"/>
  </r>
  <r>
    <n v="3649"/>
    <x v="0"/>
    <x v="2"/>
    <x v="3"/>
    <s v="XL"/>
    <n v="0"/>
    <n v="6486.51"/>
    <n v="0"/>
    <n v="0"/>
    <x v="417"/>
    <x v="0"/>
    <x v="5"/>
    <n v="2408.58"/>
  </r>
  <r>
    <n v="3650"/>
    <x v="1"/>
    <x v="1"/>
    <x v="2"/>
    <s v="M"/>
    <n v="0"/>
    <n v="0"/>
    <n v="0"/>
    <n v="0"/>
    <x v="460"/>
    <x v="1"/>
    <x v="4"/>
    <n v="-520.92999999999995"/>
  </r>
  <r>
    <n v="3651"/>
    <x v="2"/>
    <x v="0"/>
    <x v="0"/>
    <s v="M"/>
    <n v="0"/>
    <n v="8891.6299999999992"/>
    <n v="1.07"/>
    <n v="0"/>
    <x v="92"/>
    <x v="1"/>
    <x v="4"/>
    <n v="-636.77"/>
  </r>
  <r>
    <n v="3652"/>
    <x v="0"/>
    <x v="4"/>
    <x v="8"/>
    <s v="XL"/>
    <n v="0"/>
    <n v="3176.7"/>
    <n v="0"/>
    <n v="0"/>
    <x v="45"/>
    <x v="0"/>
    <x v="1"/>
    <n v="3349.8"/>
  </r>
  <r>
    <n v="3653"/>
    <x v="2"/>
    <x v="3"/>
    <x v="10"/>
    <s v="M"/>
    <n v="0"/>
    <n v="0"/>
    <n v="0"/>
    <n v="0"/>
    <x v="411"/>
    <x v="1"/>
    <x v="1"/>
    <n v="1642.93"/>
  </r>
  <r>
    <n v="3654"/>
    <x v="1"/>
    <x v="0"/>
    <x v="9"/>
    <s v="L"/>
    <n v="3"/>
    <n v="0"/>
    <n v="0"/>
    <n v="0"/>
    <x v="36"/>
    <x v="1"/>
    <x v="3"/>
    <n v="2395.7399999999998"/>
  </r>
  <r>
    <n v="3655"/>
    <x v="1"/>
    <x v="2"/>
    <x v="18"/>
    <s v="M"/>
    <n v="0"/>
    <n v="0"/>
    <n v="0"/>
    <n v="0"/>
    <x v="184"/>
    <x v="1"/>
    <x v="3"/>
    <n v="3499.88"/>
  </r>
  <r>
    <n v="3656"/>
    <x v="2"/>
    <x v="2"/>
    <x v="7"/>
    <s v="L"/>
    <n v="4"/>
    <n v="0"/>
    <n v="0"/>
    <n v="0"/>
    <x v="436"/>
    <x v="1"/>
    <x v="3"/>
    <n v="3421.81"/>
  </r>
  <r>
    <n v="3658"/>
    <x v="1"/>
    <x v="0"/>
    <x v="5"/>
    <s v="L"/>
    <n v="0"/>
    <n v="3516.53"/>
    <n v="0"/>
    <n v="0"/>
    <x v="436"/>
    <x v="1"/>
    <x v="4"/>
    <n v="1485.12"/>
  </r>
  <r>
    <n v="3659"/>
    <x v="0"/>
    <x v="3"/>
    <x v="10"/>
    <s v="M"/>
    <n v="0"/>
    <n v="0"/>
    <n v="0"/>
    <n v="0"/>
    <x v="436"/>
    <x v="0"/>
    <x v="5"/>
    <n v="684.79"/>
  </r>
  <r>
    <n v="2033"/>
    <x v="1"/>
    <x v="3"/>
    <x v="4"/>
    <s v="M"/>
    <n v="0"/>
    <n v="0"/>
    <n v="0.8"/>
    <n v="0"/>
    <x v="461"/>
    <x v="1"/>
    <x v="4"/>
    <n v="437.17"/>
  </r>
  <r>
    <n v="3661"/>
    <x v="0"/>
    <x v="0"/>
    <x v="14"/>
    <s v="XL"/>
    <n v="0"/>
    <n v="9979.3799999999992"/>
    <n v="0"/>
    <n v="0"/>
    <x v="437"/>
    <x v="0"/>
    <x v="4"/>
    <n v="2957.86"/>
  </r>
  <r>
    <n v="3663"/>
    <x v="1"/>
    <x v="0"/>
    <x v="0"/>
    <s v="L"/>
    <n v="0"/>
    <n v="5604.03"/>
    <n v="0"/>
    <n v="0"/>
    <x v="242"/>
    <x v="1"/>
    <x v="4"/>
    <n v="3359.81"/>
  </r>
  <r>
    <n v="3664"/>
    <x v="1"/>
    <x v="0"/>
    <x v="5"/>
    <s v="XL"/>
    <n v="0"/>
    <n v="0"/>
    <n v="1.22"/>
    <n v="0"/>
    <x v="274"/>
    <x v="1"/>
    <x v="2"/>
    <n v="480.16"/>
  </r>
  <r>
    <n v="3667"/>
    <x v="0"/>
    <x v="3"/>
    <x v="10"/>
    <s v="M"/>
    <n v="4"/>
    <n v="9386.2000000000007"/>
    <n v="0.01"/>
    <n v="37169.35"/>
    <x v="274"/>
    <x v="0"/>
    <x v="3"/>
    <n v="-1121.02"/>
  </r>
  <r>
    <n v="3668"/>
    <x v="0"/>
    <x v="1"/>
    <x v="2"/>
    <s v="XL"/>
    <n v="1"/>
    <n v="0"/>
    <n v="0"/>
    <n v="0"/>
    <x v="27"/>
    <x v="1"/>
    <x v="2"/>
    <n v="795.86"/>
  </r>
  <r>
    <n v="3669"/>
    <x v="1"/>
    <x v="2"/>
    <x v="3"/>
    <s v="L"/>
    <n v="0"/>
    <n v="2287.3200000000002"/>
    <n v="0"/>
    <n v="0"/>
    <x v="427"/>
    <x v="0"/>
    <x v="5"/>
    <n v="3859.9"/>
  </r>
  <r>
    <n v="3670"/>
    <x v="2"/>
    <x v="2"/>
    <x v="7"/>
    <s v="M"/>
    <n v="1"/>
    <n v="0"/>
    <n v="0"/>
    <n v="0"/>
    <x v="427"/>
    <x v="0"/>
    <x v="3"/>
    <n v="-929.07"/>
  </r>
  <r>
    <n v="3671"/>
    <x v="1"/>
    <x v="3"/>
    <x v="16"/>
    <s v="M"/>
    <n v="2"/>
    <n v="0"/>
    <n v="0.01"/>
    <n v="0"/>
    <x v="427"/>
    <x v="1"/>
    <x v="0"/>
    <n v="552.1"/>
  </r>
  <r>
    <n v="3672"/>
    <x v="1"/>
    <x v="1"/>
    <x v="1"/>
    <s v="M"/>
    <n v="3"/>
    <n v="7127.18"/>
    <n v="0.32"/>
    <n v="14539.45"/>
    <x v="407"/>
    <x v="0"/>
    <x v="4"/>
    <n v="2651.63"/>
  </r>
  <r>
    <n v="3673"/>
    <x v="0"/>
    <x v="2"/>
    <x v="17"/>
    <s v="M"/>
    <n v="0"/>
    <n v="0"/>
    <n v="0"/>
    <n v="0"/>
    <x v="407"/>
    <x v="1"/>
    <x v="2"/>
    <n v="2199.46"/>
  </r>
  <r>
    <n v="3674"/>
    <x v="2"/>
    <x v="2"/>
    <x v="7"/>
    <s v="XL"/>
    <n v="0"/>
    <n v="0"/>
    <n v="0"/>
    <n v="0"/>
    <x v="418"/>
    <x v="0"/>
    <x v="3"/>
    <n v="1819.44"/>
  </r>
  <r>
    <n v="3675"/>
    <x v="2"/>
    <x v="3"/>
    <x v="16"/>
    <s v="M"/>
    <n v="2"/>
    <n v="0"/>
    <n v="0"/>
    <n v="0"/>
    <x v="440"/>
    <x v="0"/>
    <x v="4"/>
    <n v="3969.03"/>
  </r>
  <r>
    <n v="3676"/>
    <x v="2"/>
    <x v="1"/>
    <x v="1"/>
    <s v="M"/>
    <n v="0"/>
    <n v="0"/>
    <n v="1.24"/>
    <n v="0"/>
    <x v="440"/>
    <x v="0"/>
    <x v="4"/>
    <n v="1923.5"/>
  </r>
  <r>
    <n v="3677"/>
    <x v="1"/>
    <x v="1"/>
    <x v="6"/>
    <s v="L"/>
    <n v="0"/>
    <n v="0"/>
    <n v="0"/>
    <n v="0"/>
    <x v="440"/>
    <x v="0"/>
    <x v="3"/>
    <n v="717.69"/>
  </r>
  <r>
    <n v="3678"/>
    <x v="1"/>
    <x v="2"/>
    <x v="7"/>
    <s v="M"/>
    <n v="3"/>
    <n v="0"/>
    <n v="0"/>
    <n v="0"/>
    <x v="301"/>
    <x v="0"/>
    <x v="5"/>
    <n v="1488.91"/>
  </r>
  <r>
    <n v="3679"/>
    <x v="1"/>
    <x v="4"/>
    <x v="12"/>
    <s v="M"/>
    <n v="0"/>
    <n v="0"/>
    <n v="0.9"/>
    <n v="0"/>
    <x v="301"/>
    <x v="1"/>
    <x v="0"/>
    <n v="3341.51"/>
  </r>
  <r>
    <n v="3680"/>
    <x v="2"/>
    <x v="0"/>
    <x v="5"/>
    <s v="XL"/>
    <n v="3"/>
    <n v="8835.41"/>
    <n v="0.92"/>
    <n v="2120.5"/>
    <x v="322"/>
    <x v="1"/>
    <x v="4"/>
    <n v="-746.28"/>
  </r>
  <r>
    <n v="3681"/>
    <x v="2"/>
    <x v="1"/>
    <x v="15"/>
    <s v="L"/>
    <n v="0"/>
    <n v="0"/>
    <n v="0.95"/>
    <n v="0"/>
    <x v="242"/>
    <x v="0"/>
    <x v="1"/>
    <n v="1838.69"/>
  </r>
  <r>
    <n v="3682"/>
    <x v="1"/>
    <x v="4"/>
    <x v="13"/>
    <s v="M"/>
    <n v="0"/>
    <n v="6158.05"/>
    <n v="1.1200000000000001"/>
    <n v="0"/>
    <x v="197"/>
    <x v="1"/>
    <x v="2"/>
    <n v="160.21"/>
  </r>
  <r>
    <n v="3683"/>
    <x v="1"/>
    <x v="1"/>
    <x v="2"/>
    <s v="L"/>
    <n v="2"/>
    <n v="0"/>
    <n v="0"/>
    <n v="0"/>
    <x v="96"/>
    <x v="1"/>
    <x v="5"/>
    <n v="-4.26"/>
  </r>
  <r>
    <n v="3684"/>
    <x v="0"/>
    <x v="1"/>
    <x v="1"/>
    <s v="L"/>
    <n v="0"/>
    <n v="3440.57"/>
    <n v="1.01"/>
    <n v="0"/>
    <x v="339"/>
    <x v="0"/>
    <x v="1"/>
    <n v="3299.44"/>
  </r>
  <r>
    <n v="3685"/>
    <x v="1"/>
    <x v="4"/>
    <x v="8"/>
    <s v="XL"/>
    <n v="0"/>
    <n v="2633.72"/>
    <n v="0"/>
    <n v="0"/>
    <x v="143"/>
    <x v="1"/>
    <x v="1"/>
    <n v="1668"/>
  </r>
  <r>
    <n v="3686"/>
    <x v="1"/>
    <x v="0"/>
    <x v="0"/>
    <s v="M"/>
    <n v="0"/>
    <n v="0"/>
    <n v="0"/>
    <n v="0"/>
    <x v="32"/>
    <x v="1"/>
    <x v="1"/>
    <n v="-2.86"/>
  </r>
  <r>
    <n v="3687"/>
    <x v="1"/>
    <x v="0"/>
    <x v="14"/>
    <s v="XL"/>
    <n v="-1"/>
    <n v="6216.27"/>
    <n v="0"/>
    <n v="0"/>
    <x v="88"/>
    <x v="1"/>
    <x v="2"/>
    <n v="2418.27"/>
  </r>
  <r>
    <n v="3688"/>
    <x v="0"/>
    <x v="3"/>
    <x v="4"/>
    <s v="L"/>
    <n v="1"/>
    <n v="5048.9799999999996"/>
    <n v="0"/>
    <n v="0"/>
    <x v="225"/>
    <x v="1"/>
    <x v="5"/>
    <n v="1214.8599999999999"/>
  </r>
  <r>
    <n v="3689"/>
    <x v="1"/>
    <x v="1"/>
    <x v="15"/>
    <s v="XL"/>
    <n v="0"/>
    <n v="0"/>
    <n v="0"/>
    <n v="0"/>
    <x v="339"/>
    <x v="1"/>
    <x v="3"/>
    <n v="1854.17"/>
  </r>
  <r>
    <n v="2028"/>
    <x v="0"/>
    <x v="1"/>
    <x v="15"/>
    <s v="M"/>
    <n v="2"/>
    <n v="0"/>
    <n v="0.97"/>
    <n v="0"/>
    <x v="395"/>
    <x v="1"/>
    <x v="3"/>
    <n v="2305.1"/>
  </r>
  <r>
    <n v="3691"/>
    <x v="2"/>
    <x v="1"/>
    <x v="2"/>
    <s v="M"/>
    <n v="4"/>
    <n v="0"/>
    <n v="0.51"/>
    <n v="0"/>
    <x v="10"/>
    <x v="0"/>
    <x v="0"/>
    <n v="2305.88"/>
  </r>
  <r>
    <n v="3693"/>
    <x v="2"/>
    <x v="4"/>
    <x v="8"/>
    <s v="XL"/>
    <n v="0"/>
    <n v="4239.9399999999996"/>
    <n v="0"/>
    <n v="0"/>
    <x v="10"/>
    <x v="1"/>
    <x v="1"/>
    <n v="-35.71"/>
  </r>
  <r>
    <n v="3694"/>
    <x v="0"/>
    <x v="1"/>
    <x v="1"/>
    <s v="L"/>
    <n v="0"/>
    <n v="4954.41"/>
    <n v="0"/>
    <n v="0"/>
    <x v="10"/>
    <x v="0"/>
    <x v="1"/>
    <n v="1522.3"/>
  </r>
  <r>
    <n v="3696"/>
    <x v="0"/>
    <x v="0"/>
    <x v="14"/>
    <s v="M"/>
    <n v="0"/>
    <n v="6425.04"/>
    <n v="0"/>
    <n v="0"/>
    <x v="99"/>
    <x v="1"/>
    <x v="5"/>
    <n v="1966.58"/>
  </r>
  <r>
    <n v="3698"/>
    <x v="1"/>
    <x v="4"/>
    <x v="13"/>
    <s v="L"/>
    <n v="0"/>
    <n v="7268.55"/>
    <n v="0.34"/>
    <n v="0"/>
    <x v="238"/>
    <x v="1"/>
    <x v="4"/>
    <n v="219.99"/>
  </r>
  <r>
    <n v="3699"/>
    <x v="1"/>
    <x v="3"/>
    <x v="10"/>
    <s v="M"/>
    <n v="0"/>
    <n v="8400.1"/>
    <n v="0.47"/>
    <n v="0"/>
    <x v="103"/>
    <x v="1"/>
    <x v="4"/>
    <n v="249.58"/>
  </r>
  <r>
    <n v="3700"/>
    <x v="2"/>
    <x v="1"/>
    <x v="2"/>
    <s v="XL"/>
    <n v="2"/>
    <n v="3951.29"/>
    <n v="0"/>
    <n v="0"/>
    <x v="103"/>
    <x v="0"/>
    <x v="4"/>
    <n v="-70.930000000000007"/>
  </r>
  <r>
    <n v="3701"/>
    <x v="2"/>
    <x v="0"/>
    <x v="9"/>
    <s v="L"/>
    <n v="0"/>
    <n v="9459.94"/>
    <n v="0.57999999999999996"/>
    <n v="0"/>
    <x v="103"/>
    <x v="0"/>
    <x v="0"/>
    <n v="-463.88"/>
  </r>
  <r>
    <n v="3702"/>
    <x v="2"/>
    <x v="3"/>
    <x v="4"/>
    <s v="M"/>
    <n v="0"/>
    <n v="0"/>
    <n v="0.99"/>
    <n v="0"/>
    <x v="459"/>
    <x v="0"/>
    <x v="3"/>
    <n v="3398.32"/>
  </r>
  <r>
    <n v="3703"/>
    <x v="2"/>
    <x v="3"/>
    <x v="10"/>
    <s v="M"/>
    <n v="0"/>
    <n v="0"/>
    <n v="0"/>
    <n v="0"/>
    <x v="126"/>
    <x v="0"/>
    <x v="2"/>
    <n v="326.86"/>
  </r>
  <r>
    <n v="3704"/>
    <x v="0"/>
    <x v="3"/>
    <x v="16"/>
    <s v="M"/>
    <n v="0"/>
    <n v="0"/>
    <n v="0.31"/>
    <n v="0"/>
    <x v="126"/>
    <x v="1"/>
    <x v="4"/>
    <n v="3556.62"/>
  </r>
  <r>
    <n v="3705"/>
    <x v="0"/>
    <x v="0"/>
    <x v="9"/>
    <s v="M"/>
    <n v="0"/>
    <n v="5644.1"/>
    <n v="0.09"/>
    <n v="0"/>
    <x v="402"/>
    <x v="0"/>
    <x v="1"/>
    <n v="3860.78"/>
  </r>
  <r>
    <n v="3706"/>
    <x v="2"/>
    <x v="3"/>
    <x v="16"/>
    <s v="M"/>
    <n v="1"/>
    <n v="9437.73"/>
    <n v="0"/>
    <n v="0"/>
    <x v="302"/>
    <x v="1"/>
    <x v="1"/>
    <n v="3271.38"/>
  </r>
  <r>
    <n v="3707"/>
    <x v="0"/>
    <x v="2"/>
    <x v="7"/>
    <s v="L"/>
    <n v="4"/>
    <n v="9532.7999999999993"/>
    <n v="0"/>
    <n v="0"/>
    <x v="55"/>
    <x v="0"/>
    <x v="2"/>
    <n v="732.26"/>
  </r>
  <r>
    <n v="3708"/>
    <x v="0"/>
    <x v="4"/>
    <x v="12"/>
    <s v="M"/>
    <n v="0"/>
    <n v="4546.6400000000003"/>
    <n v="0.77"/>
    <n v="0"/>
    <x v="80"/>
    <x v="1"/>
    <x v="0"/>
    <n v="3305.02"/>
  </r>
  <r>
    <n v="3709"/>
    <x v="2"/>
    <x v="1"/>
    <x v="2"/>
    <s v="M"/>
    <n v="-1"/>
    <n v="4857.6899999999996"/>
    <n v="0"/>
    <n v="0"/>
    <x v="80"/>
    <x v="1"/>
    <x v="4"/>
    <n v="-926.92"/>
  </r>
  <r>
    <n v="3710"/>
    <x v="0"/>
    <x v="2"/>
    <x v="3"/>
    <s v="L"/>
    <n v="4"/>
    <n v="9015.7999999999993"/>
    <n v="0"/>
    <n v="0"/>
    <x v="80"/>
    <x v="0"/>
    <x v="2"/>
    <n v="1695.86"/>
  </r>
  <r>
    <n v="3713"/>
    <x v="2"/>
    <x v="4"/>
    <x v="13"/>
    <s v="XL"/>
    <n v="0"/>
    <n v="0"/>
    <n v="0.68"/>
    <n v="0"/>
    <x v="65"/>
    <x v="1"/>
    <x v="3"/>
    <n v="3271.73"/>
  </r>
  <r>
    <n v="3714"/>
    <x v="0"/>
    <x v="1"/>
    <x v="1"/>
    <s v="L"/>
    <n v="2"/>
    <n v="3568.35"/>
    <n v="0"/>
    <n v="0"/>
    <x v="293"/>
    <x v="1"/>
    <x v="2"/>
    <n v="2363.52"/>
  </r>
  <r>
    <n v="3715"/>
    <x v="2"/>
    <x v="2"/>
    <x v="18"/>
    <s v="L"/>
    <n v="4"/>
    <n v="0"/>
    <n v="0"/>
    <n v="0"/>
    <x v="31"/>
    <x v="0"/>
    <x v="0"/>
    <n v="2774.43"/>
  </r>
  <r>
    <n v="3717"/>
    <x v="0"/>
    <x v="0"/>
    <x v="14"/>
    <s v="M"/>
    <n v="0"/>
    <n v="7781.11"/>
    <n v="0"/>
    <n v="0"/>
    <x v="31"/>
    <x v="1"/>
    <x v="5"/>
    <n v="-313.83"/>
  </r>
  <r>
    <n v="3720"/>
    <x v="2"/>
    <x v="2"/>
    <x v="3"/>
    <s v="XL"/>
    <n v="0"/>
    <n v="7365.14"/>
    <n v="0"/>
    <n v="0"/>
    <x v="317"/>
    <x v="1"/>
    <x v="4"/>
    <n v="3369.92"/>
  </r>
  <r>
    <n v="3721"/>
    <x v="0"/>
    <x v="1"/>
    <x v="1"/>
    <s v="M"/>
    <n v="0"/>
    <n v="7155.1"/>
    <n v="0"/>
    <n v="0"/>
    <x v="462"/>
    <x v="1"/>
    <x v="5"/>
    <n v="2274.14"/>
  </r>
  <r>
    <n v="3722"/>
    <x v="0"/>
    <x v="0"/>
    <x v="14"/>
    <s v="M"/>
    <n v="1"/>
    <n v="9335"/>
    <n v="0.22"/>
    <n v="7281.3"/>
    <x v="45"/>
    <x v="1"/>
    <x v="2"/>
    <n v="1787.45"/>
  </r>
  <r>
    <n v="3723"/>
    <x v="2"/>
    <x v="1"/>
    <x v="6"/>
    <s v="M"/>
    <n v="-1"/>
    <n v="7430.5"/>
    <n v="0"/>
    <n v="0"/>
    <x v="150"/>
    <x v="0"/>
    <x v="4"/>
    <n v="2473.13"/>
  </r>
  <r>
    <n v="3724"/>
    <x v="0"/>
    <x v="4"/>
    <x v="19"/>
    <s v="XL"/>
    <n v="2"/>
    <n v="0"/>
    <n v="0"/>
    <n v="0"/>
    <x v="121"/>
    <x v="0"/>
    <x v="0"/>
    <n v="-866.33"/>
  </r>
  <r>
    <n v="3725"/>
    <x v="2"/>
    <x v="1"/>
    <x v="15"/>
    <s v="M"/>
    <n v="0"/>
    <n v="6318.92"/>
    <n v="0"/>
    <n v="0"/>
    <x v="127"/>
    <x v="0"/>
    <x v="0"/>
    <n v="3353.55"/>
  </r>
  <r>
    <n v="3727"/>
    <x v="1"/>
    <x v="4"/>
    <x v="13"/>
    <s v="L"/>
    <n v="0"/>
    <n v="0"/>
    <n v="0.6"/>
    <n v="0"/>
    <x v="92"/>
    <x v="1"/>
    <x v="4"/>
    <n v="1555.74"/>
  </r>
  <r>
    <n v="3728"/>
    <x v="2"/>
    <x v="0"/>
    <x v="9"/>
    <s v="M"/>
    <n v="0"/>
    <n v="0"/>
    <n v="0"/>
    <n v="0"/>
    <x v="92"/>
    <x v="0"/>
    <x v="0"/>
    <n v="1376.74"/>
  </r>
  <r>
    <n v="3729"/>
    <x v="2"/>
    <x v="3"/>
    <x v="11"/>
    <s v="M"/>
    <n v="0"/>
    <n v="0"/>
    <n v="0"/>
    <n v="0"/>
    <x v="329"/>
    <x v="1"/>
    <x v="1"/>
    <n v="2966.82"/>
  </r>
  <r>
    <n v="3730"/>
    <x v="0"/>
    <x v="0"/>
    <x v="14"/>
    <s v="M"/>
    <n v="1"/>
    <n v="7865.95"/>
    <n v="0"/>
    <n v="0"/>
    <x v="329"/>
    <x v="0"/>
    <x v="0"/>
    <n v="3302.11"/>
  </r>
  <r>
    <n v="3731"/>
    <x v="0"/>
    <x v="1"/>
    <x v="15"/>
    <s v="L"/>
    <n v="0"/>
    <n v="7038.04"/>
    <n v="0"/>
    <n v="0"/>
    <x v="143"/>
    <x v="0"/>
    <x v="4"/>
    <n v="301.89999999999998"/>
  </r>
  <r>
    <n v="2031"/>
    <x v="0"/>
    <x v="3"/>
    <x v="16"/>
    <s v="L"/>
    <n v="0"/>
    <n v="3360.35"/>
    <n v="0.15"/>
    <n v="0"/>
    <x v="143"/>
    <x v="1"/>
    <x v="4"/>
    <n v="1282.69"/>
  </r>
  <r>
    <n v="3735"/>
    <x v="0"/>
    <x v="4"/>
    <x v="19"/>
    <s v="M"/>
    <n v="0"/>
    <n v="2248.14"/>
    <n v="0"/>
    <n v="0"/>
    <x v="397"/>
    <x v="0"/>
    <x v="0"/>
    <n v="3686.2"/>
  </r>
  <r>
    <n v="3736"/>
    <x v="2"/>
    <x v="0"/>
    <x v="14"/>
    <s v="M"/>
    <n v="1"/>
    <n v="0"/>
    <n v="0.38"/>
    <n v="0"/>
    <x v="397"/>
    <x v="1"/>
    <x v="3"/>
    <n v="-1171.6099999999999"/>
  </r>
  <r>
    <n v="3737"/>
    <x v="0"/>
    <x v="4"/>
    <x v="8"/>
    <s v="M"/>
    <n v="0"/>
    <n v="0"/>
    <n v="0"/>
    <n v="0"/>
    <x v="397"/>
    <x v="1"/>
    <x v="3"/>
    <n v="690.1"/>
  </r>
  <r>
    <n v="3738"/>
    <x v="2"/>
    <x v="1"/>
    <x v="2"/>
    <s v="M"/>
    <n v="1"/>
    <n v="6968.08"/>
    <n v="0.02"/>
    <n v="6828.72"/>
    <x v="433"/>
    <x v="0"/>
    <x v="4"/>
    <n v="-673.94"/>
  </r>
  <r>
    <n v="3739"/>
    <x v="1"/>
    <x v="0"/>
    <x v="0"/>
    <s v="M"/>
    <n v="-1"/>
    <n v="5050.05"/>
    <n v="0"/>
    <n v="0"/>
    <x v="251"/>
    <x v="0"/>
    <x v="5"/>
    <n v="3928.19"/>
  </r>
  <r>
    <n v="3741"/>
    <x v="0"/>
    <x v="2"/>
    <x v="18"/>
    <s v="L"/>
    <n v="2"/>
    <n v="8927.2199999999993"/>
    <n v="0.2"/>
    <n v="14283.55"/>
    <x v="144"/>
    <x v="1"/>
    <x v="5"/>
    <n v="821.32"/>
  </r>
  <r>
    <n v="3743"/>
    <x v="2"/>
    <x v="0"/>
    <x v="5"/>
    <s v="M"/>
    <n v="0"/>
    <n v="0"/>
    <n v="0.2"/>
    <n v="0"/>
    <x v="389"/>
    <x v="1"/>
    <x v="5"/>
    <n v="1370.17"/>
  </r>
  <r>
    <n v="3746"/>
    <x v="0"/>
    <x v="2"/>
    <x v="7"/>
    <s v="M"/>
    <n v="0"/>
    <n v="7490.78"/>
    <n v="0"/>
    <n v="0"/>
    <x v="258"/>
    <x v="1"/>
    <x v="2"/>
    <n v="2815.43"/>
  </r>
  <r>
    <n v="3748"/>
    <x v="0"/>
    <x v="0"/>
    <x v="0"/>
    <s v="XL"/>
    <n v="0"/>
    <n v="6272.89"/>
    <n v="1.02"/>
    <n v="0"/>
    <x v="258"/>
    <x v="0"/>
    <x v="0"/>
    <n v="3386.86"/>
  </r>
  <r>
    <n v="3750"/>
    <x v="0"/>
    <x v="0"/>
    <x v="9"/>
    <s v="M"/>
    <n v="-1"/>
    <n v="0"/>
    <n v="0"/>
    <n v="0"/>
    <x v="114"/>
    <x v="1"/>
    <x v="0"/>
    <n v="1566.16"/>
  </r>
  <r>
    <n v="3751"/>
    <x v="0"/>
    <x v="2"/>
    <x v="18"/>
    <s v="XL"/>
    <n v="-1"/>
    <n v="0"/>
    <n v="0.4"/>
    <n v="0"/>
    <x v="114"/>
    <x v="1"/>
    <x v="4"/>
    <n v="-399.23"/>
  </r>
  <r>
    <n v="3752"/>
    <x v="0"/>
    <x v="1"/>
    <x v="6"/>
    <s v="L"/>
    <n v="0"/>
    <n v="9021.7900000000009"/>
    <n v="0.04"/>
    <n v="0"/>
    <x v="318"/>
    <x v="1"/>
    <x v="5"/>
    <n v="2618.7199999999998"/>
  </r>
  <r>
    <n v="3754"/>
    <x v="0"/>
    <x v="3"/>
    <x v="11"/>
    <s v="L"/>
    <n v="3"/>
    <n v="4288.2700000000004"/>
    <n v="0"/>
    <n v="0"/>
    <x v="405"/>
    <x v="0"/>
    <x v="0"/>
    <n v="828.22"/>
  </r>
  <r>
    <n v="3755"/>
    <x v="1"/>
    <x v="1"/>
    <x v="15"/>
    <s v="M"/>
    <n v="4"/>
    <n v="2342.16"/>
    <n v="0.25"/>
    <n v="7026.48"/>
    <x v="274"/>
    <x v="1"/>
    <x v="2"/>
    <n v="1007"/>
  </r>
  <r>
    <n v="3756"/>
    <x v="2"/>
    <x v="4"/>
    <x v="12"/>
    <s v="XL"/>
    <n v="0"/>
    <n v="0"/>
    <n v="0"/>
    <n v="0"/>
    <x v="126"/>
    <x v="1"/>
    <x v="1"/>
    <n v="-289.63"/>
  </r>
  <r>
    <n v="3758"/>
    <x v="0"/>
    <x v="3"/>
    <x v="16"/>
    <s v="M"/>
    <n v="3"/>
    <n v="4306.67"/>
    <n v="0"/>
    <n v="0"/>
    <x v="226"/>
    <x v="1"/>
    <x v="4"/>
    <n v="-233.45"/>
  </r>
  <r>
    <n v="3759"/>
    <x v="1"/>
    <x v="4"/>
    <x v="19"/>
    <s v="M"/>
    <n v="0"/>
    <n v="9605.6"/>
    <n v="0.81"/>
    <n v="0"/>
    <x v="337"/>
    <x v="0"/>
    <x v="1"/>
    <n v="1611.59"/>
  </r>
  <r>
    <n v="3760"/>
    <x v="2"/>
    <x v="4"/>
    <x v="8"/>
    <s v="M"/>
    <n v="0"/>
    <n v="8313.84"/>
    <n v="0"/>
    <n v="0"/>
    <x v="458"/>
    <x v="0"/>
    <x v="5"/>
    <n v="1735.58"/>
  </r>
  <r>
    <n v="3761"/>
    <x v="1"/>
    <x v="4"/>
    <x v="13"/>
    <s v="L"/>
    <n v="4"/>
    <n v="2972.38"/>
    <n v="0.14000000000000001"/>
    <n v="10224.99"/>
    <x v="463"/>
    <x v="0"/>
    <x v="1"/>
    <n v="2569.7399999999998"/>
  </r>
  <r>
    <n v="3762"/>
    <x v="2"/>
    <x v="2"/>
    <x v="18"/>
    <s v="M"/>
    <n v="1"/>
    <n v="2725.1"/>
    <n v="0"/>
    <n v="0"/>
    <x v="81"/>
    <x v="1"/>
    <x v="2"/>
    <n v="-997.11"/>
  </r>
  <r>
    <n v="3763"/>
    <x v="0"/>
    <x v="4"/>
    <x v="19"/>
    <s v="M"/>
    <n v="0"/>
    <n v="0"/>
    <n v="0"/>
    <n v="0"/>
    <x v="464"/>
    <x v="1"/>
    <x v="1"/>
    <n v="3671.32"/>
  </r>
  <r>
    <n v="3764"/>
    <x v="2"/>
    <x v="2"/>
    <x v="3"/>
    <s v="M"/>
    <n v="2"/>
    <n v="3953.6"/>
    <n v="0"/>
    <n v="0"/>
    <x v="465"/>
    <x v="0"/>
    <x v="5"/>
    <n v="528.86"/>
  </r>
  <r>
    <n v="3765"/>
    <x v="0"/>
    <x v="3"/>
    <x v="16"/>
    <s v="M"/>
    <n v="3"/>
    <n v="0"/>
    <n v="0.44"/>
    <n v="0"/>
    <x v="191"/>
    <x v="0"/>
    <x v="1"/>
    <n v="3376.32"/>
  </r>
  <r>
    <n v="3768"/>
    <x v="2"/>
    <x v="1"/>
    <x v="1"/>
    <s v="XL"/>
    <n v="0"/>
    <n v="0"/>
    <n v="1.1499999999999999"/>
    <n v="0"/>
    <x v="178"/>
    <x v="1"/>
    <x v="1"/>
    <n v="647.72"/>
  </r>
  <r>
    <n v="3769"/>
    <x v="1"/>
    <x v="3"/>
    <x v="11"/>
    <s v="M"/>
    <n v="0"/>
    <n v="0"/>
    <n v="0.62"/>
    <n v="0"/>
    <x v="8"/>
    <x v="1"/>
    <x v="0"/>
    <n v="799.21"/>
  </r>
  <r>
    <n v="3770"/>
    <x v="1"/>
    <x v="3"/>
    <x v="11"/>
    <s v="M"/>
    <n v="4"/>
    <n v="0"/>
    <n v="0.36"/>
    <n v="0"/>
    <x v="466"/>
    <x v="1"/>
    <x v="2"/>
    <n v="3784.67"/>
  </r>
  <r>
    <n v="3771"/>
    <x v="0"/>
    <x v="4"/>
    <x v="12"/>
    <s v="XL"/>
    <n v="-1"/>
    <n v="3388.26"/>
    <n v="0"/>
    <n v="0"/>
    <x v="191"/>
    <x v="1"/>
    <x v="4"/>
    <n v="2376.36"/>
  </r>
  <r>
    <n v="3772"/>
    <x v="1"/>
    <x v="1"/>
    <x v="6"/>
    <s v="XL"/>
    <n v="3"/>
    <n v="8140.47"/>
    <n v="0"/>
    <n v="0"/>
    <x v="131"/>
    <x v="1"/>
    <x v="3"/>
    <n v="3115.97"/>
  </r>
  <r>
    <n v="3773"/>
    <x v="2"/>
    <x v="2"/>
    <x v="17"/>
    <s v="L"/>
    <n v="0"/>
    <n v="3633.25"/>
    <n v="0"/>
    <n v="0"/>
    <x v="131"/>
    <x v="0"/>
    <x v="1"/>
    <n v="-816.85"/>
  </r>
  <r>
    <n v="3774"/>
    <x v="1"/>
    <x v="1"/>
    <x v="6"/>
    <s v="L"/>
    <n v="0"/>
    <n v="3126.57"/>
    <n v="0"/>
    <n v="0"/>
    <x v="110"/>
    <x v="1"/>
    <x v="1"/>
    <n v="66.02"/>
  </r>
  <r>
    <n v="3776"/>
    <x v="2"/>
    <x v="1"/>
    <x v="1"/>
    <s v="L"/>
    <n v="0"/>
    <n v="0"/>
    <n v="1.22"/>
    <n v="0"/>
    <x v="158"/>
    <x v="0"/>
    <x v="5"/>
    <n v="-1034.46"/>
  </r>
  <r>
    <n v="3777"/>
    <x v="2"/>
    <x v="0"/>
    <x v="0"/>
    <s v="XL"/>
    <n v="-1"/>
    <n v="0"/>
    <n v="0"/>
    <n v="0"/>
    <x v="166"/>
    <x v="1"/>
    <x v="1"/>
    <n v="2781.77"/>
  </r>
  <r>
    <n v="3778"/>
    <x v="0"/>
    <x v="2"/>
    <x v="7"/>
    <s v="M"/>
    <n v="0"/>
    <n v="7248.3"/>
    <n v="0"/>
    <n v="0"/>
    <x v="41"/>
    <x v="0"/>
    <x v="5"/>
    <n v="-672.15"/>
  </r>
  <r>
    <n v="3779"/>
    <x v="1"/>
    <x v="1"/>
    <x v="1"/>
    <s v="M"/>
    <n v="0"/>
    <n v="0"/>
    <n v="1.08"/>
    <n v="0"/>
    <x v="92"/>
    <x v="0"/>
    <x v="5"/>
    <n v="1073.22"/>
  </r>
  <r>
    <n v="3780"/>
    <x v="1"/>
    <x v="1"/>
    <x v="1"/>
    <s v="XL"/>
    <n v="0"/>
    <n v="5054.63"/>
    <n v="0.21"/>
    <n v="0"/>
    <x v="92"/>
    <x v="0"/>
    <x v="3"/>
    <n v="3818.72"/>
  </r>
  <r>
    <n v="3781"/>
    <x v="0"/>
    <x v="3"/>
    <x v="16"/>
    <s v="L"/>
    <n v="0"/>
    <n v="0"/>
    <n v="0.36"/>
    <n v="0"/>
    <x v="467"/>
    <x v="1"/>
    <x v="2"/>
    <n v="642.29999999999995"/>
  </r>
  <r>
    <n v="3783"/>
    <x v="1"/>
    <x v="3"/>
    <x v="4"/>
    <s v="M"/>
    <n v="2"/>
    <n v="8500.65"/>
    <n v="0"/>
    <n v="0"/>
    <x v="467"/>
    <x v="0"/>
    <x v="2"/>
    <n v="3344.47"/>
  </r>
  <r>
    <n v="3784"/>
    <x v="0"/>
    <x v="0"/>
    <x v="0"/>
    <s v="M"/>
    <n v="0"/>
    <n v="0"/>
    <n v="0"/>
    <n v="0"/>
    <x v="468"/>
    <x v="1"/>
    <x v="3"/>
    <n v="2743.21"/>
  </r>
  <r>
    <n v="3785"/>
    <x v="0"/>
    <x v="2"/>
    <x v="3"/>
    <s v="XL"/>
    <n v="3"/>
    <n v="6464"/>
    <n v="0.45"/>
    <n v="10665.6"/>
    <x v="468"/>
    <x v="1"/>
    <x v="4"/>
    <n v="698.11"/>
  </r>
  <r>
    <n v="3786"/>
    <x v="2"/>
    <x v="2"/>
    <x v="18"/>
    <s v="M"/>
    <n v="0"/>
    <n v="0"/>
    <n v="0.76"/>
    <n v="0"/>
    <x v="436"/>
    <x v="1"/>
    <x v="5"/>
    <n v="155.59"/>
  </r>
  <r>
    <n v="3788"/>
    <x v="0"/>
    <x v="1"/>
    <x v="1"/>
    <s v="L"/>
    <n v="0"/>
    <n v="0"/>
    <n v="0"/>
    <n v="0"/>
    <x v="127"/>
    <x v="1"/>
    <x v="5"/>
    <n v="-302.19"/>
  </r>
  <r>
    <n v="3789"/>
    <x v="1"/>
    <x v="2"/>
    <x v="18"/>
    <s v="XL"/>
    <n v="2"/>
    <n v="2738.79"/>
    <n v="0"/>
    <n v="0"/>
    <x v="379"/>
    <x v="1"/>
    <x v="1"/>
    <n v="863.29"/>
  </r>
  <r>
    <n v="3791"/>
    <x v="0"/>
    <x v="4"/>
    <x v="12"/>
    <s v="L"/>
    <n v="0"/>
    <n v="0"/>
    <n v="0"/>
    <n v="0"/>
    <x v="155"/>
    <x v="0"/>
    <x v="1"/>
    <n v="408.02"/>
  </r>
  <r>
    <n v="3792"/>
    <x v="2"/>
    <x v="3"/>
    <x v="11"/>
    <s v="L"/>
    <n v="0"/>
    <n v="0"/>
    <n v="1.23"/>
    <n v="0"/>
    <x v="461"/>
    <x v="1"/>
    <x v="3"/>
    <n v="3737.69"/>
  </r>
  <r>
    <n v="3794"/>
    <x v="2"/>
    <x v="0"/>
    <x v="5"/>
    <s v="XL"/>
    <n v="3"/>
    <n v="9360.8700000000008"/>
    <n v="0"/>
    <n v="0"/>
    <x v="418"/>
    <x v="0"/>
    <x v="3"/>
    <n v="125.97"/>
  </r>
  <r>
    <n v="3795"/>
    <x v="2"/>
    <x v="1"/>
    <x v="15"/>
    <s v="M"/>
    <n v="4"/>
    <n v="0"/>
    <n v="1.03"/>
    <n v="0"/>
    <x v="469"/>
    <x v="1"/>
    <x v="1"/>
    <n v="2418.5300000000002"/>
  </r>
  <r>
    <n v="3797"/>
    <x v="1"/>
    <x v="0"/>
    <x v="14"/>
    <s v="L"/>
    <n v="0"/>
    <n v="8735.51"/>
    <n v="0.13"/>
    <n v="0"/>
    <x v="275"/>
    <x v="0"/>
    <x v="2"/>
    <n v="433.58"/>
  </r>
  <r>
    <n v="3798"/>
    <x v="1"/>
    <x v="0"/>
    <x v="0"/>
    <s v="L"/>
    <n v="0"/>
    <n v="3503.14"/>
    <n v="0"/>
    <n v="0"/>
    <x v="192"/>
    <x v="1"/>
    <x v="3"/>
    <n v="957.97"/>
  </r>
  <r>
    <n v="3799"/>
    <x v="2"/>
    <x v="4"/>
    <x v="8"/>
    <s v="XL"/>
    <n v="3"/>
    <n v="7881.86"/>
    <n v="0"/>
    <n v="0"/>
    <x v="192"/>
    <x v="1"/>
    <x v="2"/>
    <n v="830.72"/>
  </r>
  <r>
    <n v="3800"/>
    <x v="2"/>
    <x v="2"/>
    <x v="17"/>
    <s v="M"/>
    <n v="0"/>
    <n v="0"/>
    <n v="0"/>
    <n v="0"/>
    <x v="192"/>
    <x v="1"/>
    <x v="0"/>
    <n v="117.94"/>
  </r>
  <r>
    <n v="3801"/>
    <x v="1"/>
    <x v="0"/>
    <x v="14"/>
    <s v="XL"/>
    <n v="0"/>
    <n v="0"/>
    <n v="0"/>
    <n v="0"/>
    <x v="192"/>
    <x v="0"/>
    <x v="4"/>
    <n v="2638.1"/>
  </r>
  <r>
    <n v="3802"/>
    <x v="1"/>
    <x v="3"/>
    <x v="4"/>
    <s v="XL"/>
    <n v="0"/>
    <n v="2391.13"/>
    <n v="0"/>
    <n v="0"/>
    <x v="110"/>
    <x v="1"/>
    <x v="4"/>
    <n v="-489.64"/>
  </r>
  <r>
    <n v="3804"/>
    <x v="1"/>
    <x v="4"/>
    <x v="12"/>
    <s v="XL"/>
    <n v="2"/>
    <n v="0"/>
    <n v="0"/>
    <n v="0"/>
    <x v="110"/>
    <x v="1"/>
    <x v="1"/>
    <n v="2486.4499999999998"/>
  </r>
  <r>
    <n v="3805"/>
    <x v="1"/>
    <x v="2"/>
    <x v="17"/>
    <s v="M"/>
    <n v="0"/>
    <n v="0"/>
    <n v="0.75"/>
    <n v="0"/>
    <x v="379"/>
    <x v="1"/>
    <x v="0"/>
    <n v="2727.66"/>
  </r>
  <r>
    <n v="3806"/>
    <x v="1"/>
    <x v="3"/>
    <x v="11"/>
    <s v="M"/>
    <n v="0"/>
    <n v="0"/>
    <n v="0.28000000000000003"/>
    <n v="0"/>
    <x v="470"/>
    <x v="1"/>
    <x v="0"/>
    <n v="416.94"/>
  </r>
  <r>
    <n v="3808"/>
    <x v="0"/>
    <x v="3"/>
    <x v="11"/>
    <s v="M"/>
    <n v="0"/>
    <n v="0"/>
    <n v="0.93"/>
    <n v="0"/>
    <x v="470"/>
    <x v="0"/>
    <x v="5"/>
    <n v="1363.94"/>
  </r>
  <r>
    <n v="3809"/>
    <x v="1"/>
    <x v="3"/>
    <x v="10"/>
    <s v="M"/>
    <n v="-1"/>
    <n v="0"/>
    <n v="0"/>
    <n v="0"/>
    <x v="236"/>
    <x v="1"/>
    <x v="5"/>
    <n v="3564.78"/>
  </r>
  <r>
    <n v="3810"/>
    <x v="0"/>
    <x v="1"/>
    <x v="15"/>
    <s v="M"/>
    <n v="0"/>
    <n v="7556.37"/>
    <n v="0"/>
    <n v="0"/>
    <x v="236"/>
    <x v="0"/>
    <x v="3"/>
    <n v="2530.62"/>
  </r>
  <r>
    <n v="3811"/>
    <x v="1"/>
    <x v="3"/>
    <x v="4"/>
    <s v="XL"/>
    <n v="0"/>
    <n v="5706.6"/>
    <n v="0"/>
    <n v="0"/>
    <x v="100"/>
    <x v="0"/>
    <x v="0"/>
    <n v="1397.86"/>
  </r>
  <r>
    <n v="3812"/>
    <x v="0"/>
    <x v="0"/>
    <x v="14"/>
    <s v="L"/>
    <n v="0"/>
    <n v="9321.19"/>
    <n v="0"/>
    <n v="0"/>
    <x v="424"/>
    <x v="0"/>
    <x v="5"/>
    <n v="818.49"/>
  </r>
  <r>
    <n v="3813"/>
    <x v="2"/>
    <x v="2"/>
    <x v="7"/>
    <s v="M"/>
    <n v="3"/>
    <n v="0"/>
    <n v="0"/>
    <n v="0"/>
    <x v="471"/>
    <x v="0"/>
    <x v="2"/>
    <n v="-921.98"/>
  </r>
  <r>
    <n v="3814"/>
    <x v="0"/>
    <x v="2"/>
    <x v="17"/>
    <s v="M"/>
    <n v="-1"/>
    <n v="9668.4699999999993"/>
    <n v="0"/>
    <n v="0"/>
    <x v="63"/>
    <x v="1"/>
    <x v="5"/>
    <n v="3718.8"/>
  </r>
  <r>
    <n v="3815"/>
    <x v="1"/>
    <x v="0"/>
    <x v="5"/>
    <s v="M"/>
    <n v="3"/>
    <n v="0"/>
    <n v="0"/>
    <n v="0"/>
    <x v="353"/>
    <x v="0"/>
    <x v="5"/>
    <n v="1224.44"/>
  </r>
  <r>
    <n v="3816"/>
    <x v="2"/>
    <x v="1"/>
    <x v="2"/>
    <s v="M"/>
    <n v="0"/>
    <n v="7264.55"/>
    <n v="0"/>
    <n v="0"/>
    <x v="353"/>
    <x v="0"/>
    <x v="0"/>
    <n v="-406.85"/>
  </r>
  <r>
    <n v="3817"/>
    <x v="0"/>
    <x v="4"/>
    <x v="12"/>
    <s v="XL"/>
    <n v="-1"/>
    <n v="0"/>
    <n v="0.61"/>
    <n v="0"/>
    <x v="65"/>
    <x v="1"/>
    <x v="2"/>
    <n v="623.82000000000005"/>
  </r>
  <r>
    <n v="3818"/>
    <x v="1"/>
    <x v="4"/>
    <x v="19"/>
    <s v="L"/>
    <n v="1"/>
    <n v="0"/>
    <n v="1.08"/>
    <n v="0"/>
    <x v="65"/>
    <x v="1"/>
    <x v="3"/>
    <n v="1201.4100000000001"/>
  </r>
  <r>
    <n v="3819"/>
    <x v="0"/>
    <x v="4"/>
    <x v="13"/>
    <s v="M"/>
    <n v="3"/>
    <n v="7171.03"/>
    <n v="0"/>
    <n v="0"/>
    <x v="82"/>
    <x v="1"/>
    <x v="5"/>
    <n v="2723"/>
  </r>
  <r>
    <n v="3820"/>
    <x v="2"/>
    <x v="0"/>
    <x v="5"/>
    <s v="XL"/>
    <n v="0"/>
    <n v="0"/>
    <n v="0"/>
    <n v="0"/>
    <x v="155"/>
    <x v="1"/>
    <x v="2"/>
    <n v="3505.71"/>
  </r>
  <r>
    <n v="3821"/>
    <x v="1"/>
    <x v="2"/>
    <x v="18"/>
    <s v="L"/>
    <n v="-1"/>
    <n v="7539.55"/>
    <n v="0"/>
    <n v="0"/>
    <x v="417"/>
    <x v="1"/>
    <x v="5"/>
    <n v="-17.8"/>
  </r>
  <r>
    <n v="3822"/>
    <x v="0"/>
    <x v="4"/>
    <x v="19"/>
    <s v="M"/>
    <n v="0"/>
    <n v="4017.71"/>
    <n v="0"/>
    <n v="0"/>
    <x v="417"/>
    <x v="0"/>
    <x v="3"/>
    <n v="368.32"/>
  </r>
  <r>
    <n v="3823"/>
    <x v="2"/>
    <x v="3"/>
    <x v="10"/>
    <s v="L"/>
    <n v="-1"/>
    <n v="0"/>
    <n v="0.14000000000000001"/>
    <n v="0"/>
    <x v="417"/>
    <x v="0"/>
    <x v="0"/>
    <n v="531.92999999999995"/>
  </r>
  <r>
    <n v="3824"/>
    <x v="0"/>
    <x v="3"/>
    <x v="11"/>
    <s v="M"/>
    <n v="0"/>
    <n v="0"/>
    <n v="0"/>
    <n v="0"/>
    <x v="131"/>
    <x v="1"/>
    <x v="1"/>
    <n v="3501.41"/>
  </r>
  <r>
    <n v="3826"/>
    <x v="2"/>
    <x v="2"/>
    <x v="7"/>
    <s v="XL"/>
    <n v="0"/>
    <n v="6598.54"/>
    <n v="0"/>
    <n v="0"/>
    <x v="29"/>
    <x v="1"/>
    <x v="2"/>
    <n v="314.89999999999998"/>
  </r>
  <r>
    <n v="3827"/>
    <x v="0"/>
    <x v="1"/>
    <x v="15"/>
    <s v="M"/>
    <n v="2"/>
    <n v="0"/>
    <n v="0"/>
    <n v="0"/>
    <x v="29"/>
    <x v="0"/>
    <x v="4"/>
    <n v="-356.71"/>
  </r>
  <r>
    <n v="3828"/>
    <x v="2"/>
    <x v="4"/>
    <x v="8"/>
    <s v="XL"/>
    <n v="0"/>
    <n v="3208.18"/>
    <n v="0"/>
    <n v="0"/>
    <x v="133"/>
    <x v="1"/>
    <x v="1"/>
    <n v="103.08"/>
  </r>
  <r>
    <n v="3829"/>
    <x v="0"/>
    <x v="3"/>
    <x v="10"/>
    <s v="L"/>
    <n v="0"/>
    <n v="5000.96"/>
    <n v="0"/>
    <n v="0"/>
    <x v="295"/>
    <x v="0"/>
    <x v="2"/>
    <n v="2507.54"/>
  </r>
  <r>
    <n v="3830"/>
    <x v="0"/>
    <x v="1"/>
    <x v="15"/>
    <s v="L"/>
    <n v="2"/>
    <n v="3664.1"/>
    <n v="0"/>
    <n v="0"/>
    <x v="448"/>
    <x v="1"/>
    <x v="1"/>
    <n v="3188.23"/>
  </r>
  <r>
    <n v="3831"/>
    <x v="2"/>
    <x v="3"/>
    <x v="10"/>
    <s v="L"/>
    <n v="0"/>
    <n v="3231.05"/>
    <n v="0"/>
    <n v="0"/>
    <x v="49"/>
    <x v="0"/>
    <x v="0"/>
    <n v="504.5"/>
  </r>
  <r>
    <n v="3832"/>
    <x v="2"/>
    <x v="4"/>
    <x v="12"/>
    <s v="L"/>
    <n v="0"/>
    <n v="3928.02"/>
    <n v="0"/>
    <n v="0"/>
    <x v="228"/>
    <x v="1"/>
    <x v="5"/>
    <n v="3445.25"/>
  </r>
  <r>
    <n v="3834"/>
    <x v="0"/>
    <x v="2"/>
    <x v="17"/>
    <s v="XL"/>
    <n v="0"/>
    <n v="9190.5499999999993"/>
    <n v="1.07"/>
    <n v="0"/>
    <x v="282"/>
    <x v="1"/>
    <x v="4"/>
    <n v="3199.75"/>
  </r>
  <r>
    <n v="3835"/>
    <x v="2"/>
    <x v="3"/>
    <x v="11"/>
    <s v="M"/>
    <n v="1"/>
    <n v="0"/>
    <n v="0"/>
    <n v="0"/>
    <x v="282"/>
    <x v="1"/>
    <x v="3"/>
    <n v="2281.4699999999998"/>
  </r>
  <r>
    <n v="2028"/>
    <x v="1"/>
    <x v="3"/>
    <x v="16"/>
    <s v="M"/>
    <n v="0"/>
    <n v="0"/>
    <n v="1.02"/>
    <n v="0"/>
    <x v="332"/>
    <x v="0"/>
    <x v="4"/>
    <n v="-417.11"/>
  </r>
  <r>
    <n v="3837"/>
    <x v="1"/>
    <x v="1"/>
    <x v="1"/>
    <s v="M"/>
    <n v="0"/>
    <n v="7490.57"/>
    <n v="0.99"/>
    <n v="0"/>
    <x v="179"/>
    <x v="1"/>
    <x v="0"/>
    <n v="1006.53"/>
  </r>
  <r>
    <n v="3838"/>
    <x v="1"/>
    <x v="1"/>
    <x v="6"/>
    <s v="XL"/>
    <n v="0"/>
    <n v="4262.63"/>
    <n v="0.52"/>
    <n v="0"/>
    <x v="67"/>
    <x v="1"/>
    <x v="4"/>
    <n v="373.65"/>
  </r>
  <r>
    <n v="3839"/>
    <x v="1"/>
    <x v="2"/>
    <x v="18"/>
    <s v="L"/>
    <n v="0"/>
    <n v="3907.78"/>
    <n v="0.34"/>
    <n v="0"/>
    <x v="67"/>
    <x v="0"/>
    <x v="4"/>
    <n v="-870.71"/>
  </r>
  <r>
    <n v="3840"/>
    <x v="2"/>
    <x v="1"/>
    <x v="15"/>
    <s v="M"/>
    <n v="0"/>
    <n v="0"/>
    <n v="0"/>
    <n v="0"/>
    <x v="472"/>
    <x v="1"/>
    <x v="3"/>
    <n v="-313.26"/>
  </r>
  <r>
    <n v="3842"/>
    <x v="2"/>
    <x v="1"/>
    <x v="1"/>
    <s v="M"/>
    <n v="-1"/>
    <n v="0"/>
    <n v="1.22"/>
    <n v="0"/>
    <x v="34"/>
    <x v="1"/>
    <x v="2"/>
    <n v="3506.47"/>
  </r>
  <r>
    <n v="3843"/>
    <x v="1"/>
    <x v="0"/>
    <x v="0"/>
    <s v="M"/>
    <n v="2"/>
    <n v="0"/>
    <n v="0"/>
    <n v="0"/>
    <x v="34"/>
    <x v="0"/>
    <x v="1"/>
    <n v="2882.29"/>
  </r>
  <r>
    <n v="3844"/>
    <x v="1"/>
    <x v="0"/>
    <x v="9"/>
    <s v="M"/>
    <n v="1"/>
    <n v="0"/>
    <n v="0.32"/>
    <n v="0"/>
    <x v="380"/>
    <x v="0"/>
    <x v="2"/>
    <n v="1073.8"/>
  </r>
  <r>
    <n v="3845"/>
    <x v="0"/>
    <x v="2"/>
    <x v="7"/>
    <s v="M"/>
    <n v="0"/>
    <n v="0"/>
    <n v="0"/>
    <n v="0"/>
    <x v="380"/>
    <x v="0"/>
    <x v="3"/>
    <n v="968.97"/>
  </r>
  <r>
    <n v="3846"/>
    <x v="1"/>
    <x v="2"/>
    <x v="18"/>
    <s v="M"/>
    <n v="0"/>
    <n v="8357.9599999999991"/>
    <n v="0.28000000000000003"/>
    <n v="0"/>
    <x v="84"/>
    <x v="1"/>
    <x v="0"/>
    <n v="-306.33"/>
  </r>
  <r>
    <n v="3847"/>
    <x v="2"/>
    <x v="4"/>
    <x v="12"/>
    <s v="M"/>
    <n v="0"/>
    <n v="5605.99"/>
    <n v="0"/>
    <n v="0"/>
    <x v="197"/>
    <x v="1"/>
    <x v="4"/>
    <n v="2415.33"/>
  </r>
  <r>
    <n v="3848"/>
    <x v="0"/>
    <x v="4"/>
    <x v="8"/>
    <s v="L"/>
    <n v="0"/>
    <n v="9250.25"/>
    <n v="1.1399999999999999"/>
    <n v="0"/>
    <x v="56"/>
    <x v="0"/>
    <x v="0"/>
    <n v="-945.78"/>
  </r>
  <r>
    <n v="3849"/>
    <x v="2"/>
    <x v="0"/>
    <x v="9"/>
    <s v="XL"/>
    <n v="1"/>
    <n v="0"/>
    <n v="0"/>
    <n v="0"/>
    <x v="56"/>
    <x v="0"/>
    <x v="3"/>
    <n v="-671.09"/>
  </r>
  <r>
    <n v="2045"/>
    <x v="0"/>
    <x v="3"/>
    <x v="16"/>
    <s v="L"/>
    <n v="1"/>
    <n v="4891.0200000000004"/>
    <n v="0"/>
    <n v="0"/>
    <x v="56"/>
    <x v="0"/>
    <x v="5"/>
    <n v="-473.08"/>
  </r>
  <r>
    <n v="3853"/>
    <x v="1"/>
    <x v="0"/>
    <x v="5"/>
    <s v="L"/>
    <n v="1"/>
    <n v="7753.56"/>
    <n v="0"/>
    <n v="0"/>
    <x v="56"/>
    <x v="0"/>
    <x v="5"/>
    <n v="2754.32"/>
  </r>
  <r>
    <n v="3854"/>
    <x v="1"/>
    <x v="0"/>
    <x v="5"/>
    <s v="L"/>
    <n v="3"/>
    <n v="9569.02"/>
    <n v="0"/>
    <n v="0"/>
    <x v="56"/>
    <x v="0"/>
    <x v="0"/>
    <n v="3535.19"/>
  </r>
  <r>
    <n v="3855"/>
    <x v="0"/>
    <x v="4"/>
    <x v="19"/>
    <s v="M"/>
    <n v="0"/>
    <n v="7104.38"/>
    <n v="0.05"/>
    <n v="0"/>
    <x v="473"/>
    <x v="1"/>
    <x v="4"/>
    <n v="-407.89"/>
  </r>
  <r>
    <n v="3856"/>
    <x v="0"/>
    <x v="3"/>
    <x v="4"/>
    <s v="M"/>
    <n v="0"/>
    <n v="6943.86"/>
    <n v="0"/>
    <n v="0"/>
    <x v="473"/>
    <x v="1"/>
    <x v="5"/>
    <n v="2612.88"/>
  </r>
  <r>
    <n v="3858"/>
    <x v="0"/>
    <x v="2"/>
    <x v="7"/>
    <s v="L"/>
    <n v="2"/>
    <n v="0"/>
    <n v="0.87"/>
    <n v="0"/>
    <x v="347"/>
    <x v="0"/>
    <x v="0"/>
    <n v="-485.83"/>
  </r>
  <r>
    <n v="3859"/>
    <x v="0"/>
    <x v="2"/>
    <x v="3"/>
    <s v="M"/>
    <n v="3"/>
    <n v="0"/>
    <n v="0"/>
    <n v="0"/>
    <x v="341"/>
    <x v="1"/>
    <x v="2"/>
    <n v="2907.33"/>
  </r>
  <r>
    <n v="3860"/>
    <x v="2"/>
    <x v="4"/>
    <x v="19"/>
    <s v="M"/>
    <n v="3"/>
    <n v="0"/>
    <n v="0"/>
    <n v="0"/>
    <x v="160"/>
    <x v="0"/>
    <x v="2"/>
    <n v="3441.46"/>
  </r>
  <r>
    <n v="3861"/>
    <x v="2"/>
    <x v="4"/>
    <x v="8"/>
    <s v="M"/>
    <n v="4"/>
    <n v="0"/>
    <n v="0.46"/>
    <n v="0"/>
    <x v="160"/>
    <x v="1"/>
    <x v="1"/>
    <n v="419.79"/>
  </r>
  <r>
    <n v="3862"/>
    <x v="0"/>
    <x v="2"/>
    <x v="17"/>
    <s v="L"/>
    <n v="1"/>
    <n v="0"/>
    <n v="0.61"/>
    <n v="0"/>
    <x v="474"/>
    <x v="0"/>
    <x v="4"/>
    <n v="3454.42"/>
  </r>
  <r>
    <n v="3863"/>
    <x v="1"/>
    <x v="0"/>
    <x v="5"/>
    <s v="XL"/>
    <n v="0"/>
    <n v="6358.33"/>
    <n v="0"/>
    <n v="0"/>
    <x v="90"/>
    <x v="1"/>
    <x v="1"/>
    <n v="290.35000000000002"/>
  </r>
  <r>
    <n v="3864"/>
    <x v="1"/>
    <x v="0"/>
    <x v="0"/>
    <s v="M"/>
    <n v="0"/>
    <n v="0"/>
    <n v="0"/>
    <n v="0"/>
    <x v="475"/>
    <x v="1"/>
    <x v="4"/>
    <n v="2972.96"/>
  </r>
  <r>
    <n v="3865"/>
    <x v="2"/>
    <x v="0"/>
    <x v="14"/>
    <s v="L"/>
    <n v="2"/>
    <n v="7356.92"/>
    <n v="0"/>
    <n v="0"/>
    <x v="475"/>
    <x v="0"/>
    <x v="1"/>
    <n v="-1144.1600000000001"/>
  </r>
  <r>
    <n v="3867"/>
    <x v="0"/>
    <x v="2"/>
    <x v="7"/>
    <s v="XL"/>
    <n v="0"/>
    <n v="0"/>
    <n v="0"/>
    <n v="0"/>
    <x v="2"/>
    <x v="0"/>
    <x v="0"/>
    <n v="3405.94"/>
  </r>
  <r>
    <n v="3868"/>
    <x v="1"/>
    <x v="3"/>
    <x v="11"/>
    <s v="M"/>
    <n v="0"/>
    <n v="3554.76"/>
    <n v="0.51"/>
    <n v="0"/>
    <x v="476"/>
    <x v="0"/>
    <x v="0"/>
    <n v="-593.5"/>
  </r>
  <r>
    <n v="3869"/>
    <x v="1"/>
    <x v="4"/>
    <x v="19"/>
    <s v="L"/>
    <n v="3"/>
    <n v="7599.38"/>
    <n v="1.17"/>
    <n v="-3875.68"/>
    <x v="476"/>
    <x v="1"/>
    <x v="4"/>
    <n v="-633.80999999999995"/>
  </r>
  <r>
    <n v="3870"/>
    <x v="1"/>
    <x v="0"/>
    <x v="14"/>
    <s v="M"/>
    <n v="0"/>
    <n v="6944.2"/>
    <n v="0"/>
    <n v="0"/>
    <x v="106"/>
    <x v="0"/>
    <x v="1"/>
    <n v="764.21"/>
  </r>
  <r>
    <n v="3871"/>
    <x v="1"/>
    <x v="0"/>
    <x v="0"/>
    <s v="XL"/>
    <n v="3"/>
    <n v="0"/>
    <n v="0"/>
    <n v="0"/>
    <x v="260"/>
    <x v="1"/>
    <x v="4"/>
    <n v="1773.99"/>
  </r>
  <r>
    <n v="3873"/>
    <x v="2"/>
    <x v="1"/>
    <x v="1"/>
    <s v="M"/>
    <n v="3"/>
    <n v="0"/>
    <n v="0"/>
    <n v="0"/>
    <x v="260"/>
    <x v="0"/>
    <x v="0"/>
    <n v="996.15"/>
  </r>
  <r>
    <n v="3874"/>
    <x v="1"/>
    <x v="4"/>
    <x v="19"/>
    <s v="XL"/>
    <n v="4"/>
    <n v="3305.6"/>
    <n v="0.7"/>
    <n v="3966.72"/>
    <x v="451"/>
    <x v="0"/>
    <x v="5"/>
    <n v="1605.13"/>
  </r>
  <r>
    <n v="3875"/>
    <x v="1"/>
    <x v="4"/>
    <x v="19"/>
    <s v="L"/>
    <n v="0"/>
    <n v="3304.18"/>
    <n v="0.9"/>
    <n v="0"/>
    <x v="451"/>
    <x v="1"/>
    <x v="3"/>
    <n v="3345.28"/>
  </r>
  <r>
    <n v="3876"/>
    <x v="2"/>
    <x v="1"/>
    <x v="15"/>
    <s v="XL"/>
    <n v="-1"/>
    <n v="4310.8999999999996"/>
    <n v="0"/>
    <n v="0"/>
    <x v="53"/>
    <x v="1"/>
    <x v="1"/>
    <n v="3835.88"/>
  </r>
  <r>
    <n v="3878"/>
    <x v="2"/>
    <x v="3"/>
    <x v="10"/>
    <s v="XL"/>
    <n v="0"/>
    <n v="3224.56"/>
    <n v="0"/>
    <n v="0"/>
    <x v="441"/>
    <x v="1"/>
    <x v="5"/>
    <n v="2178.2199999999998"/>
  </r>
  <r>
    <n v="3879"/>
    <x v="2"/>
    <x v="0"/>
    <x v="5"/>
    <s v="M"/>
    <n v="0"/>
    <n v="6473.43"/>
    <n v="0.1"/>
    <n v="0"/>
    <x v="441"/>
    <x v="1"/>
    <x v="3"/>
    <n v="2954.36"/>
  </r>
  <r>
    <n v="3882"/>
    <x v="2"/>
    <x v="1"/>
    <x v="1"/>
    <s v="M"/>
    <n v="0"/>
    <n v="7237.49"/>
    <n v="0"/>
    <n v="0"/>
    <x v="441"/>
    <x v="0"/>
    <x v="0"/>
    <n v="-376.24"/>
  </r>
  <r>
    <n v="3883"/>
    <x v="0"/>
    <x v="1"/>
    <x v="2"/>
    <s v="M"/>
    <n v="0"/>
    <n v="8737.43"/>
    <n v="0"/>
    <n v="0"/>
    <x v="226"/>
    <x v="1"/>
    <x v="4"/>
    <n v="-1174.75"/>
  </r>
  <r>
    <n v="2012"/>
    <x v="2"/>
    <x v="4"/>
    <x v="8"/>
    <s v="XL"/>
    <n v="0"/>
    <n v="0"/>
    <n v="0"/>
    <n v="0"/>
    <x v="433"/>
    <x v="1"/>
    <x v="0"/>
    <n v="-685.96"/>
  </r>
  <r>
    <n v="3885"/>
    <x v="2"/>
    <x v="0"/>
    <x v="9"/>
    <s v="XL"/>
    <n v="2"/>
    <n v="0"/>
    <n v="0"/>
    <n v="0"/>
    <x v="51"/>
    <x v="0"/>
    <x v="0"/>
    <n v="-512.97"/>
  </r>
  <r>
    <n v="3886"/>
    <x v="0"/>
    <x v="4"/>
    <x v="12"/>
    <s v="M"/>
    <n v="0"/>
    <n v="4967.6899999999996"/>
    <n v="0"/>
    <n v="0"/>
    <x v="6"/>
    <x v="1"/>
    <x v="4"/>
    <n v="-136.16"/>
  </r>
  <r>
    <n v="3887"/>
    <x v="1"/>
    <x v="4"/>
    <x v="13"/>
    <s v="M"/>
    <n v="4"/>
    <n v="0"/>
    <n v="0"/>
    <n v="0"/>
    <x v="357"/>
    <x v="0"/>
    <x v="2"/>
    <n v="3824.51"/>
  </r>
  <r>
    <n v="3890"/>
    <x v="1"/>
    <x v="0"/>
    <x v="14"/>
    <s v="XL"/>
    <n v="0"/>
    <n v="4392.78"/>
    <n v="0"/>
    <n v="0"/>
    <x v="13"/>
    <x v="0"/>
    <x v="4"/>
    <n v="676.44"/>
  </r>
  <r>
    <n v="3891"/>
    <x v="2"/>
    <x v="0"/>
    <x v="14"/>
    <s v="L"/>
    <n v="0"/>
    <n v="9453.17"/>
    <n v="0"/>
    <n v="0"/>
    <x v="143"/>
    <x v="1"/>
    <x v="0"/>
    <n v="3832.99"/>
  </r>
  <r>
    <n v="3892"/>
    <x v="0"/>
    <x v="0"/>
    <x v="5"/>
    <s v="M"/>
    <n v="0"/>
    <n v="0"/>
    <n v="0"/>
    <n v="0"/>
    <x v="143"/>
    <x v="0"/>
    <x v="4"/>
    <n v="2262.3000000000002"/>
  </r>
  <r>
    <n v="3894"/>
    <x v="1"/>
    <x v="1"/>
    <x v="2"/>
    <s v="M"/>
    <n v="-1"/>
    <n v="5255.98"/>
    <n v="1.03"/>
    <n v="157.68"/>
    <x v="477"/>
    <x v="0"/>
    <x v="3"/>
    <n v="-1067.96"/>
  </r>
  <r>
    <n v="3895"/>
    <x v="2"/>
    <x v="1"/>
    <x v="1"/>
    <s v="XL"/>
    <n v="-1"/>
    <n v="0"/>
    <n v="0"/>
    <n v="0"/>
    <x v="80"/>
    <x v="0"/>
    <x v="1"/>
    <n v="366.35"/>
  </r>
  <r>
    <n v="3897"/>
    <x v="1"/>
    <x v="1"/>
    <x v="1"/>
    <s v="M"/>
    <n v="2"/>
    <n v="6050.27"/>
    <n v="0.69"/>
    <n v="3751.17"/>
    <x v="80"/>
    <x v="1"/>
    <x v="4"/>
    <n v="3332.49"/>
  </r>
  <r>
    <n v="3898"/>
    <x v="2"/>
    <x v="4"/>
    <x v="19"/>
    <s v="L"/>
    <n v="1"/>
    <n v="0"/>
    <n v="7.0000000000000007E-2"/>
    <n v="0"/>
    <x v="151"/>
    <x v="1"/>
    <x v="1"/>
    <n v="1353.92"/>
  </r>
  <r>
    <n v="3899"/>
    <x v="2"/>
    <x v="4"/>
    <x v="13"/>
    <s v="L"/>
    <n v="1"/>
    <n v="0"/>
    <n v="0.75"/>
    <n v="0"/>
    <x v="151"/>
    <x v="1"/>
    <x v="3"/>
    <n v="-579.76"/>
  </r>
  <r>
    <n v="3900"/>
    <x v="2"/>
    <x v="4"/>
    <x v="13"/>
    <s v="M"/>
    <n v="3"/>
    <n v="9599.44"/>
    <n v="0"/>
    <n v="0"/>
    <x v="424"/>
    <x v="1"/>
    <x v="4"/>
    <n v="-553.29999999999995"/>
  </r>
  <r>
    <n v="3901"/>
    <x v="2"/>
    <x v="3"/>
    <x v="10"/>
    <s v="XL"/>
    <n v="0"/>
    <n v="0"/>
    <n v="0.12"/>
    <n v="0"/>
    <x v="19"/>
    <x v="1"/>
    <x v="2"/>
    <n v="1461.25"/>
  </r>
  <r>
    <n v="3902"/>
    <x v="2"/>
    <x v="3"/>
    <x v="16"/>
    <s v="XL"/>
    <n v="0"/>
    <n v="0"/>
    <n v="0.85"/>
    <n v="0"/>
    <x v="435"/>
    <x v="0"/>
    <x v="5"/>
    <n v="3175.54"/>
  </r>
  <r>
    <n v="3903"/>
    <x v="0"/>
    <x v="3"/>
    <x v="4"/>
    <s v="M"/>
    <n v="0"/>
    <n v="0"/>
    <n v="0"/>
    <n v="0"/>
    <x v="435"/>
    <x v="0"/>
    <x v="3"/>
    <n v="-101.29"/>
  </r>
  <r>
    <n v="3904"/>
    <x v="0"/>
    <x v="1"/>
    <x v="15"/>
    <s v="L"/>
    <n v="2"/>
    <n v="7775.87"/>
    <n v="0"/>
    <n v="0"/>
    <x v="228"/>
    <x v="1"/>
    <x v="0"/>
    <n v="1143.1099999999999"/>
  </r>
  <r>
    <n v="3905"/>
    <x v="1"/>
    <x v="1"/>
    <x v="1"/>
    <s v="M"/>
    <n v="0"/>
    <n v="0"/>
    <n v="0"/>
    <n v="0"/>
    <x v="40"/>
    <x v="1"/>
    <x v="5"/>
    <n v="3926.59"/>
  </r>
  <r>
    <n v="3906"/>
    <x v="2"/>
    <x v="2"/>
    <x v="17"/>
    <s v="XL"/>
    <n v="4"/>
    <n v="7588.77"/>
    <n v="0.14000000000000001"/>
    <n v="26105.37"/>
    <x v="448"/>
    <x v="0"/>
    <x v="1"/>
    <n v="3435.73"/>
  </r>
  <r>
    <n v="3907"/>
    <x v="1"/>
    <x v="3"/>
    <x v="4"/>
    <s v="L"/>
    <n v="3"/>
    <n v="0"/>
    <n v="0"/>
    <n v="0"/>
    <x v="448"/>
    <x v="1"/>
    <x v="4"/>
    <n v="3362.1"/>
  </r>
  <r>
    <n v="3909"/>
    <x v="1"/>
    <x v="1"/>
    <x v="2"/>
    <s v="L"/>
    <n v="0"/>
    <n v="0"/>
    <n v="0"/>
    <n v="0"/>
    <x v="448"/>
    <x v="1"/>
    <x v="4"/>
    <n v="-286.57"/>
  </r>
  <r>
    <n v="3910"/>
    <x v="2"/>
    <x v="4"/>
    <x v="13"/>
    <s v="XL"/>
    <n v="0"/>
    <n v="2913.15"/>
    <n v="0"/>
    <n v="0"/>
    <x v="312"/>
    <x v="0"/>
    <x v="3"/>
    <n v="1834.09"/>
  </r>
  <r>
    <n v="3911"/>
    <x v="2"/>
    <x v="1"/>
    <x v="2"/>
    <s v="M"/>
    <n v="1"/>
    <n v="5598.98"/>
    <n v="0"/>
    <n v="0"/>
    <x v="478"/>
    <x v="1"/>
    <x v="2"/>
    <n v="3070.67"/>
  </r>
  <r>
    <n v="3912"/>
    <x v="0"/>
    <x v="4"/>
    <x v="19"/>
    <s v="L"/>
    <n v="-1"/>
    <n v="6977.03"/>
    <n v="0"/>
    <n v="0"/>
    <x v="381"/>
    <x v="0"/>
    <x v="3"/>
    <n v="-670.41"/>
  </r>
  <r>
    <n v="3913"/>
    <x v="0"/>
    <x v="0"/>
    <x v="14"/>
    <s v="XL"/>
    <n v="1"/>
    <n v="5255.09"/>
    <n v="0"/>
    <n v="0"/>
    <x v="479"/>
    <x v="1"/>
    <x v="4"/>
    <n v="2941.84"/>
  </r>
  <r>
    <n v="3914"/>
    <x v="0"/>
    <x v="1"/>
    <x v="1"/>
    <s v="XL"/>
    <n v="2"/>
    <n v="0"/>
    <n v="0"/>
    <n v="0"/>
    <x v="327"/>
    <x v="1"/>
    <x v="4"/>
    <n v="1253.02"/>
  </r>
  <r>
    <n v="3915"/>
    <x v="2"/>
    <x v="3"/>
    <x v="11"/>
    <s v="M"/>
    <n v="2"/>
    <n v="7962.36"/>
    <n v="0"/>
    <n v="0"/>
    <x v="365"/>
    <x v="0"/>
    <x v="3"/>
    <n v="3067.47"/>
  </r>
  <r>
    <n v="3916"/>
    <x v="1"/>
    <x v="1"/>
    <x v="2"/>
    <s v="L"/>
    <n v="3"/>
    <n v="0"/>
    <n v="0"/>
    <n v="0"/>
    <x v="365"/>
    <x v="1"/>
    <x v="5"/>
    <n v="1315.69"/>
  </r>
  <r>
    <n v="3917"/>
    <x v="1"/>
    <x v="3"/>
    <x v="4"/>
    <s v="L"/>
    <n v="0"/>
    <n v="4726.33"/>
    <n v="0"/>
    <n v="0"/>
    <x v="30"/>
    <x v="0"/>
    <x v="3"/>
    <n v="3551.31"/>
  </r>
  <r>
    <n v="3918"/>
    <x v="2"/>
    <x v="3"/>
    <x v="16"/>
    <s v="M"/>
    <n v="0"/>
    <n v="0"/>
    <n v="0.85"/>
    <n v="0"/>
    <x v="30"/>
    <x v="0"/>
    <x v="0"/>
    <n v="1173.8"/>
  </r>
  <r>
    <n v="2032"/>
    <x v="0"/>
    <x v="2"/>
    <x v="7"/>
    <s v="M"/>
    <n v="-1"/>
    <n v="0"/>
    <n v="0"/>
    <n v="0"/>
    <x v="297"/>
    <x v="1"/>
    <x v="0"/>
    <n v="2281.5"/>
  </r>
  <r>
    <n v="3920"/>
    <x v="1"/>
    <x v="3"/>
    <x v="10"/>
    <s v="L"/>
    <n v="0"/>
    <n v="5540.68"/>
    <n v="0"/>
    <n v="0"/>
    <x v="195"/>
    <x v="0"/>
    <x v="3"/>
    <n v="1252.1199999999999"/>
  </r>
  <r>
    <n v="3921"/>
    <x v="0"/>
    <x v="2"/>
    <x v="3"/>
    <s v="L"/>
    <n v="0"/>
    <n v="0"/>
    <n v="0"/>
    <n v="0"/>
    <x v="340"/>
    <x v="1"/>
    <x v="1"/>
    <n v="3939.3"/>
  </r>
  <r>
    <n v="3922"/>
    <x v="0"/>
    <x v="1"/>
    <x v="15"/>
    <s v="L"/>
    <n v="0"/>
    <n v="0"/>
    <n v="0"/>
    <n v="0"/>
    <x v="340"/>
    <x v="1"/>
    <x v="0"/>
    <n v="1876.21"/>
  </r>
  <r>
    <n v="3923"/>
    <x v="2"/>
    <x v="4"/>
    <x v="19"/>
    <s v="XL"/>
    <n v="0"/>
    <n v="2187.0100000000002"/>
    <n v="0"/>
    <n v="0"/>
    <x v="431"/>
    <x v="0"/>
    <x v="5"/>
    <n v="-197.46"/>
  </r>
  <r>
    <n v="3924"/>
    <x v="1"/>
    <x v="3"/>
    <x v="16"/>
    <s v="L"/>
    <n v="0"/>
    <n v="4809.5"/>
    <n v="0"/>
    <n v="0"/>
    <x v="409"/>
    <x v="0"/>
    <x v="5"/>
    <n v="3090.67"/>
  </r>
  <r>
    <n v="3925"/>
    <x v="0"/>
    <x v="4"/>
    <x v="19"/>
    <s v="M"/>
    <n v="2"/>
    <n v="0"/>
    <n v="0.23"/>
    <n v="0"/>
    <x v="23"/>
    <x v="1"/>
    <x v="1"/>
    <n v="36.04"/>
  </r>
  <r>
    <n v="3926"/>
    <x v="2"/>
    <x v="2"/>
    <x v="17"/>
    <s v="XL"/>
    <n v="2"/>
    <n v="4791.8599999999997"/>
    <n v="0"/>
    <n v="0"/>
    <x v="454"/>
    <x v="0"/>
    <x v="2"/>
    <n v="2972.86"/>
  </r>
  <r>
    <n v="3927"/>
    <x v="1"/>
    <x v="1"/>
    <x v="2"/>
    <s v="L"/>
    <n v="0"/>
    <n v="0"/>
    <n v="0"/>
    <n v="0"/>
    <x v="58"/>
    <x v="1"/>
    <x v="0"/>
    <n v="999.67"/>
  </r>
  <r>
    <n v="3930"/>
    <x v="2"/>
    <x v="1"/>
    <x v="15"/>
    <s v="M"/>
    <n v="0"/>
    <n v="3606.77"/>
    <n v="0"/>
    <n v="0"/>
    <x v="398"/>
    <x v="1"/>
    <x v="2"/>
    <n v="3624.68"/>
  </r>
  <r>
    <n v="3931"/>
    <x v="2"/>
    <x v="2"/>
    <x v="17"/>
    <s v="XL"/>
    <n v="0"/>
    <n v="9904.73"/>
    <n v="0.66"/>
    <n v="0"/>
    <x v="398"/>
    <x v="0"/>
    <x v="1"/>
    <n v="-115.24"/>
  </r>
  <r>
    <n v="3932"/>
    <x v="0"/>
    <x v="0"/>
    <x v="0"/>
    <s v="L"/>
    <n v="4"/>
    <n v="4520.97"/>
    <n v="0.54"/>
    <n v="8318.58"/>
    <x v="241"/>
    <x v="1"/>
    <x v="0"/>
    <n v="1289.3599999999999"/>
  </r>
  <r>
    <n v="3933"/>
    <x v="2"/>
    <x v="0"/>
    <x v="0"/>
    <s v="XL"/>
    <n v="4"/>
    <n v="0"/>
    <n v="0"/>
    <n v="0"/>
    <x v="244"/>
    <x v="0"/>
    <x v="3"/>
    <n v="1348.54"/>
  </r>
  <r>
    <n v="3935"/>
    <x v="1"/>
    <x v="3"/>
    <x v="4"/>
    <s v="M"/>
    <n v="0"/>
    <n v="0"/>
    <n v="0"/>
    <n v="0"/>
    <x v="325"/>
    <x v="1"/>
    <x v="3"/>
    <n v="-833.94"/>
  </r>
  <r>
    <n v="3936"/>
    <x v="0"/>
    <x v="2"/>
    <x v="3"/>
    <s v="M"/>
    <n v="3"/>
    <n v="3544.33"/>
    <n v="0"/>
    <n v="0"/>
    <x v="480"/>
    <x v="1"/>
    <x v="3"/>
    <n v="1983.5"/>
  </r>
  <r>
    <n v="3937"/>
    <x v="1"/>
    <x v="3"/>
    <x v="4"/>
    <s v="M"/>
    <n v="0"/>
    <n v="9550.19"/>
    <n v="0"/>
    <n v="0"/>
    <x v="182"/>
    <x v="0"/>
    <x v="1"/>
    <n v="-638.36"/>
  </r>
  <r>
    <n v="3938"/>
    <x v="0"/>
    <x v="0"/>
    <x v="0"/>
    <s v="M"/>
    <n v="1"/>
    <n v="2823.65"/>
    <n v="0"/>
    <n v="0"/>
    <x v="182"/>
    <x v="0"/>
    <x v="5"/>
    <n v="1933.98"/>
  </r>
  <r>
    <n v="3939"/>
    <x v="1"/>
    <x v="0"/>
    <x v="14"/>
    <s v="M"/>
    <n v="0"/>
    <n v="0"/>
    <n v="0"/>
    <n v="0"/>
    <x v="121"/>
    <x v="0"/>
    <x v="0"/>
    <n v="2219.59"/>
  </r>
  <r>
    <n v="3940"/>
    <x v="0"/>
    <x v="3"/>
    <x v="4"/>
    <s v="M"/>
    <n v="0"/>
    <n v="0"/>
    <n v="0"/>
    <n v="0"/>
    <x v="204"/>
    <x v="0"/>
    <x v="1"/>
    <n v="491.15"/>
  </r>
  <r>
    <n v="3942"/>
    <x v="2"/>
    <x v="2"/>
    <x v="3"/>
    <s v="M"/>
    <n v="1"/>
    <n v="3283.25"/>
    <n v="0"/>
    <n v="0"/>
    <x v="481"/>
    <x v="0"/>
    <x v="4"/>
    <n v="-938.81"/>
  </r>
  <r>
    <n v="2002"/>
    <x v="0"/>
    <x v="1"/>
    <x v="15"/>
    <s v="XL"/>
    <n v="0"/>
    <n v="0"/>
    <n v="0"/>
    <n v="0"/>
    <x v="386"/>
    <x v="0"/>
    <x v="4"/>
    <n v="-789.24"/>
  </r>
  <r>
    <n v="3948"/>
    <x v="1"/>
    <x v="4"/>
    <x v="19"/>
    <s v="L"/>
    <n v="0"/>
    <n v="0"/>
    <n v="0.64"/>
    <n v="0"/>
    <x v="386"/>
    <x v="0"/>
    <x v="4"/>
    <n v="3470.77"/>
  </r>
  <r>
    <n v="3950"/>
    <x v="0"/>
    <x v="3"/>
    <x v="4"/>
    <s v="XL"/>
    <n v="0"/>
    <n v="3474.66"/>
    <n v="0"/>
    <n v="0"/>
    <x v="462"/>
    <x v="0"/>
    <x v="5"/>
    <n v="474.81"/>
  </r>
  <r>
    <n v="3952"/>
    <x v="1"/>
    <x v="1"/>
    <x v="6"/>
    <s v="M"/>
    <n v="0"/>
    <n v="0"/>
    <n v="0.83"/>
    <n v="0"/>
    <x v="161"/>
    <x v="0"/>
    <x v="2"/>
    <n v="3142.6"/>
  </r>
  <r>
    <n v="3953"/>
    <x v="1"/>
    <x v="4"/>
    <x v="8"/>
    <s v="XL"/>
    <n v="0"/>
    <n v="0"/>
    <n v="0"/>
    <n v="0"/>
    <x v="351"/>
    <x v="1"/>
    <x v="4"/>
    <n v="2004.93"/>
  </r>
  <r>
    <n v="2042"/>
    <x v="0"/>
    <x v="1"/>
    <x v="1"/>
    <s v="L"/>
    <n v="4"/>
    <n v="8290.9699999999993"/>
    <n v="0"/>
    <n v="0"/>
    <x v="204"/>
    <x v="0"/>
    <x v="4"/>
    <n v="-84.8"/>
  </r>
  <r>
    <n v="3955"/>
    <x v="0"/>
    <x v="0"/>
    <x v="0"/>
    <s v="XL"/>
    <n v="3"/>
    <n v="0"/>
    <n v="0"/>
    <n v="0"/>
    <x v="6"/>
    <x v="1"/>
    <x v="3"/>
    <n v="1798.76"/>
  </r>
  <r>
    <n v="3957"/>
    <x v="2"/>
    <x v="2"/>
    <x v="7"/>
    <s v="XL"/>
    <n v="0"/>
    <n v="2113.0100000000002"/>
    <n v="1.1399999999999999"/>
    <n v="0"/>
    <x v="119"/>
    <x v="0"/>
    <x v="1"/>
    <n v="2404.92"/>
  </r>
  <r>
    <n v="3959"/>
    <x v="0"/>
    <x v="2"/>
    <x v="17"/>
    <s v="M"/>
    <n v="4"/>
    <n v="6091.98"/>
    <n v="0"/>
    <n v="0"/>
    <x v="42"/>
    <x v="1"/>
    <x v="2"/>
    <n v="2494.96"/>
  </r>
  <r>
    <n v="3960"/>
    <x v="1"/>
    <x v="2"/>
    <x v="17"/>
    <s v="M"/>
    <n v="0"/>
    <n v="2451.4699999999998"/>
    <n v="0"/>
    <n v="0"/>
    <x v="372"/>
    <x v="1"/>
    <x v="2"/>
    <n v="1850.9"/>
  </r>
  <r>
    <n v="2041"/>
    <x v="0"/>
    <x v="1"/>
    <x v="1"/>
    <s v="M"/>
    <n v="-1"/>
    <n v="4414.63"/>
    <n v="0"/>
    <n v="0"/>
    <x v="151"/>
    <x v="0"/>
    <x v="0"/>
    <n v="1709.18"/>
  </r>
  <r>
    <n v="3963"/>
    <x v="2"/>
    <x v="1"/>
    <x v="6"/>
    <s v="XL"/>
    <n v="1"/>
    <n v="6698.41"/>
    <n v="0"/>
    <n v="0"/>
    <x v="151"/>
    <x v="1"/>
    <x v="2"/>
    <n v="-245.76"/>
  </r>
  <r>
    <n v="3964"/>
    <x v="1"/>
    <x v="0"/>
    <x v="14"/>
    <s v="XL"/>
    <n v="-1"/>
    <n v="0"/>
    <n v="0"/>
    <n v="0"/>
    <x v="303"/>
    <x v="1"/>
    <x v="5"/>
    <n v="117.6"/>
  </r>
  <r>
    <n v="3965"/>
    <x v="0"/>
    <x v="1"/>
    <x v="6"/>
    <s v="M"/>
    <n v="0"/>
    <n v="0"/>
    <n v="0.05"/>
    <n v="0"/>
    <x v="303"/>
    <x v="0"/>
    <x v="1"/>
    <n v="1194.67"/>
  </r>
  <r>
    <n v="3966"/>
    <x v="0"/>
    <x v="0"/>
    <x v="9"/>
    <s v="M"/>
    <n v="0"/>
    <n v="0"/>
    <n v="0"/>
    <n v="0"/>
    <x v="303"/>
    <x v="1"/>
    <x v="2"/>
    <n v="2072.67"/>
  </r>
  <r>
    <n v="3968"/>
    <x v="0"/>
    <x v="2"/>
    <x v="7"/>
    <s v="M"/>
    <n v="0"/>
    <n v="8141.77"/>
    <n v="0"/>
    <n v="0"/>
    <x v="437"/>
    <x v="1"/>
    <x v="0"/>
    <n v="774.01"/>
  </r>
  <r>
    <n v="3969"/>
    <x v="1"/>
    <x v="2"/>
    <x v="7"/>
    <s v="XL"/>
    <n v="0"/>
    <n v="7922.86"/>
    <n v="0"/>
    <n v="0"/>
    <x v="185"/>
    <x v="1"/>
    <x v="2"/>
    <n v="3753.92"/>
  </r>
  <r>
    <n v="3970"/>
    <x v="2"/>
    <x v="1"/>
    <x v="15"/>
    <s v="L"/>
    <n v="0"/>
    <n v="9990.7999999999993"/>
    <n v="0"/>
    <n v="0"/>
    <x v="161"/>
    <x v="1"/>
    <x v="5"/>
    <n v="3351.31"/>
  </r>
  <r>
    <n v="3971"/>
    <x v="0"/>
    <x v="0"/>
    <x v="9"/>
    <s v="M"/>
    <n v="0"/>
    <n v="0"/>
    <n v="0.95"/>
    <n v="0"/>
    <x v="207"/>
    <x v="1"/>
    <x v="0"/>
    <n v="3840.73"/>
  </r>
  <r>
    <n v="3972"/>
    <x v="2"/>
    <x v="3"/>
    <x v="16"/>
    <s v="XL"/>
    <n v="1"/>
    <n v="0"/>
    <n v="0"/>
    <n v="0"/>
    <x v="133"/>
    <x v="1"/>
    <x v="0"/>
    <n v="1990.32"/>
  </r>
  <r>
    <n v="3973"/>
    <x v="0"/>
    <x v="3"/>
    <x v="4"/>
    <s v="M"/>
    <n v="2"/>
    <n v="0"/>
    <n v="0"/>
    <n v="0"/>
    <x v="133"/>
    <x v="0"/>
    <x v="0"/>
    <n v="-475.2"/>
  </r>
  <r>
    <n v="3974"/>
    <x v="2"/>
    <x v="2"/>
    <x v="17"/>
    <s v="L"/>
    <n v="4"/>
    <n v="0"/>
    <n v="0"/>
    <n v="0"/>
    <x v="444"/>
    <x v="1"/>
    <x v="4"/>
    <n v="97.6"/>
  </r>
  <r>
    <n v="3975"/>
    <x v="1"/>
    <x v="1"/>
    <x v="1"/>
    <s v="M"/>
    <n v="3"/>
    <n v="0"/>
    <n v="0"/>
    <n v="0"/>
    <x v="219"/>
    <x v="1"/>
    <x v="2"/>
    <n v="1293.3800000000001"/>
  </r>
  <r>
    <n v="3976"/>
    <x v="2"/>
    <x v="0"/>
    <x v="0"/>
    <s v="L"/>
    <n v="4"/>
    <n v="7534.51"/>
    <n v="1.05"/>
    <n v="-1506.9"/>
    <x v="130"/>
    <x v="1"/>
    <x v="4"/>
    <n v="778.13"/>
  </r>
  <r>
    <n v="3977"/>
    <x v="2"/>
    <x v="1"/>
    <x v="6"/>
    <s v="L"/>
    <n v="0"/>
    <n v="7483.74"/>
    <n v="0.21"/>
    <n v="0"/>
    <x v="290"/>
    <x v="0"/>
    <x v="4"/>
    <n v="2545.4899999999998"/>
  </r>
  <r>
    <n v="3979"/>
    <x v="2"/>
    <x v="0"/>
    <x v="14"/>
    <s v="M"/>
    <n v="3"/>
    <n v="0"/>
    <n v="0.5"/>
    <n v="0"/>
    <x v="436"/>
    <x v="0"/>
    <x v="3"/>
    <n v="896.9"/>
  </r>
  <r>
    <n v="3980"/>
    <x v="2"/>
    <x v="0"/>
    <x v="0"/>
    <s v="M"/>
    <n v="0"/>
    <n v="0"/>
    <n v="0"/>
    <n v="0"/>
    <x v="468"/>
    <x v="1"/>
    <x v="1"/>
    <n v="-223.3"/>
  </r>
  <r>
    <n v="3981"/>
    <x v="2"/>
    <x v="1"/>
    <x v="2"/>
    <s v="L"/>
    <n v="0"/>
    <n v="4007.55"/>
    <n v="1.02"/>
    <n v="0"/>
    <x v="482"/>
    <x v="0"/>
    <x v="4"/>
    <n v="90.51"/>
  </r>
  <r>
    <n v="3982"/>
    <x v="2"/>
    <x v="4"/>
    <x v="13"/>
    <s v="L"/>
    <n v="0"/>
    <n v="8006.71"/>
    <n v="0"/>
    <n v="0"/>
    <x v="52"/>
    <x v="0"/>
    <x v="0"/>
    <n v="1486.86"/>
  </r>
  <r>
    <n v="3983"/>
    <x v="0"/>
    <x v="2"/>
    <x v="7"/>
    <s v="L"/>
    <n v="4"/>
    <n v="0"/>
    <n v="0.22"/>
    <n v="0"/>
    <x v="52"/>
    <x v="0"/>
    <x v="3"/>
    <n v="633.64"/>
  </r>
  <r>
    <n v="2048"/>
    <x v="0"/>
    <x v="4"/>
    <x v="8"/>
    <s v="XL"/>
    <n v="2"/>
    <n v="8918.66"/>
    <n v="1.19"/>
    <n v="-3389.09"/>
    <x v="359"/>
    <x v="1"/>
    <x v="4"/>
    <n v="1889.03"/>
  </r>
  <r>
    <n v="3986"/>
    <x v="0"/>
    <x v="3"/>
    <x v="10"/>
    <s v="L"/>
    <n v="1"/>
    <n v="0"/>
    <n v="0"/>
    <n v="0"/>
    <x v="51"/>
    <x v="1"/>
    <x v="2"/>
    <n v="681.84"/>
  </r>
  <r>
    <n v="3987"/>
    <x v="0"/>
    <x v="4"/>
    <x v="13"/>
    <s v="L"/>
    <n v="2"/>
    <n v="0"/>
    <n v="0"/>
    <n v="0"/>
    <x v="439"/>
    <x v="1"/>
    <x v="1"/>
    <n v="3908.61"/>
  </r>
  <r>
    <n v="3988"/>
    <x v="0"/>
    <x v="2"/>
    <x v="3"/>
    <s v="M"/>
    <n v="4"/>
    <n v="7945.46"/>
    <n v="0.67"/>
    <n v="10488.01"/>
    <x v="73"/>
    <x v="0"/>
    <x v="3"/>
    <n v="3698.62"/>
  </r>
  <r>
    <n v="3989"/>
    <x v="2"/>
    <x v="0"/>
    <x v="9"/>
    <s v="L"/>
    <n v="-1"/>
    <n v="0"/>
    <n v="0"/>
    <n v="0"/>
    <x v="129"/>
    <x v="0"/>
    <x v="0"/>
    <n v="1005.26"/>
  </r>
  <r>
    <n v="3990"/>
    <x v="0"/>
    <x v="4"/>
    <x v="8"/>
    <s v="M"/>
    <n v="0"/>
    <n v="0"/>
    <n v="0"/>
    <n v="0"/>
    <x v="129"/>
    <x v="0"/>
    <x v="5"/>
    <n v="2974.82"/>
  </r>
  <r>
    <n v="3992"/>
    <x v="2"/>
    <x v="2"/>
    <x v="17"/>
    <s v="XL"/>
    <n v="-1"/>
    <n v="4431.62"/>
    <n v="0"/>
    <n v="0"/>
    <x v="251"/>
    <x v="0"/>
    <x v="3"/>
    <n v="-907.76"/>
  </r>
  <r>
    <n v="3993"/>
    <x v="0"/>
    <x v="2"/>
    <x v="3"/>
    <s v="M"/>
    <n v="-1"/>
    <n v="0"/>
    <n v="0"/>
    <n v="0"/>
    <x v="326"/>
    <x v="1"/>
    <x v="1"/>
    <n v="1060.98"/>
  </r>
  <r>
    <n v="3995"/>
    <x v="2"/>
    <x v="2"/>
    <x v="18"/>
    <s v="M"/>
    <n v="-1"/>
    <n v="0"/>
    <n v="0.47"/>
    <n v="0"/>
    <x v="326"/>
    <x v="0"/>
    <x v="4"/>
    <n v="3242.46"/>
  </r>
  <r>
    <n v="3997"/>
    <x v="1"/>
    <x v="2"/>
    <x v="7"/>
    <s v="M"/>
    <n v="4"/>
    <n v="0"/>
    <n v="0"/>
    <n v="0"/>
    <x v="54"/>
    <x v="1"/>
    <x v="1"/>
    <n v="-484.62"/>
  </r>
  <r>
    <n v="3999"/>
    <x v="0"/>
    <x v="2"/>
    <x v="3"/>
    <s v="M"/>
    <n v="0"/>
    <n v="0"/>
    <n v="0.27"/>
    <n v="0"/>
    <x v="336"/>
    <x v="0"/>
    <x v="5"/>
    <n v="1484.61"/>
  </r>
  <r>
    <n v="4000"/>
    <x v="1"/>
    <x v="4"/>
    <x v="8"/>
    <s v="M"/>
    <n v="-1"/>
    <n v="0"/>
    <n v="0.11"/>
    <n v="0"/>
    <x v="246"/>
    <x v="1"/>
    <x v="5"/>
    <n v="309.79000000000002"/>
  </r>
  <r>
    <n v="4001"/>
    <x v="1"/>
    <x v="4"/>
    <x v="13"/>
    <s v="L"/>
    <n v="0"/>
    <n v="7586.32"/>
    <n v="0"/>
    <n v="0"/>
    <x v="246"/>
    <x v="0"/>
    <x v="2"/>
    <n v="2155.0100000000002"/>
  </r>
  <r>
    <n v="4002"/>
    <x v="0"/>
    <x v="1"/>
    <x v="6"/>
    <s v="M"/>
    <n v="0"/>
    <n v="6056.88"/>
    <n v="0"/>
    <n v="0"/>
    <x v="43"/>
    <x v="1"/>
    <x v="2"/>
    <n v="2114.0300000000002"/>
  </r>
  <r>
    <n v="4003"/>
    <x v="2"/>
    <x v="2"/>
    <x v="18"/>
    <s v="L"/>
    <n v="0"/>
    <n v="7165.28"/>
    <n v="1.17"/>
    <n v="0"/>
    <x v="337"/>
    <x v="1"/>
    <x v="2"/>
    <n v="839.48"/>
  </r>
  <r>
    <n v="4004"/>
    <x v="2"/>
    <x v="4"/>
    <x v="8"/>
    <s v="XL"/>
    <n v="0"/>
    <n v="0"/>
    <n v="0.06"/>
    <n v="0"/>
    <x v="383"/>
    <x v="1"/>
    <x v="4"/>
    <n v="-748.58"/>
  </r>
  <r>
    <n v="4005"/>
    <x v="0"/>
    <x v="0"/>
    <x v="9"/>
    <s v="M"/>
    <n v="0"/>
    <n v="3730.58"/>
    <n v="0"/>
    <n v="0"/>
    <x v="384"/>
    <x v="0"/>
    <x v="4"/>
    <n v="1784.38"/>
  </r>
  <r>
    <n v="4006"/>
    <x v="0"/>
    <x v="4"/>
    <x v="19"/>
    <s v="M"/>
    <n v="0"/>
    <n v="0"/>
    <n v="0"/>
    <n v="0"/>
    <x v="384"/>
    <x v="1"/>
    <x v="5"/>
    <n v="2617"/>
  </r>
  <r>
    <n v="4007"/>
    <x v="0"/>
    <x v="1"/>
    <x v="2"/>
    <s v="XL"/>
    <n v="0"/>
    <n v="0"/>
    <n v="0"/>
    <n v="0"/>
    <x v="13"/>
    <x v="1"/>
    <x v="3"/>
    <n v="1746.06"/>
  </r>
  <r>
    <n v="4008"/>
    <x v="2"/>
    <x v="4"/>
    <x v="19"/>
    <s v="M"/>
    <n v="3"/>
    <n v="7737.27"/>
    <n v="7.0000000000000007E-2"/>
    <n v="21586.98"/>
    <x v="483"/>
    <x v="1"/>
    <x v="1"/>
    <n v="180.31"/>
  </r>
  <r>
    <n v="4009"/>
    <x v="0"/>
    <x v="4"/>
    <x v="13"/>
    <s v="M"/>
    <n v="0"/>
    <n v="0"/>
    <n v="0"/>
    <n v="0"/>
    <x v="484"/>
    <x v="1"/>
    <x v="2"/>
    <n v="-737.91"/>
  </r>
  <r>
    <n v="2046"/>
    <x v="2"/>
    <x v="0"/>
    <x v="14"/>
    <s v="M"/>
    <n v="-1"/>
    <n v="5091.2"/>
    <n v="0"/>
    <n v="0"/>
    <x v="319"/>
    <x v="1"/>
    <x v="3"/>
    <n v="1544.79"/>
  </r>
  <r>
    <n v="4011"/>
    <x v="1"/>
    <x v="3"/>
    <x v="10"/>
    <s v="M"/>
    <n v="4"/>
    <n v="4909.5600000000004"/>
    <n v="0"/>
    <n v="0"/>
    <x v="71"/>
    <x v="1"/>
    <x v="0"/>
    <n v="2934.53"/>
  </r>
  <r>
    <n v="4013"/>
    <x v="1"/>
    <x v="4"/>
    <x v="19"/>
    <s v="M"/>
    <n v="2"/>
    <n v="3794.99"/>
    <n v="0"/>
    <n v="0"/>
    <x v="71"/>
    <x v="0"/>
    <x v="1"/>
    <n v="1398.9"/>
  </r>
  <r>
    <n v="4014"/>
    <x v="0"/>
    <x v="3"/>
    <x v="10"/>
    <s v="L"/>
    <n v="0"/>
    <n v="0"/>
    <n v="0"/>
    <n v="0"/>
    <x v="120"/>
    <x v="1"/>
    <x v="1"/>
    <n v="563.6"/>
  </r>
  <r>
    <n v="4015"/>
    <x v="2"/>
    <x v="2"/>
    <x v="18"/>
    <s v="L"/>
    <n v="4"/>
    <n v="5505.76"/>
    <n v="0"/>
    <n v="0"/>
    <x v="355"/>
    <x v="0"/>
    <x v="0"/>
    <n v="1194.93"/>
  </r>
  <r>
    <n v="2021"/>
    <x v="0"/>
    <x v="2"/>
    <x v="7"/>
    <s v="XL"/>
    <n v="0"/>
    <n v="4561.67"/>
    <n v="0"/>
    <n v="0"/>
    <x v="236"/>
    <x v="0"/>
    <x v="3"/>
    <n v="1720.61"/>
  </r>
  <r>
    <n v="4017"/>
    <x v="0"/>
    <x v="0"/>
    <x v="9"/>
    <s v="XL"/>
    <n v="0"/>
    <n v="9229.7000000000007"/>
    <n v="0"/>
    <n v="0"/>
    <x v="472"/>
    <x v="0"/>
    <x v="2"/>
    <n v="1178.0999999999999"/>
  </r>
  <r>
    <n v="4018"/>
    <x v="1"/>
    <x v="2"/>
    <x v="3"/>
    <s v="M"/>
    <n v="0"/>
    <n v="6469.59"/>
    <n v="0.36"/>
    <n v="0"/>
    <x v="472"/>
    <x v="1"/>
    <x v="2"/>
    <n v="-69.8"/>
  </r>
  <r>
    <n v="4019"/>
    <x v="1"/>
    <x v="1"/>
    <x v="1"/>
    <s v="M"/>
    <n v="-1"/>
    <n v="0"/>
    <n v="0.66"/>
    <n v="0"/>
    <x v="27"/>
    <x v="0"/>
    <x v="0"/>
    <n v="171.8"/>
  </r>
  <r>
    <n v="4020"/>
    <x v="1"/>
    <x v="3"/>
    <x v="16"/>
    <s v="M"/>
    <n v="0"/>
    <n v="4052.25"/>
    <n v="0"/>
    <n v="0"/>
    <x v="27"/>
    <x v="1"/>
    <x v="0"/>
    <n v="3360.33"/>
  </r>
  <r>
    <n v="4021"/>
    <x v="1"/>
    <x v="4"/>
    <x v="12"/>
    <s v="M"/>
    <n v="0"/>
    <n v="7023.61"/>
    <n v="0"/>
    <n v="0"/>
    <x v="27"/>
    <x v="0"/>
    <x v="4"/>
    <n v="2199.3000000000002"/>
  </r>
  <r>
    <n v="4022"/>
    <x v="0"/>
    <x v="0"/>
    <x v="9"/>
    <s v="L"/>
    <n v="0"/>
    <n v="0"/>
    <n v="0"/>
    <n v="0"/>
    <x v="114"/>
    <x v="0"/>
    <x v="0"/>
    <n v="2380.63"/>
  </r>
  <r>
    <n v="4023"/>
    <x v="1"/>
    <x v="3"/>
    <x v="11"/>
    <s v="XL"/>
    <n v="0"/>
    <n v="2376.12"/>
    <n v="0.76"/>
    <n v="0"/>
    <x v="152"/>
    <x v="0"/>
    <x v="1"/>
    <n v="1267.4100000000001"/>
  </r>
  <r>
    <n v="4024"/>
    <x v="2"/>
    <x v="0"/>
    <x v="9"/>
    <s v="M"/>
    <n v="0"/>
    <n v="0"/>
    <n v="0"/>
    <n v="0"/>
    <x v="380"/>
    <x v="1"/>
    <x v="0"/>
    <n v="-738.85"/>
  </r>
  <r>
    <n v="4025"/>
    <x v="1"/>
    <x v="4"/>
    <x v="12"/>
    <s v="L"/>
    <n v="0"/>
    <n v="2265.37"/>
    <n v="0"/>
    <n v="0"/>
    <x v="485"/>
    <x v="1"/>
    <x v="5"/>
    <n v="2946.35"/>
  </r>
  <r>
    <n v="4026"/>
    <x v="2"/>
    <x v="4"/>
    <x v="13"/>
    <s v="XL"/>
    <n v="0"/>
    <n v="3731.78"/>
    <n v="1.1200000000000001"/>
    <n v="0"/>
    <x v="180"/>
    <x v="0"/>
    <x v="1"/>
    <n v="-885.09"/>
  </r>
  <r>
    <n v="4028"/>
    <x v="1"/>
    <x v="3"/>
    <x v="16"/>
    <s v="M"/>
    <n v="3"/>
    <n v="0"/>
    <n v="1.06"/>
    <n v="0"/>
    <x v="42"/>
    <x v="1"/>
    <x v="4"/>
    <n v="2568.4"/>
  </r>
  <r>
    <n v="4029"/>
    <x v="0"/>
    <x v="0"/>
    <x v="5"/>
    <s v="XL"/>
    <n v="0"/>
    <n v="0"/>
    <n v="0"/>
    <n v="0"/>
    <x v="161"/>
    <x v="1"/>
    <x v="0"/>
    <n v="3231.16"/>
  </r>
  <r>
    <n v="4030"/>
    <x v="2"/>
    <x v="2"/>
    <x v="7"/>
    <s v="L"/>
    <n v="0"/>
    <n v="0"/>
    <n v="0"/>
    <n v="0"/>
    <x v="77"/>
    <x v="0"/>
    <x v="5"/>
    <n v="1865.56"/>
  </r>
  <r>
    <n v="4032"/>
    <x v="2"/>
    <x v="3"/>
    <x v="16"/>
    <s v="M"/>
    <n v="0"/>
    <n v="0"/>
    <n v="0"/>
    <n v="0"/>
    <x v="77"/>
    <x v="1"/>
    <x v="3"/>
    <n v="-135.15"/>
  </r>
  <r>
    <n v="4033"/>
    <x v="2"/>
    <x v="2"/>
    <x v="3"/>
    <s v="L"/>
    <n v="4"/>
    <n v="4398.68"/>
    <n v="0.27"/>
    <n v="12844.15"/>
    <x v="77"/>
    <x v="1"/>
    <x v="0"/>
    <n v="3573.92"/>
  </r>
  <r>
    <n v="2020"/>
    <x v="2"/>
    <x v="3"/>
    <x v="10"/>
    <s v="M"/>
    <n v="2"/>
    <n v="5614.96"/>
    <n v="0"/>
    <n v="0"/>
    <x v="22"/>
    <x v="0"/>
    <x v="5"/>
    <n v="671.98"/>
  </r>
  <r>
    <n v="4035"/>
    <x v="1"/>
    <x v="0"/>
    <x v="14"/>
    <s v="L"/>
    <n v="0"/>
    <n v="0"/>
    <n v="0.87"/>
    <n v="0"/>
    <x v="392"/>
    <x v="1"/>
    <x v="4"/>
    <n v="2738.44"/>
  </r>
  <r>
    <n v="4036"/>
    <x v="2"/>
    <x v="1"/>
    <x v="6"/>
    <s v="M"/>
    <n v="-1"/>
    <n v="0"/>
    <n v="7.0000000000000007E-2"/>
    <n v="0"/>
    <x v="392"/>
    <x v="0"/>
    <x v="2"/>
    <n v="2718.34"/>
  </r>
  <r>
    <n v="4037"/>
    <x v="1"/>
    <x v="4"/>
    <x v="19"/>
    <s v="XL"/>
    <n v="0"/>
    <n v="0"/>
    <n v="0.74"/>
    <n v="0"/>
    <x v="486"/>
    <x v="1"/>
    <x v="4"/>
    <n v="776.81"/>
  </r>
  <r>
    <n v="4039"/>
    <x v="1"/>
    <x v="2"/>
    <x v="18"/>
    <s v="L"/>
    <n v="0"/>
    <n v="5103.01"/>
    <n v="0"/>
    <n v="0"/>
    <x v="258"/>
    <x v="0"/>
    <x v="4"/>
    <n v="-134.82"/>
  </r>
  <r>
    <n v="2041"/>
    <x v="2"/>
    <x v="0"/>
    <x v="9"/>
    <s v="M"/>
    <n v="0"/>
    <n v="0"/>
    <n v="0.35"/>
    <n v="0"/>
    <x v="355"/>
    <x v="0"/>
    <x v="1"/>
    <n v="1727.5"/>
  </r>
  <r>
    <n v="4042"/>
    <x v="0"/>
    <x v="2"/>
    <x v="18"/>
    <s v="M"/>
    <n v="0"/>
    <n v="2566.15"/>
    <n v="0"/>
    <n v="0"/>
    <x v="355"/>
    <x v="0"/>
    <x v="1"/>
    <n v="-198.88"/>
  </r>
  <r>
    <n v="2003"/>
    <x v="1"/>
    <x v="1"/>
    <x v="2"/>
    <s v="L"/>
    <n v="0"/>
    <n v="0"/>
    <n v="0.56000000000000005"/>
    <n v="0"/>
    <x v="142"/>
    <x v="0"/>
    <x v="5"/>
    <n v="2353.41"/>
  </r>
  <r>
    <n v="4046"/>
    <x v="1"/>
    <x v="3"/>
    <x v="4"/>
    <s v="L"/>
    <n v="0"/>
    <n v="5140.99"/>
    <n v="0"/>
    <n v="0"/>
    <x v="332"/>
    <x v="0"/>
    <x v="3"/>
    <n v="999.97"/>
  </r>
  <r>
    <n v="4047"/>
    <x v="2"/>
    <x v="3"/>
    <x v="10"/>
    <s v="M"/>
    <n v="2"/>
    <n v="0"/>
    <n v="0"/>
    <n v="0"/>
    <x v="332"/>
    <x v="1"/>
    <x v="5"/>
    <n v="56.56"/>
  </r>
  <r>
    <n v="4048"/>
    <x v="2"/>
    <x v="3"/>
    <x v="10"/>
    <s v="M"/>
    <n v="0"/>
    <n v="2342.9299999999998"/>
    <n v="0"/>
    <n v="0"/>
    <x v="332"/>
    <x v="1"/>
    <x v="4"/>
    <n v="2239.79"/>
  </r>
  <r>
    <n v="4050"/>
    <x v="1"/>
    <x v="3"/>
    <x v="16"/>
    <s v="XL"/>
    <n v="0"/>
    <n v="3750.77"/>
    <n v="0"/>
    <n v="0"/>
    <x v="151"/>
    <x v="0"/>
    <x v="0"/>
    <n v="-171.08"/>
  </r>
  <r>
    <n v="4052"/>
    <x v="0"/>
    <x v="0"/>
    <x v="5"/>
    <s v="L"/>
    <n v="0"/>
    <n v="6952.66"/>
    <n v="0"/>
    <n v="0"/>
    <x v="46"/>
    <x v="0"/>
    <x v="1"/>
    <n v="1624.3"/>
  </r>
  <r>
    <n v="4053"/>
    <x v="1"/>
    <x v="1"/>
    <x v="15"/>
    <s v="M"/>
    <n v="2"/>
    <n v="0"/>
    <n v="0"/>
    <n v="0"/>
    <x v="38"/>
    <x v="1"/>
    <x v="3"/>
    <n v="21.13"/>
  </r>
  <r>
    <n v="4055"/>
    <x v="0"/>
    <x v="3"/>
    <x v="10"/>
    <s v="L"/>
    <n v="0"/>
    <n v="8333.9500000000007"/>
    <n v="0"/>
    <n v="0"/>
    <x v="38"/>
    <x v="0"/>
    <x v="2"/>
    <n v="3329.27"/>
  </r>
  <r>
    <n v="4056"/>
    <x v="0"/>
    <x v="3"/>
    <x v="10"/>
    <s v="M"/>
    <n v="0"/>
    <n v="0"/>
    <n v="0"/>
    <n v="0"/>
    <x v="487"/>
    <x v="1"/>
    <x v="1"/>
    <n v="3732.77"/>
  </r>
  <r>
    <n v="4057"/>
    <x v="0"/>
    <x v="4"/>
    <x v="12"/>
    <s v="M"/>
    <n v="0"/>
    <n v="0"/>
    <n v="0"/>
    <n v="0"/>
    <x v="488"/>
    <x v="1"/>
    <x v="4"/>
    <n v="2575.38"/>
  </r>
  <r>
    <n v="4058"/>
    <x v="0"/>
    <x v="4"/>
    <x v="12"/>
    <s v="L"/>
    <n v="0"/>
    <n v="0"/>
    <n v="0.34"/>
    <n v="0"/>
    <x v="440"/>
    <x v="0"/>
    <x v="4"/>
    <n v="153.9"/>
  </r>
  <r>
    <n v="4059"/>
    <x v="0"/>
    <x v="4"/>
    <x v="8"/>
    <s v="L"/>
    <n v="1"/>
    <n v="9700.41"/>
    <n v="1.24"/>
    <n v="-2328.1"/>
    <x v="337"/>
    <x v="1"/>
    <x v="4"/>
    <n v="1000.57"/>
  </r>
  <r>
    <n v="4060"/>
    <x v="1"/>
    <x v="1"/>
    <x v="1"/>
    <s v="L"/>
    <n v="-1"/>
    <n v="8655.4599999999991"/>
    <n v="0.9"/>
    <n v="-865.55"/>
    <x v="224"/>
    <x v="0"/>
    <x v="3"/>
    <n v="3159.11"/>
  </r>
  <r>
    <n v="4061"/>
    <x v="2"/>
    <x v="4"/>
    <x v="8"/>
    <s v="XL"/>
    <n v="0"/>
    <n v="0"/>
    <n v="0"/>
    <n v="0"/>
    <x v="224"/>
    <x v="1"/>
    <x v="2"/>
    <n v="2599.62"/>
  </r>
  <r>
    <n v="4062"/>
    <x v="2"/>
    <x v="4"/>
    <x v="13"/>
    <s v="M"/>
    <n v="0"/>
    <n v="0"/>
    <n v="0.48"/>
    <n v="0"/>
    <x v="106"/>
    <x v="0"/>
    <x v="2"/>
    <n v="505.51"/>
  </r>
  <r>
    <n v="4063"/>
    <x v="0"/>
    <x v="2"/>
    <x v="18"/>
    <s v="L"/>
    <n v="0"/>
    <n v="0"/>
    <n v="0.38"/>
    <n v="0"/>
    <x v="106"/>
    <x v="0"/>
    <x v="2"/>
    <n v="-617.86"/>
  </r>
  <r>
    <n v="4064"/>
    <x v="2"/>
    <x v="4"/>
    <x v="8"/>
    <s v="L"/>
    <n v="4"/>
    <n v="0"/>
    <n v="0.38"/>
    <n v="0"/>
    <x v="12"/>
    <x v="1"/>
    <x v="1"/>
    <n v="587.63"/>
  </r>
  <r>
    <n v="4065"/>
    <x v="1"/>
    <x v="4"/>
    <x v="19"/>
    <s v="XL"/>
    <n v="0"/>
    <n v="7881.81"/>
    <n v="0"/>
    <n v="0"/>
    <x v="442"/>
    <x v="0"/>
    <x v="3"/>
    <n v="1067.5899999999999"/>
  </r>
  <r>
    <n v="4066"/>
    <x v="0"/>
    <x v="3"/>
    <x v="4"/>
    <s v="L"/>
    <n v="4"/>
    <n v="6599.26"/>
    <n v="0.85"/>
    <n v="3959.56"/>
    <x v="161"/>
    <x v="1"/>
    <x v="0"/>
    <n v="3344.47"/>
  </r>
  <r>
    <n v="4067"/>
    <x v="2"/>
    <x v="1"/>
    <x v="6"/>
    <s v="M"/>
    <n v="4"/>
    <n v="7408.31"/>
    <n v="0"/>
    <n v="0"/>
    <x v="106"/>
    <x v="0"/>
    <x v="0"/>
    <n v="1974.4"/>
  </r>
  <r>
    <n v="4068"/>
    <x v="2"/>
    <x v="1"/>
    <x v="1"/>
    <s v="M"/>
    <n v="-1"/>
    <n v="0"/>
    <n v="0"/>
    <n v="0"/>
    <x v="106"/>
    <x v="0"/>
    <x v="3"/>
    <n v="1280.5899999999999"/>
  </r>
  <r>
    <n v="2030"/>
    <x v="1"/>
    <x v="1"/>
    <x v="2"/>
    <s v="L"/>
    <n v="0"/>
    <n v="9804.64"/>
    <n v="0.71"/>
    <n v="0"/>
    <x v="398"/>
    <x v="0"/>
    <x v="0"/>
    <n v="635.57000000000005"/>
  </r>
  <r>
    <n v="4070"/>
    <x v="0"/>
    <x v="4"/>
    <x v="8"/>
    <s v="L"/>
    <n v="0"/>
    <n v="6966.16"/>
    <n v="0.24"/>
    <n v="0"/>
    <x v="88"/>
    <x v="1"/>
    <x v="3"/>
    <n v="2671.6"/>
  </r>
  <r>
    <n v="4073"/>
    <x v="0"/>
    <x v="0"/>
    <x v="5"/>
    <s v="M"/>
    <n v="2"/>
    <n v="5732.59"/>
    <n v="0"/>
    <n v="0"/>
    <x v="384"/>
    <x v="0"/>
    <x v="5"/>
    <n v="3353.3"/>
  </r>
  <r>
    <n v="4074"/>
    <x v="0"/>
    <x v="4"/>
    <x v="19"/>
    <s v="L"/>
    <n v="0"/>
    <n v="8673.7800000000007"/>
    <n v="0"/>
    <n v="0"/>
    <x v="489"/>
    <x v="1"/>
    <x v="2"/>
    <n v="-286"/>
  </r>
  <r>
    <n v="4075"/>
    <x v="0"/>
    <x v="3"/>
    <x v="11"/>
    <s v="XL"/>
    <n v="-1"/>
    <n v="0"/>
    <n v="0"/>
    <n v="0"/>
    <x v="245"/>
    <x v="0"/>
    <x v="4"/>
    <n v="2484"/>
  </r>
  <r>
    <n v="4078"/>
    <x v="1"/>
    <x v="2"/>
    <x v="18"/>
    <s v="M"/>
    <n v="0"/>
    <n v="0"/>
    <n v="0.56000000000000005"/>
    <n v="0"/>
    <x v="490"/>
    <x v="0"/>
    <x v="2"/>
    <n v="2742.28"/>
  </r>
  <r>
    <n v="4079"/>
    <x v="0"/>
    <x v="2"/>
    <x v="7"/>
    <s v="XL"/>
    <n v="0"/>
    <n v="0"/>
    <n v="1.03"/>
    <n v="0"/>
    <x v="237"/>
    <x v="1"/>
    <x v="4"/>
    <n v="2083.6"/>
  </r>
  <r>
    <n v="4081"/>
    <x v="2"/>
    <x v="2"/>
    <x v="7"/>
    <s v="XL"/>
    <n v="0"/>
    <n v="4902.1899999999996"/>
    <n v="0.25"/>
    <n v="0"/>
    <x v="237"/>
    <x v="1"/>
    <x v="0"/>
    <n v="608.65"/>
  </r>
  <r>
    <n v="4082"/>
    <x v="0"/>
    <x v="1"/>
    <x v="6"/>
    <s v="M"/>
    <n v="0"/>
    <n v="8233.64"/>
    <n v="0"/>
    <n v="0"/>
    <x v="164"/>
    <x v="1"/>
    <x v="0"/>
    <n v="3007.26"/>
  </r>
  <r>
    <n v="4083"/>
    <x v="2"/>
    <x v="0"/>
    <x v="5"/>
    <s v="L"/>
    <n v="0"/>
    <n v="8711.81"/>
    <n v="0"/>
    <n v="0"/>
    <x v="93"/>
    <x v="0"/>
    <x v="0"/>
    <n v="-773.05"/>
  </r>
  <r>
    <n v="4084"/>
    <x v="0"/>
    <x v="3"/>
    <x v="10"/>
    <s v="M"/>
    <n v="-1"/>
    <n v="2108.04"/>
    <n v="0"/>
    <n v="0"/>
    <x v="93"/>
    <x v="1"/>
    <x v="5"/>
    <n v="-1087.3399999999999"/>
  </r>
  <r>
    <n v="4085"/>
    <x v="2"/>
    <x v="2"/>
    <x v="17"/>
    <s v="L"/>
    <n v="4"/>
    <n v="0"/>
    <n v="1.19"/>
    <n v="0"/>
    <x v="431"/>
    <x v="0"/>
    <x v="0"/>
    <n v="1897.69"/>
  </r>
  <r>
    <n v="4086"/>
    <x v="1"/>
    <x v="3"/>
    <x v="10"/>
    <s v="XL"/>
    <n v="3"/>
    <n v="4537.0200000000004"/>
    <n v="0"/>
    <n v="0"/>
    <x v="491"/>
    <x v="0"/>
    <x v="3"/>
    <n v="-195"/>
  </r>
  <r>
    <n v="4088"/>
    <x v="2"/>
    <x v="0"/>
    <x v="5"/>
    <s v="M"/>
    <n v="2"/>
    <n v="5649.73"/>
    <n v="0.41"/>
    <n v="6666.68"/>
    <x v="399"/>
    <x v="1"/>
    <x v="2"/>
    <n v="1548.1"/>
  </r>
  <r>
    <n v="4090"/>
    <x v="2"/>
    <x v="2"/>
    <x v="18"/>
    <s v="L"/>
    <n v="0"/>
    <n v="5109.51"/>
    <n v="0"/>
    <n v="0"/>
    <x v="119"/>
    <x v="1"/>
    <x v="4"/>
    <n v="-1164.28"/>
  </r>
  <r>
    <n v="4091"/>
    <x v="0"/>
    <x v="3"/>
    <x v="11"/>
    <s v="L"/>
    <n v="0"/>
    <n v="8331.85"/>
    <n v="0"/>
    <n v="0"/>
    <x v="119"/>
    <x v="1"/>
    <x v="5"/>
    <n v="1061.2"/>
  </r>
  <r>
    <n v="4092"/>
    <x v="1"/>
    <x v="2"/>
    <x v="18"/>
    <s v="XL"/>
    <n v="-1"/>
    <n v="9861.7999999999993"/>
    <n v="0"/>
    <n v="0"/>
    <x v="88"/>
    <x v="0"/>
    <x v="4"/>
    <n v="48.02"/>
  </r>
  <r>
    <n v="4093"/>
    <x v="1"/>
    <x v="2"/>
    <x v="7"/>
    <s v="M"/>
    <n v="4"/>
    <n v="8888.58"/>
    <n v="0"/>
    <n v="0"/>
    <x v="88"/>
    <x v="1"/>
    <x v="5"/>
    <n v="2944.03"/>
  </r>
  <r>
    <n v="4094"/>
    <x v="0"/>
    <x v="1"/>
    <x v="1"/>
    <s v="M"/>
    <n v="0"/>
    <n v="4094.79"/>
    <n v="0"/>
    <n v="0"/>
    <x v="127"/>
    <x v="0"/>
    <x v="1"/>
    <n v="2779.39"/>
  </r>
  <r>
    <n v="4095"/>
    <x v="2"/>
    <x v="3"/>
    <x v="11"/>
    <s v="XL"/>
    <n v="1"/>
    <n v="7129.09"/>
    <n v="0"/>
    <n v="0"/>
    <x v="127"/>
    <x v="0"/>
    <x v="3"/>
    <n v="1993.16"/>
  </r>
  <r>
    <n v="4096"/>
    <x v="1"/>
    <x v="1"/>
    <x v="15"/>
    <s v="M"/>
    <n v="0"/>
    <n v="0"/>
    <n v="0"/>
    <n v="0"/>
    <x v="492"/>
    <x v="0"/>
    <x v="3"/>
    <n v="3865.04"/>
  </r>
  <r>
    <n v="4097"/>
    <x v="2"/>
    <x v="4"/>
    <x v="12"/>
    <s v="XL"/>
    <n v="0"/>
    <n v="3443.1"/>
    <n v="0"/>
    <n v="0"/>
    <x v="260"/>
    <x v="1"/>
    <x v="1"/>
    <n v="1928.88"/>
  </r>
  <r>
    <n v="4098"/>
    <x v="2"/>
    <x v="2"/>
    <x v="7"/>
    <s v="L"/>
    <n v="0"/>
    <n v="0"/>
    <n v="0"/>
    <n v="0"/>
    <x v="402"/>
    <x v="1"/>
    <x v="0"/>
    <n v="2371.4499999999998"/>
  </r>
  <r>
    <n v="4100"/>
    <x v="2"/>
    <x v="3"/>
    <x v="16"/>
    <s v="L"/>
    <n v="0"/>
    <n v="3315.29"/>
    <n v="0"/>
    <n v="0"/>
    <x v="493"/>
    <x v="0"/>
    <x v="4"/>
    <n v="1507.71"/>
  </r>
  <r>
    <n v="4103"/>
    <x v="2"/>
    <x v="2"/>
    <x v="7"/>
    <s v="L"/>
    <n v="0"/>
    <n v="2475.41"/>
    <n v="0"/>
    <n v="0"/>
    <x v="493"/>
    <x v="1"/>
    <x v="1"/>
    <n v="2158.91"/>
  </r>
  <r>
    <n v="4104"/>
    <x v="0"/>
    <x v="4"/>
    <x v="13"/>
    <s v="M"/>
    <n v="2"/>
    <n v="0"/>
    <n v="0"/>
    <n v="0"/>
    <x v="494"/>
    <x v="0"/>
    <x v="0"/>
    <n v="3999.21"/>
  </r>
  <r>
    <n v="4105"/>
    <x v="2"/>
    <x v="3"/>
    <x v="16"/>
    <s v="XL"/>
    <n v="0"/>
    <n v="3489.95"/>
    <n v="0"/>
    <n v="0"/>
    <x v="495"/>
    <x v="1"/>
    <x v="0"/>
    <n v="2093.87"/>
  </r>
  <r>
    <n v="4107"/>
    <x v="0"/>
    <x v="3"/>
    <x v="4"/>
    <s v="L"/>
    <n v="2"/>
    <n v="0"/>
    <n v="0"/>
    <n v="0"/>
    <x v="476"/>
    <x v="1"/>
    <x v="1"/>
    <n v="779.19"/>
  </r>
  <r>
    <n v="4108"/>
    <x v="0"/>
    <x v="3"/>
    <x v="16"/>
    <s v="L"/>
    <n v="2"/>
    <n v="2767.55"/>
    <n v="0.19"/>
    <n v="4483.43"/>
    <x v="496"/>
    <x v="0"/>
    <x v="5"/>
    <n v="1059.07"/>
  </r>
  <r>
    <n v="4109"/>
    <x v="0"/>
    <x v="0"/>
    <x v="0"/>
    <s v="M"/>
    <n v="0"/>
    <n v="9731.83"/>
    <n v="0"/>
    <n v="0"/>
    <x v="294"/>
    <x v="0"/>
    <x v="2"/>
    <n v="-675.88"/>
  </r>
  <r>
    <n v="4110"/>
    <x v="2"/>
    <x v="0"/>
    <x v="9"/>
    <s v="M"/>
    <n v="2"/>
    <n v="0"/>
    <n v="0.41"/>
    <n v="0"/>
    <x v="377"/>
    <x v="1"/>
    <x v="1"/>
    <n v="3387.91"/>
  </r>
  <r>
    <n v="4111"/>
    <x v="1"/>
    <x v="2"/>
    <x v="7"/>
    <s v="L"/>
    <n v="-1"/>
    <n v="4934.05"/>
    <n v="0.83"/>
    <n v="-838.79"/>
    <x v="227"/>
    <x v="1"/>
    <x v="0"/>
    <n v="2377.84"/>
  </r>
  <r>
    <n v="4112"/>
    <x v="1"/>
    <x v="3"/>
    <x v="4"/>
    <s v="L"/>
    <n v="-1"/>
    <n v="6254.85"/>
    <n v="0"/>
    <n v="0"/>
    <x v="20"/>
    <x v="0"/>
    <x v="4"/>
    <n v="2093.6799999999998"/>
  </r>
  <r>
    <n v="4113"/>
    <x v="0"/>
    <x v="4"/>
    <x v="13"/>
    <s v="L"/>
    <n v="2"/>
    <n v="6435.66"/>
    <n v="1.05"/>
    <n v="-643.57000000000005"/>
    <x v="279"/>
    <x v="0"/>
    <x v="0"/>
    <n v="3372.49"/>
  </r>
  <r>
    <n v="4114"/>
    <x v="0"/>
    <x v="0"/>
    <x v="9"/>
    <s v="XL"/>
    <n v="4"/>
    <n v="4307.83"/>
    <n v="0"/>
    <n v="0"/>
    <x v="144"/>
    <x v="1"/>
    <x v="0"/>
    <n v="-233.59"/>
  </r>
  <r>
    <n v="4115"/>
    <x v="2"/>
    <x v="4"/>
    <x v="8"/>
    <s v="M"/>
    <n v="0"/>
    <n v="4613.79"/>
    <n v="0"/>
    <n v="0"/>
    <x v="364"/>
    <x v="1"/>
    <x v="4"/>
    <n v="-758.5"/>
  </r>
  <r>
    <n v="4116"/>
    <x v="1"/>
    <x v="2"/>
    <x v="18"/>
    <s v="M"/>
    <n v="0"/>
    <n v="3854.22"/>
    <n v="0"/>
    <n v="0"/>
    <x v="171"/>
    <x v="0"/>
    <x v="3"/>
    <n v="-43.41"/>
  </r>
  <r>
    <n v="4117"/>
    <x v="1"/>
    <x v="4"/>
    <x v="13"/>
    <s v="M"/>
    <n v="0"/>
    <n v="9501.67"/>
    <n v="0.51"/>
    <n v="0"/>
    <x v="178"/>
    <x v="0"/>
    <x v="1"/>
    <n v="266.39999999999998"/>
  </r>
  <r>
    <n v="4118"/>
    <x v="0"/>
    <x v="4"/>
    <x v="19"/>
    <s v="XL"/>
    <n v="4"/>
    <n v="5355.64"/>
    <n v="0"/>
    <n v="0"/>
    <x v="221"/>
    <x v="1"/>
    <x v="2"/>
    <n v="-538.94000000000005"/>
  </r>
  <r>
    <n v="4119"/>
    <x v="0"/>
    <x v="0"/>
    <x v="14"/>
    <s v="M"/>
    <n v="0"/>
    <n v="8849.6200000000008"/>
    <n v="0.69"/>
    <n v="0"/>
    <x v="331"/>
    <x v="0"/>
    <x v="2"/>
    <n v="1451.15"/>
  </r>
  <r>
    <n v="4120"/>
    <x v="1"/>
    <x v="4"/>
    <x v="13"/>
    <s v="M"/>
    <n v="0"/>
    <n v="0"/>
    <n v="1.23"/>
    <n v="0"/>
    <x v="331"/>
    <x v="0"/>
    <x v="4"/>
    <n v="3175.14"/>
  </r>
  <r>
    <n v="4121"/>
    <x v="0"/>
    <x v="0"/>
    <x v="14"/>
    <s v="M"/>
    <n v="0"/>
    <n v="2763.46"/>
    <n v="1"/>
    <n v="0"/>
    <x v="123"/>
    <x v="1"/>
    <x v="0"/>
    <n v="-399.33"/>
  </r>
  <r>
    <n v="4122"/>
    <x v="0"/>
    <x v="2"/>
    <x v="17"/>
    <s v="M"/>
    <n v="1"/>
    <n v="0"/>
    <n v="0"/>
    <n v="0"/>
    <x v="153"/>
    <x v="1"/>
    <x v="2"/>
    <n v="-261.43"/>
  </r>
  <r>
    <n v="4123"/>
    <x v="1"/>
    <x v="3"/>
    <x v="10"/>
    <s v="XL"/>
    <n v="0"/>
    <n v="8184.99"/>
    <n v="0"/>
    <n v="0"/>
    <x v="153"/>
    <x v="1"/>
    <x v="1"/>
    <n v="41.24"/>
  </r>
  <r>
    <n v="4124"/>
    <x v="0"/>
    <x v="4"/>
    <x v="19"/>
    <s v="M"/>
    <n v="1"/>
    <n v="0"/>
    <n v="0"/>
    <n v="0"/>
    <x v="497"/>
    <x v="0"/>
    <x v="4"/>
    <n v="477.62"/>
  </r>
  <r>
    <n v="4125"/>
    <x v="2"/>
    <x v="1"/>
    <x v="1"/>
    <s v="M"/>
    <n v="0"/>
    <n v="0"/>
    <n v="0"/>
    <n v="0"/>
    <x v="497"/>
    <x v="1"/>
    <x v="5"/>
    <n v="2465.79"/>
  </r>
  <r>
    <n v="4126"/>
    <x v="1"/>
    <x v="0"/>
    <x v="0"/>
    <s v="M"/>
    <n v="0"/>
    <n v="0"/>
    <n v="0"/>
    <n v="0"/>
    <x v="498"/>
    <x v="1"/>
    <x v="4"/>
    <n v="1345.61"/>
  </r>
  <r>
    <n v="4127"/>
    <x v="1"/>
    <x v="3"/>
    <x v="11"/>
    <s v="L"/>
    <n v="-1"/>
    <n v="4690.1499999999996"/>
    <n v="0.49"/>
    <n v="-2391.98"/>
    <x v="114"/>
    <x v="0"/>
    <x v="5"/>
    <n v="1331.92"/>
  </r>
  <r>
    <n v="4128"/>
    <x v="1"/>
    <x v="2"/>
    <x v="18"/>
    <s v="M"/>
    <n v="0"/>
    <n v="2566.91"/>
    <n v="0.08"/>
    <n v="0"/>
    <x v="114"/>
    <x v="0"/>
    <x v="2"/>
    <n v="1529.46"/>
  </r>
  <r>
    <n v="4130"/>
    <x v="2"/>
    <x v="3"/>
    <x v="10"/>
    <s v="XL"/>
    <n v="0"/>
    <n v="2776.53"/>
    <n v="0"/>
    <n v="0"/>
    <x v="114"/>
    <x v="0"/>
    <x v="2"/>
    <n v="140.84"/>
  </r>
  <r>
    <n v="4131"/>
    <x v="1"/>
    <x v="3"/>
    <x v="4"/>
    <s v="L"/>
    <n v="0"/>
    <n v="2081.15"/>
    <n v="0.9"/>
    <n v="0"/>
    <x v="328"/>
    <x v="0"/>
    <x v="0"/>
    <n v="3544.31"/>
  </r>
  <r>
    <n v="4132"/>
    <x v="1"/>
    <x v="2"/>
    <x v="17"/>
    <s v="XL"/>
    <n v="0"/>
    <n v="5087.72"/>
    <n v="7.0000000000000007E-2"/>
    <n v="0"/>
    <x v="358"/>
    <x v="0"/>
    <x v="1"/>
    <n v="-921.97"/>
  </r>
  <r>
    <n v="4133"/>
    <x v="2"/>
    <x v="4"/>
    <x v="8"/>
    <s v="L"/>
    <n v="3"/>
    <n v="4105.0600000000004"/>
    <n v="0"/>
    <n v="0"/>
    <x v="99"/>
    <x v="0"/>
    <x v="2"/>
    <n v="1015.38"/>
  </r>
  <r>
    <n v="4134"/>
    <x v="1"/>
    <x v="0"/>
    <x v="14"/>
    <s v="M"/>
    <n v="1"/>
    <n v="0"/>
    <n v="1.1100000000000001"/>
    <n v="0"/>
    <x v="99"/>
    <x v="1"/>
    <x v="4"/>
    <n v="2535.71"/>
  </r>
  <r>
    <n v="4136"/>
    <x v="0"/>
    <x v="2"/>
    <x v="18"/>
    <s v="M"/>
    <n v="0"/>
    <n v="0"/>
    <n v="0"/>
    <n v="0"/>
    <x v="328"/>
    <x v="0"/>
    <x v="4"/>
    <n v="-105.03"/>
  </r>
  <r>
    <n v="4140"/>
    <x v="1"/>
    <x v="3"/>
    <x v="10"/>
    <s v="XL"/>
    <n v="-1"/>
    <n v="0"/>
    <n v="0"/>
    <n v="0"/>
    <x v="77"/>
    <x v="0"/>
    <x v="0"/>
    <n v="3381.94"/>
  </r>
  <r>
    <n v="4141"/>
    <x v="2"/>
    <x v="0"/>
    <x v="14"/>
    <s v="M"/>
    <n v="0"/>
    <n v="2406.0300000000002"/>
    <n v="0"/>
    <n v="0"/>
    <x v="114"/>
    <x v="0"/>
    <x v="0"/>
    <n v="1504.9"/>
  </r>
  <r>
    <n v="4142"/>
    <x v="0"/>
    <x v="0"/>
    <x v="5"/>
    <s v="L"/>
    <n v="-1"/>
    <n v="2840.97"/>
    <n v="0.87"/>
    <n v="-369.33"/>
    <x v="114"/>
    <x v="0"/>
    <x v="0"/>
    <n v="3836.65"/>
  </r>
  <r>
    <n v="4144"/>
    <x v="2"/>
    <x v="0"/>
    <x v="14"/>
    <s v="XL"/>
    <n v="-1"/>
    <n v="2335.8200000000002"/>
    <n v="0"/>
    <n v="0"/>
    <x v="114"/>
    <x v="0"/>
    <x v="0"/>
    <n v="304.77999999999997"/>
  </r>
  <r>
    <n v="4145"/>
    <x v="0"/>
    <x v="1"/>
    <x v="1"/>
    <s v="M"/>
    <n v="2"/>
    <n v="0"/>
    <n v="0"/>
    <n v="0"/>
    <x v="114"/>
    <x v="1"/>
    <x v="4"/>
    <n v="285.95"/>
  </r>
  <r>
    <n v="4146"/>
    <x v="0"/>
    <x v="2"/>
    <x v="3"/>
    <s v="M"/>
    <n v="0"/>
    <n v="0"/>
    <n v="0"/>
    <n v="0"/>
    <x v="427"/>
    <x v="0"/>
    <x v="2"/>
    <n v="1217.01"/>
  </r>
  <r>
    <n v="4147"/>
    <x v="2"/>
    <x v="4"/>
    <x v="13"/>
    <s v="L"/>
    <n v="1"/>
    <n v="7659.09"/>
    <n v="0"/>
    <n v="0"/>
    <x v="227"/>
    <x v="0"/>
    <x v="4"/>
    <n v="106.35"/>
  </r>
  <r>
    <n v="4148"/>
    <x v="0"/>
    <x v="1"/>
    <x v="15"/>
    <s v="M"/>
    <n v="3"/>
    <n v="5943.25"/>
    <n v="0"/>
    <n v="0"/>
    <x v="499"/>
    <x v="1"/>
    <x v="3"/>
    <n v="-900.4"/>
  </r>
  <r>
    <n v="4149"/>
    <x v="1"/>
    <x v="0"/>
    <x v="0"/>
    <s v="M"/>
    <n v="4"/>
    <n v="5716.52"/>
    <n v="0"/>
    <n v="0"/>
    <x v="34"/>
    <x v="1"/>
    <x v="3"/>
    <n v="274.76"/>
  </r>
  <r>
    <n v="4150"/>
    <x v="2"/>
    <x v="4"/>
    <x v="13"/>
    <s v="M"/>
    <n v="0"/>
    <n v="0"/>
    <n v="0.81"/>
    <n v="0"/>
    <x v="92"/>
    <x v="1"/>
    <x v="3"/>
    <n v="3076.73"/>
  </r>
  <r>
    <n v="4151"/>
    <x v="0"/>
    <x v="0"/>
    <x v="9"/>
    <s v="M"/>
    <n v="0"/>
    <n v="7282.99"/>
    <n v="0.05"/>
    <n v="0"/>
    <x v="73"/>
    <x v="1"/>
    <x v="5"/>
    <n v="871.53"/>
  </r>
  <r>
    <n v="4152"/>
    <x v="2"/>
    <x v="4"/>
    <x v="12"/>
    <s v="XL"/>
    <n v="1"/>
    <n v="0"/>
    <n v="0"/>
    <n v="0"/>
    <x v="170"/>
    <x v="0"/>
    <x v="2"/>
    <n v="1011.99"/>
  </r>
  <r>
    <n v="4154"/>
    <x v="1"/>
    <x v="1"/>
    <x v="1"/>
    <s v="L"/>
    <n v="-1"/>
    <n v="0"/>
    <n v="0"/>
    <n v="0"/>
    <x v="170"/>
    <x v="0"/>
    <x v="0"/>
    <n v="2963.38"/>
  </r>
  <r>
    <n v="4155"/>
    <x v="0"/>
    <x v="0"/>
    <x v="5"/>
    <s v="M"/>
    <n v="-1"/>
    <n v="8736.2000000000007"/>
    <n v="0.94"/>
    <n v="-524.16999999999996"/>
    <x v="170"/>
    <x v="1"/>
    <x v="0"/>
    <n v="547.28"/>
  </r>
  <r>
    <n v="4156"/>
    <x v="2"/>
    <x v="3"/>
    <x v="4"/>
    <s v="M"/>
    <n v="0"/>
    <n v="7417.67"/>
    <n v="0"/>
    <n v="0"/>
    <x v="500"/>
    <x v="0"/>
    <x v="2"/>
    <n v="203.96"/>
  </r>
  <r>
    <n v="4157"/>
    <x v="2"/>
    <x v="4"/>
    <x v="13"/>
    <s v="XL"/>
    <n v="3"/>
    <n v="0"/>
    <n v="0"/>
    <n v="0"/>
    <x v="206"/>
    <x v="1"/>
    <x v="4"/>
    <n v="-699.76"/>
  </r>
  <r>
    <n v="4158"/>
    <x v="1"/>
    <x v="2"/>
    <x v="3"/>
    <s v="L"/>
    <n v="0"/>
    <n v="0"/>
    <n v="0"/>
    <n v="0"/>
    <x v="439"/>
    <x v="0"/>
    <x v="1"/>
    <n v="3155.41"/>
  </r>
  <r>
    <n v="4159"/>
    <x v="1"/>
    <x v="3"/>
    <x v="4"/>
    <s v="XL"/>
    <n v="2"/>
    <n v="8683.7999999999993"/>
    <n v="0"/>
    <n v="0"/>
    <x v="439"/>
    <x v="0"/>
    <x v="4"/>
    <n v="3914.69"/>
  </r>
  <r>
    <n v="4161"/>
    <x v="2"/>
    <x v="3"/>
    <x v="10"/>
    <s v="L"/>
    <n v="0"/>
    <n v="0"/>
    <n v="0.4"/>
    <n v="0"/>
    <x v="353"/>
    <x v="0"/>
    <x v="5"/>
    <n v="1864.83"/>
  </r>
  <r>
    <n v="4162"/>
    <x v="2"/>
    <x v="0"/>
    <x v="0"/>
    <s v="XL"/>
    <n v="1"/>
    <n v="3782.59"/>
    <n v="0"/>
    <n v="0"/>
    <x v="353"/>
    <x v="0"/>
    <x v="3"/>
    <n v="1401.88"/>
  </r>
  <r>
    <n v="4163"/>
    <x v="2"/>
    <x v="0"/>
    <x v="0"/>
    <s v="L"/>
    <n v="0"/>
    <n v="0"/>
    <n v="0"/>
    <n v="0"/>
    <x v="3"/>
    <x v="1"/>
    <x v="1"/>
    <n v="1942.39"/>
  </r>
  <r>
    <n v="4164"/>
    <x v="2"/>
    <x v="1"/>
    <x v="1"/>
    <s v="XL"/>
    <n v="0"/>
    <n v="2196.67"/>
    <n v="0"/>
    <n v="0"/>
    <x v="304"/>
    <x v="0"/>
    <x v="0"/>
    <n v="-1088.9000000000001"/>
  </r>
  <r>
    <n v="4165"/>
    <x v="1"/>
    <x v="0"/>
    <x v="0"/>
    <s v="XL"/>
    <n v="1"/>
    <n v="0"/>
    <n v="0.26"/>
    <n v="0"/>
    <x v="341"/>
    <x v="0"/>
    <x v="0"/>
    <n v="2194.38"/>
  </r>
  <r>
    <n v="4166"/>
    <x v="1"/>
    <x v="1"/>
    <x v="15"/>
    <s v="M"/>
    <n v="0"/>
    <n v="0"/>
    <n v="0"/>
    <n v="0"/>
    <x v="22"/>
    <x v="0"/>
    <x v="4"/>
    <n v="-512.77"/>
  </r>
  <r>
    <n v="4167"/>
    <x v="2"/>
    <x v="4"/>
    <x v="12"/>
    <s v="XL"/>
    <n v="-1"/>
    <n v="3354.93"/>
    <n v="0"/>
    <n v="0"/>
    <x v="22"/>
    <x v="1"/>
    <x v="1"/>
    <n v="3486.85"/>
  </r>
  <r>
    <n v="4168"/>
    <x v="0"/>
    <x v="3"/>
    <x v="11"/>
    <s v="M"/>
    <n v="4"/>
    <n v="0"/>
    <n v="0"/>
    <n v="0"/>
    <x v="445"/>
    <x v="1"/>
    <x v="2"/>
    <n v="3282.84"/>
  </r>
  <r>
    <n v="4169"/>
    <x v="2"/>
    <x v="4"/>
    <x v="19"/>
    <s v="L"/>
    <n v="0"/>
    <n v="8320.11"/>
    <n v="0"/>
    <n v="0"/>
    <x v="445"/>
    <x v="1"/>
    <x v="4"/>
    <n v="3743.48"/>
  </r>
  <r>
    <n v="4170"/>
    <x v="2"/>
    <x v="2"/>
    <x v="3"/>
    <s v="XL"/>
    <n v="0"/>
    <n v="3297.7"/>
    <n v="1.05"/>
    <n v="0"/>
    <x v="362"/>
    <x v="0"/>
    <x v="0"/>
    <n v="1678.19"/>
  </r>
  <r>
    <n v="4171"/>
    <x v="2"/>
    <x v="3"/>
    <x v="4"/>
    <s v="M"/>
    <n v="0"/>
    <n v="9303.7999999999993"/>
    <n v="0"/>
    <n v="0"/>
    <x v="114"/>
    <x v="1"/>
    <x v="4"/>
    <n v="-1107.26"/>
  </r>
  <r>
    <n v="4172"/>
    <x v="1"/>
    <x v="1"/>
    <x v="6"/>
    <s v="L"/>
    <n v="1"/>
    <n v="0"/>
    <n v="0"/>
    <n v="0"/>
    <x v="431"/>
    <x v="1"/>
    <x v="0"/>
    <n v="155.61000000000001"/>
  </r>
  <r>
    <n v="4173"/>
    <x v="2"/>
    <x v="1"/>
    <x v="1"/>
    <s v="M"/>
    <n v="0"/>
    <n v="0"/>
    <n v="0"/>
    <n v="0"/>
    <x v="431"/>
    <x v="0"/>
    <x v="1"/>
    <n v="-835.46"/>
  </r>
  <r>
    <n v="4174"/>
    <x v="1"/>
    <x v="1"/>
    <x v="1"/>
    <s v="XL"/>
    <n v="0"/>
    <n v="0"/>
    <n v="0"/>
    <n v="0"/>
    <x v="297"/>
    <x v="1"/>
    <x v="5"/>
    <n v="-869.37"/>
  </r>
  <r>
    <n v="4176"/>
    <x v="1"/>
    <x v="0"/>
    <x v="14"/>
    <s v="M"/>
    <n v="1"/>
    <n v="0"/>
    <n v="0"/>
    <n v="0"/>
    <x v="501"/>
    <x v="1"/>
    <x v="1"/>
    <n v="2254.67"/>
  </r>
  <r>
    <n v="4177"/>
    <x v="0"/>
    <x v="0"/>
    <x v="9"/>
    <s v="M"/>
    <n v="0"/>
    <n v="0"/>
    <n v="0"/>
    <n v="0"/>
    <x v="501"/>
    <x v="0"/>
    <x v="2"/>
    <n v="-203.62"/>
  </r>
  <r>
    <n v="4178"/>
    <x v="2"/>
    <x v="4"/>
    <x v="8"/>
    <s v="L"/>
    <n v="0"/>
    <n v="0"/>
    <n v="0"/>
    <n v="0"/>
    <x v="377"/>
    <x v="1"/>
    <x v="1"/>
    <n v="302.75"/>
  </r>
  <r>
    <n v="4179"/>
    <x v="1"/>
    <x v="3"/>
    <x v="4"/>
    <s v="XL"/>
    <n v="0"/>
    <n v="6633.14"/>
    <n v="0"/>
    <n v="0"/>
    <x v="502"/>
    <x v="1"/>
    <x v="2"/>
    <n v="1048.6300000000001"/>
  </r>
  <r>
    <n v="4180"/>
    <x v="2"/>
    <x v="3"/>
    <x v="16"/>
    <s v="M"/>
    <n v="0"/>
    <n v="0"/>
    <n v="0"/>
    <n v="0"/>
    <x v="4"/>
    <x v="1"/>
    <x v="5"/>
    <n v="500.23"/>
  </r>
  <r>
    <n v="4181"/>
    <x v="1"/>
    <x v="3"/>
    <x v="11"/>
    <s v="M"/>
    <n v="3"/>
    <n v="0"/>
    <n v="0"/>
    <n v="0"/>
    <x v="67"/>
    <x v="1"/>
    <x v="4"/>
    <n v="-564.63"/>
  </r>
  <r>
    <n v="4182"/>
    <x v="2"/>
    <x v="2"/>
    <x v="17"/>
    <s v="XL"/>
    <n v="1"/>
    <n v="9335.57"/>
    <n v="0"/>
    <n v="0"/>
    <x v="50"/>
    <x v="1"/>
    <x v="2"/>
    <n v="1135.3800000000001"/>
  </r>
  <r>
    <n v="4183"/>
    <x v="2"/>
    <x v="2"/>
    <x v="18"/>
    <s v="M"/>
    <n v="2"/>
    <n v="8647.6299999999992"/>
    <n v="0"/>
    <n v="0"/>
    <x v="282"/>
    <x v="1"/>
    <x v="3"/>
    <n v="-443.83"/>
  </r>
  <r>
    <n v="4184"/>
    <x v="1"/>
    <x v="4"/>
    <x v="19"/>
    <s v="M"/>
    <n v="0"/>
    <n v="0"/>
    <n v="0"/>
    <n v="0"/>
    <x v="282"/>
    <x v="0"/>
    <x v="0"/>
    <n v="1788.65"/>
  </r>
  <r>
    <n v="4185"/>
    <x v="1"/>
    <x v="0"/>
    <x v="14"/>
    <s v="M"/>
    <n v="3"/>
    <n v="0"/>
    <n v="0"/>
    <n v="0"/>
    <x v="55"/>
    <x v="0"/>
    <x v="1"/>
    <n v="2562.0500000000002"/>
  </r>
  <r>
    <n v="4186"/>
    <x v="2"/>
    <x v="4"/>
    <x v="19"/>
    <s v="XL"/>
    <n v="0"/>
    <n v="9872.08"/>
    <n v="0.17"/>
    <n v="0"/>
    <x v="78"/>
    <x v="0"/>
    <x v="0"/>
    <n v="409.77"/>
  </r>
  <r>
    <n v="4187"/>
    <x v="1"/>
    <x v="0"/>
    <x v="5"/>
    <s v="L"/>
    <n v="0"/>
    <n v="5363.84"/>
    <n v="0.95"/>
    <n v="0"/>
    <x v="78"/>
    <x v="1"/>
    <x v="1"/>
    <n v="1194.42"/>
  </r>
  <r>
    <n v="4189"/>
    <x v="0"/>
    <x v="1"/>
    <x v="15"/>
    <s v="M"/>
    <n v="0"/>
    <n v="0"/>
    <n v="0.97"/>
    <n v="0"/>
    <x v="78"/>
    <x v="1"/>
    <x v="1"/>
    <n v="2788.1"/>
  </r>
  <r>
    <n v="2043"/>
    <x v="2"/>
    <x v="0"/>
    <x v="5"/>
    <s v="XL"/>
    <n v="4"/>
    <n v="0"/>
    <n v="0.12"/>
    <n v="0"/>
    <x v="78"/>
    <x v="0"/>
    <x v="3"/>
    <n v="-809.91"/>
  </r>
  <r>
    <n v="4191"/>
    <x v="2"/>
    <x v="3"/>
    <x v="4"/>
    <s v="M"/>
    <n v="0"/>
    <n v="0"/>
    <n v="0"/>
    <n v="0"/>
    <x v="202"/>
    <x v="0"/>
    <x v="3"/>
    <n v="671.86"/>
  </r>
  <r>
    <n v="4193"/>
    <x v="0"/>
    <x v="4"/>
    <x v="12"/>
    <s v="XL"/>
    <n v="1"/>
    <n v="0"/>
    <n v="0"/>
    <n v="0"/>
    <x v="354"/>
    <x v="0"/>
    <x v="2"/>
    <n v="1192.6600000000001"/>
  </r>
  <r>
    <n v="4194"/>
    <x v="0"/>
    <x v="3"/>
    <x v="4"/>
    <s v="L"/>
    <n v="0"/>
    <n v="0"/>
    <n v="0"/>
    <n v="0"/>
    <x v="503"/>
    <x v="1"/>
    <x v="4"/>
    <n v="-759.55"/>
  </r>
  <r>
    <n v="4195"/>
    <x v="0"/>
    <x v="0"/>
    <x v="9"/>
    <s v="L"/>
    <n v="0"/>
    <n v="6317.4"/>
    <n v="0"/>
    <n v="0"/>
    <x v="504"/>
    <x v="1"/>
    <x v="2"/>
    <n v="-746.03"/>
  </r>
  <r>
    <n v="2029"/>
    <x v="0"/>
    <x v="2"/>
    <x v="17"/>
    <s v="M"/>
    <n v="0"/>
    <n v="8165.07"/>
    <n v="0"/>
    <n v="0"/>
    <x v="504"/>
    <x v="0"/>
    <x v="3"/>
    <n v="3469.45"/>
  </r>
  <r>
    <n v="4197"/>
    <x v="2"/>
    <x v="3"/>
    <x v="4"/>
    <s v="XL"/>
    <n v="4"/>
    <n v="7560.6"/>
    <n v="0"/>
    <n v="0"/>
    <x v="504"/>
    <x v="0"/>
    <x v="5"/>
    <n v="1415.35"/>
  </r>
  <r>
    <n v="4198"/>
    <x v="2"/>
    <x v="3"/>
    <x v="16"/>
    <s v="M"/>
    <n v="0"/>
    <n v="7860.63"/>
    <n v="0.53"/>
    <n v="0"/>
    <x v="504"/>
    <x v="1"/>
    <x v="4"/>
    <n v="-1087.1300000000001"/>
  </r>
  <r>
    <n v="4200"/>
    <x v="1"/>
    <x v="1"/>
    <x v="1"/>
    <s v="L"/>
    <n v="0"/>
    <n v="0"/>
    <n v="0.78"/>
    <n v="0"/>
    <x v="504"/>
    <x v="0"/>
    <x v="0"/>
    <n v="-613.22"/>
  </r>
  <r>
    <n v="4201"/>
    <x v="0"/>
    <x v="3"/>
    <x v="4"/>
    <s v="L"/>
    <n v="3"/>
    <n v="0"/>
    <n v="0"/>
    <n v="0"/>
    <x v="471"/>
    <x v="1"/>
    <x v="5"/>
    <n v="1412.54"/>
  </r>
  <r>
    <n v="4202"/>
    <x v="2"/>
    <x v="0"/>
    <x v="0"/>
    <s v="L"/>
    <n v="4"/>
    <n v="4996.25"/>
    <n v="0"/>
    <n v="0"/>
    <x v="386"/>
    <x v="0"/>
    <x v="3"/>
    <n v="299.85000000000002"/>
  </r>
  <r>
    <n v="4203"/>
    <x v="0"/>
    <x v="0"/>
    <x v="5"/>
    <s v="M"/>
    <n v="0"/>
    <n v="0"/>
    <n v="0"/>
    <n v="0"/>
    <x v="386"/>
    <x v="0"/>
    <x v="3"/>
    <n v="1879.42"/>
  </r>
  <r>
    <n v="4205"/>
    <x v="0"/>
    <x v="2"/>
    <x v="7"/>
    <s v="XL"/>
    <n v="0"/>
    <n v="0"/>
    <n v="0"/>
    <n v="0"/>
    <x v="44"/>
    <x v="0"/>
    <x v="2"/>
    <n v="2333.09"/>
  </r>
  <r>
    <n v="4207"/>
    <x v="1"/>
    <x v="4"/>
    <x v="8"/>
    <s v="L"/>
    <n v="0"/>
    <n v="0"/>
    <n v="0"/>
    <n v="0"/>
    <x v="61"/>
    <x v="1"/>
    <x v="1"/>
    <n v="2063.27"/>
  </r>
  <r>
    <n v="4209"/>
    <x v="1"/>
    <x v="3"/>
    <x v="10"/>
    <s v="M"/>
    <n v="1"/>
    <n v="0"/>
    <n v="0"/>
    <n v="0"/>
    <x v="505"/>
    <x v="0"/>
    <x v="5"/>
    <n v="3222.58"/>
  </r>
  <r>
    <n v="4210"/>
    <x v="0"/>
    <x v="0"/>
    <x v="0"/>
    <s v="M"/>
    <n v="3"/>
    <n v="0"/>
    <n v="0"/>
    <n v="0"/>
    <x v="505"/>
    <x v="1"/>
    <x v="2"/>
    <n v="2738.04"/>
  </r>
  <r>
    <n v="4211"/>
    <x v="2"/>
    <x v="4"/>
    <x v="8"/>
    <s v="M"/>
    <n v="0"/>
    <n v="0"/>
    <n v="1.0900000000000001"/>
    <n v="0"/>
    <x v="23"/>
    <x v="0"/>
    <x v="1"/>
    <n v="-253.76"/>
  </r>
  <r>
    <n v="4212"/>
    <x v="2"/>
    <x v="3"/>
    <x v="4"/>
    <s v="XL"/>
    <n v="3"/>
    <n v="0"/>
    <n v="0.9"/>
    <n v="0"/>
    <x v="506"/>
    <x v="0"/>
    <x v="5"/>
    <n v="3556.86"/>
  </r>
  <r>
    <n v="4213"/>
    <x v="2"/>
    <x v="2"/>
    <x v="17"/>
    <s v="L"/>
    <n v="0"/>
    <n v="0"/>
    <n v="0"/>
    <n v="0"/>
    <x v="507"/>
    <x v="1"/>
    <x v="4"/>
    <n v="1165.42"/>
  </r>
  <r>
    <n v="4215"/>
    <x v="2"/>
    <x v="0"/>
    <x v="5"/>
    <s v="XL"/>
    <n v="3"/>
    <n v="7213.51"/>
    <n v="0"/>
    <n v="0"/>
    <x v="144"/>
    <x v="0"/>
    <x v="5"/>
    <n v="960.82"/>
  </r>
  <r>
    <n v="4216"/>
    <x v="0"/>
    <x v="2"/>
    <x v="7"/>
    <s v="M"/>
    <n v="-1"/>
    <n v="4989.1499999999996"/>
    <n v="0"/>
    <n v="0"/>
    <x v="154"/>
    <x v="0"/>
    <x v="4"/>
    <n v="3445.94"/>
  </r>
  <r>
    <n v="4217"/>
    <x v="2"/>
    <x v="1"/>
    <x v="1"/>
    <s v="M"/>
    <n v="0"/>
    <n v="3080.23"/>
    <n v="0.22"/>
    <n v="0"/>
    <x v="184"/>
    <x v="0"/>
    <x v="4"/>
    <n v="-950.13"/>
  </r>
  <r>
    <n v="4218"/>
    <x v="0"/>
    <x v="3"/>
    <x v="11"/>
    <s v="M"/>
    <n v="0"/>
    <n v="6296.17"/>
    <n v="0"/>
    <n v="0"/>
    <x v="207"/>
    <x v="0"/>
    <x v="0"/>
    <n v="3435.85"/>
  </r>
  <r>
    <n v="4220"/>
    <x v="0"/>
    <x v="2"/>
    <x v="17"/>
    <s v="M"/>
    <n v="2"/>
    <n v="2290.64"/>
    <n v="0.84"/>
    <n v="733"/>
    <x v="473"/>
    <x v="1"/>
    <x v="4"/>
    <n v="608.16"/>
  </r>
  <r>
    <n v="4221"/>
    <x v="0"/>
    <x v="1"/>
    <x v="6"/>
    <s v="XL"/>
    <n v="0"/>
    <n v="0"/>
    <n v="0.88"/>
    <n v="0"/>
    <x v="473"/>
    <x v="0"/>
    <x v="1"/>
    <n v="1001.02"/>
  </r>
  <r>
    <n v="2023"/>
    <x v="2"/>
    <x v="4"/>
    <x v="8"/>
    <s v="XL"/>
    <n v="0"/>
    <n v="0"/>
    <n v="0"/>
    <n v="0"/>
    <x v="473"/>
    <x v="0"/>
    <x v="2"/>
    <n v="2913.04"/>
  </r>
  <r>
    <n v="4223"/>
    <x v="0"/>
    <x v="1"/>
    <x v="6"/>
    <s v="L"/>
    <n v="1"/>
    <n v="0"/>
    <n v="0.31"/>
    <n v="0"/>
    <x v="155"/>
    <x v="1"/>
    <x v="0"/>
    <n v="-1152.3699999999999"/>
  </r>
  <r>
    <n v="4225"/>
    <x v="0"/>
    <x v="3"/>
    <x v="11"/>
    <s v="XL"/>
    <n v="0"/>
    <n v="2941.85"/>
    <n v="1.1200000000000001"/>
    <n v="0"/>
    <x v="475"/>
    <x v="0"/>
    <x v="4"/>
    <n v="2776.82"/>
  </r>
  <r>
    <n v="4227"/>
    <x v="0"/>
    <x v="0"/>
    <x v="9"/>
    <s v="L"/>
    <n v="0"/>
    <n v="0"/>
    <n v="0"/>
    <n v="0"/>
    <x v="92"/>
    <x v="1"/>
    <x v="2"/>
    <n v="110.91"/>
  </r>
  <r>
    <n v="4228"/>
    <x v="0"/>
    <x v="0"/>
    <x v="0"/>
    <s v="L"/>
    <n v="3"/>
    <n v="0"/>
    <n v="0"/>
    <n v="0"/>
    <x v="279"/>
    <x v="1"/>
    <x v="5"/>
    <n v="-448.12"/>
  </r>
  <r>
    <n v="4229"/>
    <x v="0"/>
    <x v="3"/>
    <x v="11"/>
    <s v="XL"/>
    <n v="4"/>
    <n v="0"/>
    <n v="0"/>
    <n v="0"/>
    <x v="172"/>
    <x v="0"/>
    <x v="3"/>
    <n v="3470.61"/>
  </r>
  <r>
    <n v="4230"/>
    <x v="0"/>
    <x v="2"/>
    <x v="7"/>
    <s v="L"/>
    <n v="0"/>
    <n v="0"/>
    <n v="0"/>
    <n v="0"/>
    <x v="362"/>
    <x v="1"/>
    <x v="1"/>
    <n v="-1193.8499999999999"/>
  </r>
  <r>
    <n v="4231"/>
    <x v="0"/>
    <x v="2"/>
    <x v="3"/>
    <s v="XL"/>
    <n v="2"/>
    <n v="6652.23"/>
    <n v="1.0900000000000001"/>
    <n v="-1197.4000000000001"/>
    <x v="334"/>
    <x v="0"/>
    <x v="3"/>
    <n v="-780.66"/>
  </r>
  <r>
    <n v="4232"/>
    <x v="1"/>
    <x v="1"/>
    <x v="1"/>
    <s v="M"/>
    <n v="0"/>
    <n v="0"/>
    <n v="0"/>
    <n v="0"/>
    <x v="334"/>
    <x v="0"/>
    <x v="0"/>
    <n v="-532.52"/>
  </r>
  <r>
    <n v="4234"/>
    <x v="1"/>
    <x v="4"/>
    <x v="13"/>
    <s v="M"/>
    <n v="0"/>
    <n v="0"/>
    <n v="0"/>
    <n v="0"/>
    <x v="334"/>
    <x v="0"/>
    <x v="2"/>
    <n v="404.2"/>
  </r>
  <r>
    <n v="4237"/>
    <x v="2"/>
    <x v="4"/>
    <x v="19"/>
    <s v="L"/>
    <n v="1"/>
    <n v="0"/>
    <n v="0"/>
    <n v="0"/>
    <x v="80"/>
    <x v="0"/>
    <x v="4"/>
    <n v="572.58000000000004"/>
  </r>
  <r>
    <n v="4238"/>
    <x v="2"/>
    <x v="1"/>
    <x v="15"/>
    <s v="XL"/>
    <n v="2"/>
    <n v="6489.35"/>
    <n v="0"/>
    <n v="0"/>
    <x v="68"/>
    <x v="0"/>
    <x v="1"/>
    <n v="-321.44"/>
  </r>
  <r>
    <n v="4240"/>
    <x v="2"/>
    <x v="3"/>
    <x v="10"/>
    <s v="M"/>
    <n v="0"/>
    <n v="0"/>
    <n v="0"/>
    <n v="0"/>
    <x v="4"/>
    <x v="1"/>
    <x v="0"/>
    <n v="1091.8499999999999"/>
  </r>
  <r>
    <n v="4241"/>
    <x v="1"/>
    <x v="4"/>
    <x v="19"/>
    <s v="M"/>
    <n v="0"/>
    <n v="0"/>
    <n v="0"/>
    <n v="0"/>
    <x v="327"/>
    <x v="1"/>
    <x v="4"/>
    <n v="3890.05"/>
  </r>
  <r>
    <n v="4244"/>
    <x v="2"/>
    <x v="0"/>
    <x v="9"/>
    <s v="XL"/>
    <n v="2"/>
    <n v="0"/>
    <n v="0.54"/>
    <n v="0"/>
    <x v="327"/>
    <x v="1"/>
    <x v="0"/>
    <n v="161.88"/>
  </r>
  <r>
    <n v="4245"/>
    <x v="0"/>
    <x v="4"/>
    <x v="13"/>
    <s v="M"/>
    <n v="3"/>
    <n v="0"/>
    <n v="0.17"/>
    <n v="0"/>
    <x v="130"/>
    <x v="0"/>
    <x v="4"/>
    <n v="2445.12"/>
  </r>
  <r>
    <n v="4246"/>
    <x v="2"/>
    <x v="3"/>
    <x v="16"/>
    <s v="L"/>
    <n v="0"/>
    <n v="3576.04"/>
    <n v="0"/>
    <n v="0"/>
    <x v="13"/>
    <x v="1"/>
    <x v="2"/>
    <n v="3581.39"/>
  </r>
  <r>
    <n v="4247"/>
    <x v="0"/>
    <x v="0"/>
    <x v="5"/>
    <s v="M"/>
    <n v="1"/>
    <n v="0"/>
    <n v="0.69"/>
    <n v="0"/>
    <x v="118"/>
    <x v="1"/>
    <x v="5"/>
    <n v="1585.72"/>
  </r>
  <r>
    <n v="4248"/>
    <x v="0"/>
    <x v="1"/>
    <x v="2"/>
    <s v="XL"/>
    <n v="0"/>
    <n v="4045.64"/>
    <n v="0"/>
    <n v="0"/>
    <x v="118"/>
    <x v="1"/>
    <x v="2"/>
    <n v="2167.88"/>
  </r>
  <r>
    <n v="4249"/>
    <x v="0"/>
    <x v="0"/>
    <x v="5"/>
    <s v="L"/>
    <n v="1"/>
    <n v="2902.95"/>
    <n v="0.6"/>
    <n v="1161.18"/>
    <x v="5"/>
    <x v="1"/>
    <x v="0"/>
    <n v="-855.08"/>
  </r>
  <r>
    <n v="4250"/>
    <x v="1"/>
    <x v="4"/>
    <x v="8"/>
    <s v="M"/>
    <n v="0"/>
    <n v="0"/>
    <n v="0"/>
    <n v="0"/>
    <x v="6"/>
    <x v="0"/>
    <x v="5"/>
    <n v="2005.64"/>
  </r>
  <r>
    <n v="4251"/>
    <x v="0"/>
    <x v="4"/>
    <x v="19"/>
    <s v="M"/>
    <n v="1"/>
    <n v="0"/>
    <n v="0.59"/>
    <n v="0"/>
    <x v="460"/>
    <x v="1"/>
    <x v="2"/>
    <n v="354.2"/>
  </r>
  <r>
    <n v="4252"/>
    <x v="0"/>
    <x v="0"/>
    <x v="0"/>
    <s v="L"/>
    <n v="0"/>
    <n v="0"/>
    <n v="1"/>
    <n v="0"/>
    <x v="477"/>
    <x v="0"/>
    <x v="1"/>
    <n v="2633.21"/>
  </r>
  <r>
    <n v="2019"/>
    <x v="2"/>
    <x v="3"/>
    <x v="11"/>
    <s v="XL"/>
    <n v="2"/>
    <n v="8072.86"/>
    <n v="0"/>
    <n v="0"/>
    <x v="477"/>
    <x v="0"/>
    <x v="5"/>
    <n v="1387.97"/>
  </r>
  <r>
    <n v="4256"/>
    <x v="1"/>
    <x v="1"/>
    <x v="1"/>
    <s v="XL"/>
    <n v="4"/>
    <n v="0"/>
    <n v="0.52"/>
    <n v="0"/>
    <x v="416"/>
    <x v="0"/>
    <x v="1"/>
    <n v="-782.15"/>
  </r>
  <r>
    <n v="4258"/>
    <x v="0"/>
    <x v="2"/>
    <x v="17"/>
    <s v="L"/>
    <n v="-1"/>
    <n v="4189.3599999999997"/>
    <n v="0"/>
    <n v="0"/>
    <x v="163"/>
    <x v="1"/>
    <x v="3"/>
    <n v="1276.3399999999999"/>
  </r>
  <r>
    <n v="4259"/>
    <x v="2"/>
    <x v="2"/>
    <x v="18"/>
    <s v="L"/>
    <n v="0"/>
    <n v="0"/>
    <n v="0.35"/>
    <n v="0"/>
    <x v="488"/>
    <x v="1"/>
    <x v="0"/>
    <n v="3351.25"/>
  </r>
  <r>
    <n v="2044"/>
    <x v="2"/>
    <x v="0"/>
    <x v="5"/>
    <s v="XL"/>
    <n v="0"/>
    <n v="0"/>
    <n v="0"/>
    <n v="0"/>
    <x v="187"/>
    <x v="0"/>
    <x v="0"/>
    <n v="1192.96"/>
  </r>
  <r>
    <n v="4262"/>
    <x v="1"/>
    <x v="4"/>
    <x v="19"/>
    <s v="XL"/>
    <n v="0"/>
    <n v="0"/>
    <n v="0"/>
    <n v="0"/>
    <x v="418"/>
    <x v="0"/>
    <x v="2"/>
    <n v="-975.63"/>
  </r>
  <r>
    <n v="4264"/>
    <x v="0"/>
    <x v="2"/>
    <x v="18"/>
    <s v="M"/>
    <n v="-1"/>
    <n v="6012.55"/>
    <n v="0"/>
    <n v="0"/>
    <x v="508"/>
    <x v="0"/>
    <x v="4"/>
    <n v="783.79"/>
  </r>
  <r>
    <n v="4265"/>
    <x v="0"/>
    <x v="0"/>
    <x v="5"/>
    <s v="M"/>
    <n v="0"/>
    <n v="0"/>
    <n v="0"/>
    <n v="0"/>
    <x v="509"/>
    <x v="0"/>
    <x v="5"/>
    <n v="1852.59"/>
  </r>
  <r>
    <n v="4266"/>
    <x v="2"/>
    <x v="2"/>
    <x v="7"/>
    <s v="XL"/>
    <n v="3"/>
    <n v="0"/>
    <n v="0"/>
    <n v="0"/>
    <x v="71"/>
    <x v="0"/>
    <x v="2"/>
    <n v="-898.11"/>
  </r>
  <r>
    <n v="4267"/>
    <x v="1"/>
    <x v="4"/>
    <x v="13"/>
    <s v="L"/>
    <n v="0"/>
    <n v="4101.5"/>
    <n v="0.28000000000000003"/>
    <n v="0"/>
    <x v="71"/>
    <x v="1"/>
    <x v="3"/>
    <n v="2289.0500000000002"/>
  </r>
  <r>
    <n v="4268"/>
    <x v="2"/>
    <x v="2"/>
    <x v="7"/>
    <s v="L"/>
    <n v="1"/>
    <n v="6321.98"/>
    <n v="0"/>
    <n v="0"/>
    <x v="71"/>
    <x v="0"/>
    <x v="2"/>
    <n v="-557.35"/>
  </r>
  <r>
    <n v="4269"/>
    <x v="0"/>
    <x v="4"/>
    <x v="13"/>
    <s v="L"/>
    <n v="2"/>
    <n v="0"/>
    <n v="0"/>
    <n v="0"/>
    <x v="71"/>
    <x v="0"/>
    <x v="3"/>
    <n v="672.46"/>
  </r>
  <r>
    <n v="4270"/>
    <x v="0"/>
    <x v="1"/>
    <x v="1"/>
    <s v="L"/>
    <n v="0"/>
    <n v="0"/>
    <n v="0"/>
    <n v="0"/>
    <x v="490"/>
    <x v="0"/>
    <x v="0"/>
    <n v="679.64"/>
  </r>
  <r>
    <n v="4271"/>
    <x v="0"/>
    <x v="2"/>
    <x v="7"/>
    <s v="XL"/>
    <n v="0"/>
    <n v="4426.6899999999996"/>
    <n v="0.52"/>
    <n v="0"/>
    <x v="251"/>
    <x v="0"/>
    <x v="0"/>
    <n v="-389.08"/>
  </r>
  <r>
    <n v="4272"/>
    <x v="1"/>
    <x v="4"/>
    <x v="8"/>
    <s v="M"/>
    <n v="0"/>
    <n v="4529.5200000000004"/>
    <n v="0"/>
    <n v="0"/>
    <x v="31"/>
    <x v="0"/>
    <x v="2"/>
    <n v="2722.9"/>
  </r>
  <r>
    <n v="4273"/>
    <x v="0"/>
    <x v="1"/>
    <x v="15"/>
    <s v="M"/>
    <n v="3"/>
    <n v="3407.16"/>
    <n v="0"/>
    <n v="0"/>
    <x v="232"/>
    <x v="1"/>
    <x v="2"/>
    <n v="1161.05"/>
  </r>
  <r>
    <n v="4274"/>
    <x v="2"/>
    <x v="4"/>
    <x v="12"/>
    <s v="XL"/>
    <n v="0"/>
    <n v="0"/>
    <n v="0"/>
    <n v="0"/>
    <x v="476"/>
    <x v="0"/>
    <x v="2"/>
    <n v="1957.94"/>
  </r>
  <r>
    <n v="4275"/>
    <x v="1"/>
    <x v="2"/>
    <x v="17"/>
    <s v="M"/>
    <n v="0"/>
    <n v="0"/>
    <n v="0"/>
    <n v="0"/>
    <x v="476"/>
    <x v="1"/>
    <x v="2"/>
    <n v="557.80999999999995"/>
  </r>
  <r>
    <n v="4276"/>
    <x v="2"/>
    <x v="4"/>
    <x v="12"/>
    <s v="M"/>
    <n v="3"/>
    <n v="0"/>
    <n v="0"/>
    <n v="0"/>
    <x v="269"/>
    <x v="1"/>
    <x v="0"/>
    <n v="-1109.4000000000001"/>
  </r>
  <r>
    <n v="4277"/>
    <x v="1"/>
    <x v="1"/>
    <x v="15"/>
    <s v="M"/>
    <n v="0"/>
    <n v="6924.77"/>
    <n v="0"/>
    <n v="0"/>
    <x v="178"/>
    <x v="0"/>
    <x v="0"/>
    <n v="555.86"/>
  </r>
  <r>
    <n v="4278"/>
    <x v="0"/>
    <x v="4"/>
    <x v="13"/>
    <s v="M"/>
    <n v="0"/>
    <n v="5606.81"/>
    <n v="0"/>
    <n v="0"/>
    <x v="178"/>
    <x v="1"/>
    <x v="3"/>
    <n v="-356.42"/>
  </r>
  <r>
    <n v="4279"/>
    <x v="2"/>
    <x v="0"/>
    <x v="14"/>
    <s v="XL"/>
    <n v="0"/>
    <n v="0"/>
    <n v="0"/>
    <n v="0"/>
    <x v="19"/>
    <x v="1"/>
    <x v="3"/>
    <n v="1724.71"/>
  </r>
  <r>
    <n v="4280"/>
    <x v="1"/>
    <x v="1"/>
    <x v="15"/>
    <s v="M"/>
    <n v="0"/>
    <n v="0"/>
    <n v="0.45"/>
    <n v="0"/>
    <x v="379"/>
    <x v="1"/>
    <x v="5"/>
    <n v="3800.29"/>
  </r>
  <r>
    <n v="4281"/>
    <x v="0"/>
    <x v="4"/>
    <x v="8"/>
    <s v="M"/>
    <n v="0"/>
    <n v="0"/>
    <n v="0"/>
    <n v="0"/>
    <x v="379"/>
    <x v="1"/>
    <x v="2"/>
    <n v="88.91"/>
  </r>
  <r>
    <n v="4283"/>
    <x v="2"/>
    <x v="0"/>
    <x v="14"/>
    <s v="M"/>
    <n v="1"/>
    <n v="9649.36"/>
    <n v="0.95"/>
    <n v="482.47"/>
    <x v="118"/>
    <x v="1"/>
    <x v="0"/>
    <n v="1158.69"/>
  </r>
  <r>
    <n v="4286"/>
    <x v="0"/>
    <x v="1"/>
    <x v="1"/>
    <s v="L"/>
    <n v="0"/>
    <n v="5385.78"/>
    <n v="0"/>
    <n v="0"/>
    <x v="98"/>
    <x v="0"/>
    <x v="5"/>
    <n v="840.25"/>
  </r>
  <r>
    <n v="4287"/>
    <x v="0"/>
    <x v="2"/>
    <x v="7"/>
    <s v="M"/>
    <n v="0"/>
    <n v="0"/>
    <n v="0"/>
    <n v="0"/>
    <x v="98"/>
    <x v="1"/>
    <x v="5"/>
    <n v="-157.55000000000001"/>
  </r>
  <r>
    <n v="4289"/>
    <x v="2"/>
    <x v="2"/>
    <x v="7"/>
    <s v="L"/>
    <n v="0"/>
    <n v="0"/>
    <n v="0.1"/>
    <n v="0"/>
    <x v="98"/>
    <x v="1"/>
    <x v="4"/>
    <n v="2164.64"/>
  </r>
  <r>
    <n v="4291"/>
    <x v="1"/>
    <x v="1"/>
    <x v="15"/>
    <s v="XL"/>
    <n v="0"/>
    <n v="9306.5400000000009"/>
    <n v="0"/>
    <n v="0"/>
    <x v="98"/>
    <x v="1"/>
    <x v="4"/>
    <n v="-25.67"/>
  </r>
  <r>
    <n v="4292"/>
    <x v="2"/>
    <x v="0"/>
    <x v="14"/>
    <s v="L"/>
    <n v="2"/>
    <n v="0"/>
    <n v="0.23"/>
    <n v="0"/>
    <x v="210"/>
    <x v="0"/>
    <x v="4"/>
    <n v="1328.75"/>
  </r>
  <r>
    <n v="4293"/>
    <x v="1"/>
    <x v="4"/>
    <x v="12"/>
    <s v="XL"/>
    <n v="0"/>
    <n v="0"/>
    <n v="0"/>
    <n v="0"/>
    <x v="472"/>
    <x v="1"/>
    <x v="4"/>
    <n v="635.45000000000005"/>
  </r>
  <r>
    <n v="4295"/>
    <x v="1"/>
    <x v="4"/>
    <x v="8"/>
    <s v="M"/>
    <n v="4"/>
    <n v="4469.12"/>
    <n v="0"/>
    <n v="0"/>
    <x v="213"/>
    <x v="1"/>
    <x v="2"/>
    <n v="-1033.4100000000001"/>
  </r>
  <r>
    <n v="4296"/>
    <x v="1"/>
    <x v="2"/>
    <x v="7"/>
    <s v="M"/>
    <n v="3"/>
    <n v="4121.58"/>
    <n v="0"/>
    <n v="0"/>
    <x v="213"/>
    <x v="0"/>
    <x v="2"/>
    <n v="3702.74"/>
  </r>
  <r>
    <n v="4297"/>
    <x v="1"/>
    <x v="3"/>
    <x v="4"/>
    <s v="L"/>
    <n v="0"/>
    <n v="0"/>
    <n v="0"/>
    <n v="0"/>
    <x v="87"/>
    <x v="0"/>
    <x v="5"/>
    <n v="1123.18"/>
  </r>
  <r>
    <n v="4302"/>
    <x v="0"/>
    <x v="0"/>
    <x v="5"/>
    <s v="M"/>
    <n v="0"/>
    <n v="0"/>
    <n v="0"/>
    <n v="0"/>
    <x v="412"/>
    <x v="1"/>
    <x v="3"/>
    <n v="3813.44"/>
  </r>
  <r>
    <n v="4303"/>
    <x v="2"/>
    <x v="1"/>
    <x v="15"/>
    <s v="L"/>
    <n v="0"/>
    <n v="7587.07"/>
    <n v="0"/>
    <n v="0"/>
    <x v="278"/>
    <x v="0"/>
    <x v="0"/>
    <n v="-1131.99"/>
  </r>
  <r>
    <n v="4304"/>
    <x v="0"/>
    <x v="4"/>
    <x v="12"/>
    <s v="L"/>
    <n v="0"/>
    <n v="4877.24"/>
    <n v="0"/>
    <n v="0"/>
    <x v="510"/>
    <x v="1"/>
    <x v="1"/>
    <n v="2692.2"/>
  </r>
  <r>
    <n v="4305"/>
    <x v="1"/>
    <x v="2"/>
    <x v="7"/>
    <s v="M"/>
    <n v="0"/>
    <n v="2270.5700000000002"/>
    <n v="0"/>
    <n v="0"/>
    <x v="182"/>
    <x v="1"/>
    <x v="0"/>
    <n v="-331.09"/>
  </r>
  <r>
    <n v="4306"/>
    <x v="0"/>
    <x v="4"/>
    <x v="8"/>
    <s v="M"/>
    <n v="0"/>
    <n v="0"/>
    <n v="0"/>
    <n v="0"/>
    <x v="173"/>
    <x v="1"/>
    <x v="0"/>
    <n v="867.77"/>
  </r>
  <r>
    <n v="4307"/>
    <x v="1"/>
    <x v="0"/>
    <x v="0"/>
    <s v="M"/>
    <n v="0"/>
    <n v="6767.5"/>
    <n v="0"/>
    <n v="0"/>
    <x v="173"/>
    <x v="1"/>
    <x v="4"/>
    <n v="1311.71"/>
  </r>
  <r>
    <n v="4308"/>
    <x v="2"/>
    <x v="4"/>
    <x v="19"/>
    <s v="XL"/>
    <n v="0"/>
    <n v="0"/>
    <n v="0.21"/>
    <n v="0"/>
    <x v="166"/>
    <x v="1"/>
    <x v="3"/>
    <n v="982.03"/>
  </r>
  <r>
    <n v="4309"/>
    <x v="1"/>
    <x v="0"/>
    <x v="9"/>
    <s v="M"/>
    <n v="0"/>
    <n v="0"/>
    <n v="0.12"/>
    <n v="0"/>
    <x v="153"/>
    <x v="0"/>
    <x v="3"/>
    <n v="-9.44"/>
  </r>
  <r>
    <n v="4310"/>
    <x v="0"/>
    <x v="4"/>
    <x v="13"/>
    <s v="XL"/>
    <n v="0"/>
    <n v="9745.69"/>
    <n v="0.16"/>
    <n v="0"/>
    <x v="280"/>
    <x v="1"/>
    <x v="4"/>
    <n v="138.5"/>
  </r>
  <r>
    <n v="4311"/>
    <x v="2"/>
    <x v="0"/>
    <x v="0"/>
    <s v="L"/>
    <n v="3"/>
    <n v="0"/>
    <n v="0.46"/>
    <n v="0"/>
    <x v="511"/>
    <x v="1"/>
    <x v="0"/>
    <n v="2595.5100000000002"/>
  </r>
  <r>
    <n v="4313"/>
    <x v="1"/>
    <x v="1"/>
    <x v="1"/>
    <s v="M"/>
    <n v="0"/>
    <n v="0"/>
    <n v="0"/>
    <n v="0"/>
    <x v="511"/>
    <x v="1"/>
    <x v="0"/>
    <n v="3611.15"/>
  </r>
  <r>
    <n v="4315"/>
    <x v="1"/>
    <x v="2"/>
    <x v="17"/>
    <s v="M"/>
    <n v="4"/>
    <n v="4080.51"/>
    <n v="0"/>
    <n v="0"/>
    <x v="335"/>
    <x v="1"/>
    <x v="3"/>
    <n v="3322.21"/>
  </r>
  <r>
    <n v="4316"/>
    <x v="2"/>
    <x v="3"/>
    <x v="4"/>
    <s v="XL"/>
    <n v="0"/>
    <n v="0"/>
    <n v="0"/>
    <n v="0"/>
    <x v="308"/>
    <x v="1"/>
    <x v="1"/>
    <n v="405.43"/>
  </r>
  <r>
    <n v="4317"/>
    <x v="0"/>
    <x v="2"/>
    <x v="3"/>
    <s v="L"/>
    <n v="0"/>
    <n v="9623.5300000000007"/>
    <n v="0"/>
    <n v="0"/>
    <x v="368"/>
    <x v="1"/>
    <x v="0"/>
    <n v="-448.89"/>
  </r>
  <r>
    <n v="4318"/>
    <x v="1"/>
    <x v="4"/>
    <x v="12"/>
    <s v="M"/>
    <n v="-1"/>
    <n v="0"/>
    <n v="0"/>
    <n v="0"/>
    <x v="52"/>
    <x v="1"/>
    <x v="5"/>
    <n v="883.91"/>
  </r>
  <r>
    <n v="2027"/>
    <x v="2"/>
    <x v="0"/>
    <x v="0"/>
    <s v="L"/>
    <n v="0"/>
    <n v="0"/>
    <n v="0.08"/>
    <n v="0"/>
    <x v="300"/>
    <x v="1"/>
    <x v="5"/>
    <n v="126.1"/>
  </r>
  <r>
    <n v="4320"/>
    <x v="1"/>
    <x v="0"/>
    <x v="0"/>
    <s v="M"/>
    <n v="0"/>
    <n v="0"/>
    <n v="0"/>
    <n v="0"/>
    <x v="262"/>
    <x v="0"/>
    <x v="4"/>
    <n v="1848.29"/>
  </r>
  <r>
    <n v="4321"/>
    <x v="0"/>
    <x v="3"/>
    <x v="11"/>
    <s v="XL"/>
    <n v="0"/>
    <n v="6646.84"/>
    <n v="0"/>
    <n v="0"/>
    <x v="309"/>
    <x v="0"/>
    <x v="2"/>
    <n v="2210.19"/>
  </r>
  <r>
    <n v="4322"/>
    <x v="1"/>
    <x v="2"/>
    <x v="7"/>
    <s v="M"/>
    <n v="0"/>
    <n v="0"/>
    <n v="0"/>
    <n v="0"/>
    <x v="232"/>
    <x v="0"/>
    <x v="2"/>
    <n v="1939.05"/>
  </r>
  <r>
    <n v="4323"/>
    <x v="2"/>
    <x v="2"/>
    <x v="18"/>
    <s v="M"/>
    <n v="0"/>
    <n v="8526.42"/>
    <n v="1.02"/>
    <n v="0"/>
    <x v="32"/>
    <x v="1"/>
    <x v="4"/>
    <n v="3573.83"/>
  </r>
  <r>
    <n v="4324"/>
    <x v="1"/>
    <x v="1"/>
    <x v="1"/>
    <s v="M"/>
    <n v="0"/>
    <n v="0"/>
    <n v="0"/>
    <n v="0"/>
    <x v="32"/>
    <x v="1"/>
    <x v="2"/>
    <n v="920.34"/>
  </r>
  <r>
    <n v="4325"/>
    <x v="2"/>
    <x v="4"/>
    <x v="13"/>
    <s v="L"/>
    <n v="0"/>
    <n v="0"/>
    <n v="0"/>
    <n v="0"/>
    <x v="299"/>
    <x v="1"/>
    <x v="0"/>
    <n v="-402.21"/>
  </r>
  <r>
    <n v="4326"/>
    <x v="1"/>
    <x v="2"/>
    <x v="18"/>
    <s v="XL"/>
    <n v="0"/>
    <n v="9604.84"/>
    <n v="0.31"/>
    <n v="0"/>
    <x v="168"/>
    <x v="1"/>
    <x v="4"/>
    <n v="-143.11000000000001"/>
  </r>
  <r>
    <n v="2003"/>
    <x v="2"/>
    <x v="2"/>
    <x v="3"/>
    <s v="M"/>
    <n v="3"/>
    <n v="0"/>
    <n v="0.36"/>
    <n v="0"/>
    <x v="407"/>
    <x v="1"/>
    <x v="4"/>
    <n v="1884.04"/>
  </r>
  <r>
    <n v="4330"/>
    <x v="0"/>
    <x v="2"/>
    <x v="18"/>
    <s v="M"/>
    <n v="1"/>
    <n v="4087.76"/>
    <n v="0"/>
    <n v="0"/>
    <x v="371"/>
    <x v="1"/>
    <x v="0"/>
    <n v="-831.23"/>
  </r>
  <r>
    <n v="4336"/>
    <x v="2"/>
    <x v="1"/>
    <x v="15"/>
    <s v="XL"/>
    <n v="-1"/>
    <n v="7120.57"/>
    <n v="0.09"/>
    <n v="-6479.72"/>
    <x v="371"/>
    <x v="1"/>
    <x v="3"/>
    <n v="1916.22"/>
  </r>
  <r>
    <n v="4338"/>
    <x v="2"/>
    <x v="3"/>
    <x v="10"/>
    <s v="XL"/>
    <n v="0"/>
    <n v="0"/>
    <n v="0"/>
    <n v="0"/>
    <x v="371"/>
    <x v="0"/>
    <x v="3"/>
    <n v="1586.94"/>
  </r>
  <r>
    <n v="4339"/>
    <x v="1"/>
    <x v="2"/>
    <x v="17"/>
    <s v="L"/>
    <n v="0"/>
    <n v="0"/>
    <n v="0.33"/>
    <n v="0"/>
    <x v="237"/>
    <x v="1"/>
    <x v="1"/>
    <n v="2003"/>
  </r>
  <r>
    <n v="4340"/>
    <x v="1"/>
    <x v="0"/>
    <x v="14"/>
    <s v="M"/>
    <n v="0"/>
    <n v="3051.51"/>
    <n v="0"/>
    <n v="0"/>
    <x v="237"/>
    <x v="1"/>
    <x v="0"/>
    <n v="728.33"/>
  </r>
  <r>
    <n v="2009"/>
    <x v="0"/>
    <x v="3"/>
    <x v="16"/>
    <s v="L"/>
    <n v="0"/>
    <n v="0"/>
    <n v="0.84"/>
    <n v="0"/>
    <x v="512"/>
    <x v="1"/>
    <x v="4"/>
    <n v="1671.62"/>
  </r>
  <r>
    <n v="4343"/>
    <x v="0"/>
    <x v="0"/>
    <x v="9"/>
    <s v="M"/>
    <n v="0"/>
    <n v="5890.69"/>
    <n v="0"/>
    <n v="0"/>
    <x v="512"/>
    <x v="1"/>
    <x v="0"/>
    <n v="1390.36"/>
  </r>
  <r>
    <n v="4344"/>
    <x v="0"/>
    <x v="1"/>
    <x v="2"/>
    <s v="M"/>
    <n v="0"/>
    <n v="0"/>
    <n v="0"/>
    <n v="0"/>
    <x v="434"/>
    <x v="0"/>
    <x v="4"/>
    <n v="-467.18"/>
  </r>
  <r>
    <n v="4346"/>
    <x v="2"/>
    <x v="0"/>
    <x v="14"/>
    <s v="M"/>
    <n v="0"/>
    <n v="0"/>
    <n v="0.71"/>
    <n v="0"/>
    <x v="513"/>
    <x v="0"/>
    <x v="2"/>
    <n v="3222.9"/>
  </r>
  <r>
    <n v="4347"/>
    <x v="2"/>
    <x v="2"/>
    <x v="17"/>
    <s v="M"/>
    <n v="-1"/>
    <n v="9440.9500000000007"/>
    <n v="0"/>
    <n v="0"/>
    <x v="78"/>
    <x v="1"/>
    <x v="1"/>
    <n v="2945.56"/>
  </r>
  <r>
    <n v="4350"/>
    <x v="2"/>
    <x v="1"/>
    <x v="15"/>
    <s v="M"/>
    <n v="0"/>
    <n v="0"/>
    <n v="0"/>
    <n v="0"/>
    <x v="514"/>
    <x v="0"/>
    <x v="4"/>
    <n v="2515.85"/>
  </r>
  <r>
    <n v="4351"/>
    <x v="2"/>
    <x v="1"/>
    <x v="6"/>
    <s v="M"/>
    <n v="0"/>
    <n v="0"/>
    <n v="0"/>
    <n v="0"/>
    <x v="171"/>
    <x v="0"/>
    <x v="3"/>
    <n v="3303.1"/>
  </r>
  <r>
    <n v="4352"/>
    <x v="2"/>
    <x v="3"/>
    <x v="16"/>
    <s v="M"/>
    <n v="-1"/>
    <n v="9332.64"/>
    <n v="0.56999999999999995"/>
    <n v="-4013.04"/>
    <x v="13"/>
    <x v="1"/>
    <x v="5"/>
    <n v="-238.9"/>
  </r>
  <r>
    <n v="4353"/>
    <x v="2"/>
    <x v="1"/>
    <x v="2"/>
    <s v="M"/>
    <n v="-1"/>
    <n v="0"/>
    <n v="0"/>
    <n v="0"/>
    <x v="13"/>
    <x v="1"/>
    <x v="0"/>
    <n v="1665.83"/>
  </r>
  <r>
    <n v="2007"/>
    <x v="0"/>
    <x v="4"/>
    <x v="19"/>
    <s v="M"/>
    <n v="0"/>
    <n v="0"/>
    <n v="0"/>
    <n v="0"/>
    <x v="13"/>
    <x v="1"/>
    <x v="5"/>
    <n v="1779.99"/>
  </r>
  <r>
    <n v="4356"/>
    <x v="2"/>
    <x v="1"/>
    <x v="15"/>
    <s v="M"/>
    <n v="1"/>
    <n v="9557.32"/>
    <n v="0"/>
    <n v="0"/>
    <x v="13"/>
    <x v="0"/>
    <x v="4"/>
    <n v="1465.63"/>
  </r>
  <r>
    <n v="4357"/>
    <x v="1"/>
    <x v="2"/>
    <x v="18"/>
    <s v="M"/>
    <n v="0"/>
    <n v="7723.9"/>
    <n v="0"/>
    <n v="0"/>
    <x v="322"/>
    <x v="0"/>
    <x v="3"/>
    <n v="3626.91"/>
  </r>
  <r>
    <n v="4358"/>
    <x v="0"/>
    <x v="4"/>
    <x v="19"/>
    <s v="XL"/>
    <n v="2"/>
    <n v="0"/>
    <n v="0.43"/>
    <n v="0"/>
    <x v="414"/>
    <x v="0"/>
    <x v="2"/>
    <n v="2538.9699999999998"/>
  </r>
  <r>
    <n v="4359"/>
    <x v="0"/>
    <x v="3"/>
    <x v="16"/>
    <s v="L"/>
    <n v="0"/>
    <n v="9336.51"/>
    <n v="0"/>
    <n v="0"/>
    <x v="154"/>
    <x v="0"/>
    <x v="0"/>
    <n v="92.73"/>
  </r>
  <r>
    <n v="4361"/>
    <x v="0"/>
    <x v="2"/>
    <x v="3"/>
    <s v="M"/>
    <n v="0"/>
    <n v="5294.22"/>
    <n v="0"/>
    <n v="0"/>
    <x v="331"/>
    <x v="1"/>
    <x v="5"/>
    <n v="-787.71"/>
  </r>
  <r>
    <n v="4363"/>
    <x v="0"/>
    <x v="4"/>
    <x v="8"/>
    <s v="L"/>
    <n v="2"/>
    <n v="0"/>
    <n v="0.75"/>
    <n v="0"/>
    <x v="210"/>
    <x v="0"/>
    <x v="4"/>
    <n v="-1071.83"/>
  </r>
  <r>
    <n v="4365"/>
    <x v="2"/>
    <x v="4"/>
    <x v="13"/>
    <s v="L"/>
    <n v="0"/>
    <n v="7357.98"/>
    <n v="0"/>
    <n v="0"/>
    <x v="30"/>
    <x v="0"/>
    <x v="5"/>
    <n v="-86.8"/>
  </r>
  <r>
    <n v="4366"/>
    <x v="0"/>
    <x v="0"/>
    <x v="0"/>
    <s v="L"/>
    <n v="0"/>
    <n v="2572.92"/>
    <n v="0"/>
    <n v="0"/>
    <x v="382"/>
    <x v="1"/>
    <x v="5"/>
    <n v="714.82"/>
  </r>
  <r>
    <n v="4368"/>
    <x v="1"/>
    <x v="1"/>
    <x v="1"/>
    <s v="M"/>
    <n v="3"/>
    <n v="5481.64"/>
    <n v="1.18"/>
    <n v="-2960.09"/>
    <x v="190"/>
    <x v="1"/>
    <x v="4"/>
    <n v="2234.2800000000002"/>
  </r>
  <r>
    <n v="4369"/>
    <x v="1"/>
    <x v="0"/>
    <x v="0"/>
    <s v="L"/>
    <n v="0"/>
    <n v="0"/>
    <n v="0"/>
    <n v="0"/>
    <x v="190"/>
    <x v="0"/>
    <x v="1"/>
    <n v="1525.91"/>
  </r>
  <r>
    <n v="4370"/>
    <x v="1"/>
    <x v="3"/>
    <x v="16"/>
    <s v="L"/>
    <n v="2"/>
    <n v="5046.05"/>
    <n v="0.38"/>
    <n v="6257.1"/>
    <x v="44"/>
    <x v="1"/>
    <x v="2"/>
    <n v="2530.73"/>
  </r>
  <r>
    <n v="4371"/>
    <x v="2"/>
    <x v="2"/>
    <x v="3"/>
    <s v="M"/>
    <n v="0"/>
    <n v="2042.87"/>
    <n v="1.25"/>
    <n v="0"/>
    <x v="292"/>
    <x v="1"/>
    <x v="1"/>
    <n v="510.02"/>
  </r>
  <r>
    <n v="2029"/>
    <x v="0"/>
    <x v="3"/>
    <x v="11"/>
    <s v="M"/>
    <n v="0"/>
    <n v="0"/>
    <n v="0"/>
    <n v="0"/>
    <x v="292"/>
    <x v="1"/>
    <x v="2"/>
    <n v="2598.77"/>
  </r>
  <r>
    <n v="4373"/>
    <x v="2"/>
    <x v="2"/>
    <x v="7"/>
    <s v="M"/>
    <n v="0"/>
    <n v="0"/>
    <n v="0"/>
    <n v="0"/>
    <x v="239"/>
    <x v="1"/>
    <x v="0"/>
    <n v="396.99"/>
  </r>
  <r>
    <n v="4374"/>
    <x v="1"/>
    <x v="4"/>
    <x v="13"/>
    <s v="XL"/>
    <n v="3"/>
    <n v="0"/>
    <n v="0"/>
    <n v="0"/>
    <x v="11"/>
    <x v="1"/>
    <x v="3"/>
    <n v="-1129.3800000000001"/>
  </r>
  <r>
    <n v="4375"/>
    <x v="1"/>
    <x v="0"/>
    <x v="14"/>
    <s v="L"/>
    <n v="-1"/>
    <n v="0"/>
    <n v="0.45"/>
    <n v="0"/>
    <x v="286"/>
    <x v="0"/>
    <x v="5"/>
    <n v="-693.38"/>
  </r>
  <r>
    <n v="4376"/>
    <x v="2"/>
    <x v="1"/>
    <x v="15"/>
    <s v="M"/>
    <n v="0"/>
    <n v="7651.93"/>
    <n v="1.08"/>
    <n v="0"/>
    <x v="265"/>
    <x v="0"/>
    <x v="5"/>
    <n v="546.84"/>
  </r>
  <r>
    <n v="4377"/>
    <x v="1"/>
    <x v="3"/>
    <x v="11"/>
    <s v="M"/>
    <n v="0"/>
    <n v="0"/>
    <n v="0.89"/>
    <n v="0"/>
    <x v="182"/>
    <x v="1"/>
    <x v="2"/>
    <n v="2302.2199999999998"/>
  </r>
  <r>
    <n v="4379"/>
    <x v="1"/>
    <x v="2"/>
    <x v="18"/>
    <s v="M"/>
    <n v="3"/>
    <n v="0"/>
    <n v="0"/>
    <n v="0"/>
    <x v="182"/>
    <x v="0"/>
    <x v="1"/>
    <n v="974.37"/>
  </r>
  <r>
    <n v="4380"/>
    <x v="2"/>
    <x v="1"/>
    <x v="15"/>
    <s v="M"/>
    <n v="1"/>
    <n v="0"/>
    <n v="0.56999999999999995"/>
    <n v="0"/>
    <x v="182"/>
    <x v="0"/>
    <x v="3"/>
    <n v="3456.67"/>
  </r>
  <r>
    <n v="4381"/>
    <x v="2"/>
    <x v="0"/>
    <x v="5"/>
    <s v="XL"/>
    <n v="0"/>
    <n v="2476.41"/>
    <n v="0"/>
    <n v="0"/>
    <x v="182"/>
    <x v="1"/>
    <x v="3"/>
    <n v="1189.49"/>
  </r>
  <r>
    <n v="4385"/>
    <x v="2"/>
    <x v="4"/>
    <x v="12"/>
    <s v="L"/>
    <n v="0"/>
    <n v="9057.85"/>
    <n v="0.84"/>
    <n v="0"/>
    <x v="515"/>
    <x v="1"/>
    <x v="5"/>
    <n v="1767.32"/>
  </r>
  <r>
    <n v="4388"/>
    <x v="1"/>
    <x v="0"/>
    <x v="14"/>
    <s v="M"/>
    <n v="0"/>
    <n v="0"/>
    <n v="0"/>
    <n v="0"/>
    <x v="462"/>
    <x v="1"/>
    <x v="0"/>
    <n v="2186.94"/>
  </r>
  <r>
    <n v="4389"/>
    <x v="1"/>
    <x v="4"/>
    <x v="13"/>
    <s v="M"/>
    <n v="0"/>
    <n v="9304.56"/>
    <n v="0"/>
    <n v="0"/>
    <x v="81"/>
    <x v="0"/>
    <x v="5"/>
    <n v="2773.13"/>
  </r>
  <r>
    <n v="4390"/>
    <x v="0"/>
    <x v="2"/>
    <x v="7"/>
    <s v="L"/>
    <n v="0"/>
    <n v="0"/>
    <n v="1.1100000000000001"/>
    <n v="0"/>
    <x v="437"/>
    <x v="0"/>
    <x v="0"/>
    <n v="848.64"/>
  </r>
  <r>
    <n v="4391"/>
    <x v="1"/>
    <x v="2"/>
    <x v="17"/>
    <s v="M"/>
    <n v="0"/>
    <n v="9569.18"/>
    <n v="0"/>
    <n v="0"/>
    <x v="274"/>
    <x v="1"/>
    <x v="3"/>
    <n v="2446.09"/>
  </r>
  <r>
    <n v="4393"/>
    <x v="1"/>
    <x v="4"/>
    <x v="12"/>
    <s v="L"/>
    <n v="0"/>
    <n v="0"/>
    <n v="0"/>
    <n v="0"/>
    <x v="274"/>
    <x v="1"/>
    <x v="5"/>
    <n v="-41.67"/>
  </r>
  <r>
    <n v="4394"/>
    <x v="1"/>
    <x v="0"/>
    <x v="14"/>
    <s v="L"/>
    <n v="0"/>
    <n v="8873.61"/>
    <n v="0.81"/>
    <n v="0"/>
    <x v="457"/>
    <x v="1"/>
    <x v="0"/>
    <n v="1663.56"/>
  </r>
  <r>
    <n v="4395"/>
    <x v="0"/>
    <x v="3"/>
    <x v="10"/>
    <s v="M"/>
    <n v="2"/>
    <n v="5282.31"/>
    <n v="0"/>
    <n v="0"/>
    <x v="274"/>
    <x v="0"/>
    <x v="2"/>
    <n v="3365.61"/>
  </r>
  <r>
    <n v="4397"/>
    <x v="2"/>
    <x v="3"/>
    <x v="4"/>
    <s v="M"/>
    <n v="-1"/>
    <n v="0"/>
    <n v="0"/>
    <n v="0"/>
    <x v="184"/>
    <x v="1"/>
    <x v="4"/>
    <n v="-671.54"/>
  </r>
  <r>
    <n v="4398"/>
    <x v="2"/>
    <x v="1"/>
    <x v="2"/>
    <s v="XL"/>
    <n v="2"/>
    <n v="0"/>
    <n v="0"/>
    <n v="0"/>
    <x v="516"/>
    <x v="0"/>
    <x v="4"/>
    <n v="1971.9"/>
  </r>
  <r>
    <n v="4399"/>
    <x v="2"/>
    <x v="4"/>
    <x v="8"/>
    <s v="L"/>
    <n v="0"/>
    <n v="7607.91"/>
    <n v="0"/>
    <n v="0"/>
    <x v="97"/>
    <x v="0"/>
    <x v="0"/>
    <n v="-161.85"/>
  </r>
  <r>
    <n v="4400"/>
    <x v="1"/>
    <x v="2"/>
    <x v="18"/>
    <s v="M"/>
    <n v="4"/>
    <n v="7798.57"/>
    <n v="0.28000000000000003"/>
    <n v="22459.88"/>
    <x v="82"/>
    <x v="1"/>
    <x v="5"/>
    <n v="1334.4"/>
  </r>
  <r>
    <n v="4401"/>
    <x v="2"/>
    <x v="2"/>
    <x v="3"/>
    <s v="XL"/>
    <n v="0"/>
    <n v="0"/>
    <n v="0"/>
    <n v="0"/>
    <x v="517"/>
    <x v="1"/>
    <x v="5"/>
    <n v="3410.82"/>
  </r>
  <r>
    <n v="4403"/>
    <x v="0"/>
    <x v="4"/>
    <x v="12"/>
    <s v="L"/>
    <n v="0"/>
    <n v="3086.75"/>
    <n v="0"/>
    <n v="0"/>
    <x v="451"/>
    <x v="0"/>
    <x v="3"/>
    <n v="-681.62"/>
  </r>
  <r>
    <n v="4404"/>
    <x v="1"/>
    <x v="3"/>
    <x v="11"/>
    <s v="M"/>
    <n v="0"/>
    <n v="0"/>
    <n v="0"/>
    <n v="0"/>
    <x v="451"/>
    <x v="1"/>
    <x v="1"/>
    <n v="2129.29"/>
  </r>
  <r>
    <n v="4405"/>
    <x v="1"/>
    <x v="0"/>
    <x v="5"/>
    <s v="XL"/>
    <n v="-1"/>
    <n v="0"/>
    <n v="1.24"/>
    <n v="0"/>
    <x v="181"/>
    <x v="1"/>
    <x v="3"/>
    <n v="3373.28"/>
  </r>
  <r>
    <n v="4407"/>
    <x v="0"/>
    <x v="2"/>
    <x v="7"/>
    <s v="M"/>
    <n v="0"/>
    <n v="0"/>
    <n v="1.1100000000000001"/>
    <n v="0"/>
    <x v="181"/>
    <x v="0"/>
    <x v="2"/>
    <n v="3172.6"/>
  </r>
  <r>
    <n v="4408"/>
    <x v="0"/>
    <x v="0"/>
    <x v="9"/>
    <s v="XL"/>
    <n v="1"/>
    <n v="3409.83"/>
    <n v="0"/>
    <n v="0"/>
    <x v="181"/>
    <x v="0"/>
    <x v="0"/>
    <n v="1822"/>
  </r>
  <r>
    <n v="4409"/>
    <x v="0"/>
    <x v="0"/>
    <x v="5"/>
    <s v="L"/>
    <n v="0"/>
    <n v="0"/>
    <n v="0.01"/>
    <n v="0"/>
    <x v="181"/>
    <x v="1"/>
    <x v="0"/>
    <n v="2707.33"/>
  </r>
  <r>
    <n v="4410"/>
    <x v="2"/>
    <x v="4"/>
    <x v="12"/>
    <s v="XL"/>
    <n v="-1"/>
    <n v="5967.57"/>
    <n v="1.1000000000000001"/>
    <n v="596.76"/>
    <x v="95"/>
    <x v="1"/>
    <x v="2"/>
    <n v="-1011.68"/>
  </r>
  <r>
    <n v="4411"/>
    <x v="0"/>
    <x v="2"/>
    <x v="18"/>
    <s v="M"/>
    <n v="0"/>
    <n v="0"/>
    <n v="0"/>
    <n v="0"/>
    <x v="95"/>
    <x v="1"/>
    <x v="1"/>
    <n v="3130.26"/>
  </r>
  <r>
    <n v="4412"/>
    <x v="0"/>
    <x v="2"/>
    <x v="3"/>
    <s v="XL"/>
    <n v="1"/>
    <n v="0"/>
    <n v="0"/>
    <n v="0"/>
    <x v="205"/>
    <x v="0"/>
    <x v="5"/>
    <n v="3452.75"/>
  </r>
  <r>
    <n v="4413"/>
    <x v="2"/>
    <x v="3"/>
    <x v="11"/>
    <s v="M"/>
    <n v="0"/>
    <n v="0"/>
    <n v="0"/>
    <n v="0"/>
    <x v="259"/>
    <x v="1"/>
    <x v="1"/>
    <n v="2790.67"/>
  </r>
  <r>
    <n v="4414"/>
    <x v="0"/>
    <x v="3"/>
    <x v="16"/>
    <s v="M"/>
    <n v="0"/>
    <n v="0"/>
    <n v="0.32"/>
    <n v="0"/>
    <x v="323"/>
    <x v="1"/>
    <x v="1"/>
    <n v="3503.26"/>
  </r>
  <r>
    <n v="4415"/>
    <x v="0"/>
    <x v="3"/>
    <x v="11"/>
    <s v="M"/>
    <n v="0"/>
    <n v="3671.95"/>
    <n v="0"/>
    <n v="0"/>
    <x v="323"/>
    <x v="1"/>
    <x v="3"/>
    <n v="2797.91"/>
  </r>
  <r>
    <n v="4417"/>
    <x v="1"/>
    <x v="1"/>
    <x v="1"/>
    <s v="L"/>
    <n v="0"/>
    <n v="0"/>
    <n v="0.83"/>
    <n v="0"/>
    <x v="323"/>
    <x v="1"/>
    <x v="1"/>
    <n v="2668.14"/>
  </r>
  <r>
    <n v="4418"/>
    <x v="1"/>
    <x v="0"/>
    <x v="9"/>
    <s v="XL"/>
    <n v="2"/>
    <n v="3139.93"/>
    <n v="0.46"/>
    <n v="3391.12"/>
    <x v="323"/>
    <x v="0"/>
    <x v="5"/>
    <n v="3548.13"/>
  </r>
  <r>
    <n v="4419"/>
    <x v="0"/>
    <x v="0"/>
    <x v="5"/>
    <s v="M"/>
    <n v="0"/>
    <n v="0"/>
    <n v="0"/>
    <n v="0"/>
    <x v="9"/>
    <x v="0"/>
    <x v="0"/>
    <n v="61.45"/>
  </r>
  <r>
    <n v="4420"/>
    <x v="1"/>
    <x v="2"/>
    <x v="3"/>
    <s v="L"/>
    <n v="4"/>
    <n v="4904.79"/>
    <n v="1.19"/>
    <n v="-3727.64"/>
    <x v="311"/>
    <x v="1"/>
    <x v="3"/>
    <n v="2633.82"/>
  </r>
  <r>
    <n v="4421"/>
    <x v="1"/>
    <x v="3"/>
    <x v="4"/>
    <s v="XL"/>
    <n v="0"/>
    <n v="0"/>
    <n v="0"/>
    <n v="0"/>
    <x v="323"/>
    <x v="0"/>
    <x v="2"/>
    <n v="3005.03"/>
  </r>
  <r>
    <n v="4423"/>
    <x v="2"/>
    <x v="3"/>
    <x v="11"/>
    <s v="M"/>
    <n v="1"/>
    <n v="5381.5"/>
    <n v="0"/>
    <n v="0"/>
    <x v="303"/>
    <x v="1"/>
    <x v="3"/>
    <n v="57.84"/>
  </r>
  <r>
    <n v="2007"/>
    <x v="2"/>
    <x v="1"/>
    <x v="15"/>
    <s v="L"/>
    <n v="0"/>
    <n v="7652.31"/>
    <n v="0"/>
    <n v="0"/>
    <x v="518"/>
    <x v="1"/>
    <x v="0"/>
    <n v="1515.95"/>
  </r>
  <r>
    <n v="4425"/>
    <x v="1"/>
    <x v="3"/>
    <x v="10"/>
    <s v="L"/>
    <n v="0"/>
    <n v="4034.25"/>
    <n v="0"/>
    <n v="0"/>
    <x v="519"/>
    <x v="1"/>
    <x v="4"/>
    <n v="363.8"/>
  </r>
  <r>
    <n v="4426"/>
    <x v="2"/>
    <x v="2"/>
    <x v="3"/>
    <s v="M"/>
    <n v="1"/>
    <n v="0"/>
    <n v="0"/>
    <n v="0"/>
    <x v="50"/>
    <x v="0"/>
    <x v="3"/>
    <n v="2133.39"/>
  </r>
  <r>
    <n v="4429"/>
    <x v="0"/>
    <x v="1"/>
    <x v="2"/>
    <s v="XL"/>
    <n v="2"/>
    <n v="0"/>
    <n v="0.49"/>
    <n v="0"/>
    <x v="428"/>
    <x v="1"/>
    <x v="5"/>
    <n v="3905.15"/>
  </r>
  <r>
    <n v="4430"/>
    <x v="0"/>
    <x v="4"/>
    <x v="12"/>
    <s v="L"/>
    <n v="2"/>
    <n v="0"/>
    <n v="0.15"/>
    <n v="0"/>
    <x v="386"/>
    <x v="1"/>
    <x v="0"/>
    <n v="3590.87"/>
  </r>
  <r>
    <n v="4431"/>
    <x v="0"/>
    <x v="0"/>
    <x v="9"/>
    <s v="XL"/>
    <n v="0"/>
    <n v="0"/>
    <n v="0"/>
    <n v="0"/>
    <x v="299"/>
    <x v="0"/>
    <x v="0"/>
    <n v="-537.53"/>
  </r>
  <r>
    <n v="4432"/>
    <x v="2"/>
    <x v="4"/>
    <x v="8"/>
    <s v="XL"/>
    <n v="0"/>
    <n v="6378.45"/>
    <n v="0"/>
    <n v="0"/>
    <x v="136"/>
    <x v="1"/>
    <x v="1"/>
    <n v="2573.36"/>
  </r>
  <r>
    <n v="4433"/>
    <x v="2"/>
    <x v="1"/>
    <x v="15"/>
    <s v="M"/>
    <n v="4"/>
    <n v="4840.5"/>
    <n v="0"/>
    <n v="0"/>
    <x v="136"/>
    <x v="1"/>
    <x v="1"/>
    <n v="3226.65"/>
  </r>
  <r>
    <n v="4434"/>
    <x v="2"/>
    <x v="4"/>
    <x v="13"/>
    <s v="L"/>
    <n v="3"/>
    <n v="3844.82"/>
    <n v="0"/>
    <n v="0"/>
    <x v="128"/>
    <x v="0"/>
    <x v="1"/>
    <n v="-289.83"/>
  </r>
  <r>
    <n v="4435"/>
    <x v="1"/>
    <x v="0"/>
    <x v="5"/>
    <s v="M"/>
    <n v="0"/>
    <n v="0"/>
    <n v="0"/>
    <n v="0"/>
    <x v="128"/>
    <x v="0"/>
    <x v="1"/>
    <n v="2607.5700000000002"/>
  </r>
  <r>
    <n v="4436"/>
    <x v="2"/>
    <x v="0"/>
    <x v="0"/>
    <s v="M"/>
    <n v="4"/>
    <n v="2720.7"/>
    <n v="0"/>
    <n v="0"/>
    <x v="268"/>
    <x v="0"/>
    <x v="3"/>
    <n v="-818.53"/>
  </r>
  <r>
    <n v="4437"/>
    <x v="2"/>
    <x v="4"/>
    <x v="12"/>
    <s v="XL"/>
    <n v="2"/>
    <n v="0"/>
    <n v="0"/>
    <n v="0"/>
    <x v="496"/>
    <x v="1"/>
    <x v="1"/>
    <n v="3972.33"/>
  </r>
  <r>
    <n v="4440"/>
    <x v="2"/>
    <x v="4"/>
    <x v="13"/>
    <s v="XL"/>
    <n v="0"/>
    <n v="6172.36"/>
    <n v="0"/>
    <n v="0"/>
    <x v="111"/>
    <x v="0"/>
    <x v="2"/>
    <n v="-551.75"/>
  </r>
  <r>
    <n v="4441"/>
    <x v="0"/>
    <x v="1"/>
    <x v="2"/>
    <s v="L"/>
    <n v="3"/>
    <n v="0"/>
    <n v="0"/>
    <n v="0"/>
    <x v="520"/>
    <x v="1"/>
    <x v="5"/>
    <n v="2036.39"/>
  </r>
  <r>
    <n v="4442"/>
    <x v="1"/>
    <x v="1"/>
    <x v="15"/>
    <s v="L"/>
    <n v="0"/>
    <n v="0"/>
    <n v="0"/>
    <n v="0"/>
    <x v="521"/>
    <x v="1"/>
    <x v="1"/>
    <n v="1366.18"/>
  </r>
  <r>
    <n v="4443"/>
    <x v="2"/>
    <x v="2"/>
    <x v="17"/>
    <s v="M"/>
    <n v="3"/>
    <n v="7953"/>
    <n v="1.21"/>
    <n v="-5010.3900000000003"/>
    <x v="279"/>
    <x v="1"/>
    <x v="1"/>
    <n v="-665.22"/>
  </r>
  <r>
    <n v="4444"/>
    <x v="2"/>
    <x v="3"/>
    <x v="4"/>
    <s v="M"/>
    <n v="4"/>
    <n v="0"/>
    <n v="0.36"/>
    <n v="0"/>
    <x v="2"/>
    <x v="0"/>
    <x v="5"/>
    <n v="243.39"/>
  </r>
  <r>
    <n v="4445"/>
    <x v="1"/>
    <x v="0"/>
    <x v="9"/>
    <s v="XL"/>
    <n v="1"/>
    <n v="5915.27"/>
    <n v="0.12"/>
    <n v="5205.4399999999996"/>
    <x v="425"/>
    <x v="1"/>
    <x v="2"/>
    <n v="3456.95"/>
  </r>
  <r>
    <n v="4446"/>
    <x v="2"/>
    <x v="1"/>
    <x v="6"/>
    <s v="M"/>
    <n v="2"/>
    <n v="3469.31"/>
    <n v="0.28000000000000003"/>
    <n v="4995.8100000000004"/>
    <x v="212"/>
    <x v="1"/>
    <x v="3"/>
    <n v="2671.58"/>
  </r>
  <r>
    <n v="4447"/>
    <x v="0"/>
    <x v="3"/>
    <x v="11"/>
    <s v="XL"/>
    <n v="0"/>
    <n v="0"/>
    <n v="0"/>
    <n v="0"/>
    <x v="130"/>
    <x v="1"/>
    <x v="4"/>
    <n v="1574.91"/>
  </r>
  <r>
    <n v="2030"/>
    <x v="1"/>
    <x v="4"/>
    <x v="8"/>
    <s v="M"/>
    <n v="2"/>
    <n v="0"/>
    <n v="0"/>
    <n v="0"/>
    <x v="241"/>
    <x v="1"/>
    <x v="2"/>
    <n v="2717.93"/>
  </r>
  <r>
    <n v="4449"/>
    <x v="2"/>
    <x v="2"/>
    <x v="18"/>
    <s v="M"/>
    <n v="0"/>
    <n v="5053.29"/>
    <n v="0"/>
    <n v="0"/>
    <x v="181"/>
    <x v="1"/>
    <x v="5"/>
    <n v="3206.34"/>
  </r>
  <r>
    <n v="4452"/>
    <x v="1"/>
    <x v="2"/>
    <x v="3"/>
    <s v="M"/>
    <n v="1"/>
    <n v="0"/>
    <n v="0"/>
    <n v="0"/>
    <x v="476"/>
    <x v="0"/>
    <x v="0"/>
    <n v="-86.63"/>
  </r>
  <r>
    <n v="4453"/>
    <x v="2"/>
    <x v="0"/>
    <x v="5"/>
    <s v="XL"/>
    <n v="1"/>
    <n v="0"/>
    <n v="0"/>
    <n v="0"/>
    <x v="234"/>
    <x v="1"/>
    <x v="0"/>
    <n v="2814.75"/>
  </r>
  <r>
    <n v="4454"/>
    <x v="0"/>
    <x v="3"/>
    <x v="16"/>
    <s v="M"/>
    <n v="0"/>
    <n v="2915.54"/>
    <n v="0"/>
    <n v="0"/>
    <x v="435"/>
    <x v="1"/>
    <x v="4"/>
    <n v="-1188.6400000000001"/>
  </r>
  <r>
    <n v="4455"/>
    <x v="1"/>
    <x v="4"/>
    <x v="12"/>
    <s v="M"/>
    <n v="3"/>
    <n v="8629.75"/>
    <n v="0"/>
    <n v="0"/>
    <x v="435"/>
    <x v="0"/>
    <x v="2"/>
    <n v="2417.15"/>
  </r>
  <r>
    <n v="4456"/>
    <x v="1"/>
    <x v="4"/>
    <x v="12"/>
    <s v="XL"/>
    <n v="1"/>
    <n v="0"/>
    <n v="0.32"/>
    <n v="0"/>
    <x v="522"/>
    <x v="1"/>
    <x v="1"/>
    <n v="450.51"/>
  </r>
  <r>
    <n v="2019"/>
    <x v="2"/>
    <x v="2"/>
    <x v="18"/>
    <s v="L"/>
    <n v="-1"/>
    <n v="2452.52"/>
    <n v="0.12"/>
    <n v="-2158.2199999999998"/>
    <x v="179"/>
    <x v="1"/>
    <x v="1"/>
    <n v="-1199.45"/>
  </r>
  <r>
    <n v="4458"/>
    <x v="0"/>
    <x v="1"/>
    <x v="2"/>
    <s v="L"/>
    <n v="0"/>
    <n v="6500.77"/>
    <n v="0.22"/>
    <n v="0"/>
    <x v="503"/>
    <x v="1"/>
    <x v="2"/>
    <n v="870.08"/>
  </r>
  <r>
    <n v="4460"/>
    <x v="1"/>
    <x v="1"/>
    <x v="1"/>
    <s v="M"/>
    <n v="-1"/>
    <n v="9682.2000000000007"/>
    <n v="0"/>
    <n v="0"/>
    <x v="503"/>
    <x v="0"/>
    <x v="1"/>
    <n v="570.41999999999996"/>
  </r>
  <r>
    <n v="4461"/>
    <x v="0"/>
    <x v="2"/>
    <x v="7"/>
    <s v="XL"/>
    <n v="0"/>
    <n v="0"/>
    <n v="0"/>
    <n v="0"/>
    <x v="503"/>
    <x v="1"/>
    <x v="1"/>
    <n v="1800.98"/>
  </r>
  <r>
    <n v="4462"/>
    <x v="0"/>
    <x v="3"/>
    <x v="4"/>
    <s v="L"/>
    <n v="0"/>
    <n v="0"/>
    <n v="0"/>
    <n v="0"/>
    <x v="503"/>
    <x v="1"/>
    <x v="3"/>
    <n v="2280.52"/>
  </r>
  <r>
    <n v="4463"/>
    <x v="2"/>
    <x v="1"/>
    <x v="2"/>
    <s v="M"/>
    <n v="3"/>
    <n v="8317.5300000000007"/>
    <n v="0.6"/>
    <n v="9981.0400000000009"/>
    <x v="357"/>
    <x v="1"/>
    <x v="3"/>
    <n v="1821.65"/>
  </r>
  <r>
    <n v="4467"/>
    <x v="0"/>
    <x v="2"/>
    <x v="18"/>
    <s v="XL"/>
    <n v="0"/>
    <n v="3918.43"/>
    <n v="0"/>
    <n v="0"/>
    <x v="259"/>
    <x v="1"/>
    <x v="5"/>
    <n v="2820.24"/>
  </r>
  <r>
    <n v="4468"/>
    <x v="2"/>
    <x v="1"/>
    <x v="2"/>
    <s v="XL"/>
    <n v="3"/>
    <n v="6077.13"/>
    <n v="1.1299999999999999"/>
    <n v="-2370.08"/>
    <x v="523"/>
    <x v="0"/>
    <x v="2"/>
    <n v="3173.31"/>
  </r>
  <r>
    <n v="4469"/>
    <x v="0"/>
    <x v="4"/>
    <x v="19"/>
    <s v="M"/>
    <n v="0"/>
    <n v="0"/>
    <n v="0"/>
    <n v="0"/>
    <x v="523"/>
    <x v="1"/>
    <x v="0"/>
    <n v="3626.93"/>
  </r>
  <r>
    <n v="4470"/>
    <x v="1"/>
    <x v="4"/>
    <x v="12"/>
    <s v="L"/>
    <n v="0"/>
    <n v="0"/>
    <n v="0"/>
    <n v="0"/>
    <x v="523"/>
    <x v="0"/>
    <x v="0"/>
    <n v="3144.4"/>
  </r>
  <r>
    <n v="4473"/>
    <x v="0"/>
    <x v="2"/>
    <x v="7"/>
    <s v="M"/>
    <n v="0"/>
    <n v="0"/>
    <n v="0"/>
    <n v="0"/>
    <x v="523"/>
    <x v="0"/>
    <x v="5"/>
    <n v="1011.74"/>
  </r>
  <r>
    <n v="4474"/>
    <x v="1"/>
    <x v="2"/>
    <x v="18"/>
    <s v="XL"/>
    <n v="0"/>
    <n v="8130.71"/>
    <n v="0"/>
    <n v="0"/>
    <x v="523"/>
    <x v="0"/>
    <x v="2"/>
    <n v="3536.87"/>
  </r>
  <r>
    <n v="4475"/>
    <x v="0"/>
    <x v="1"/>
    <x v="1"/>
    <s v="M"/>
    <n v="0"/>
    <n v="0"/>
    <n v="1.25"/>
    <n v="0"/>
    <x v="335"/>
    <x v="0"/>
    <x v="1"/>
    <n v="1487.03"/>
  </r>
  <r>
    <n v="4476"/>
    <x v="1"/>
    <x v="2"/>
    <x v="7"/>
    <s v="L"/>
    <n v="0"/>
    <n v="4495.47"/>
    <n v="0"/>
    <n v="0"/>
    <x v="322"/>
    <x v="0"/>
    <x v="0"/>
    <n v="560.20000000000005"/>
  </r>
  <r>
    <n v="4477"/>
    <x v="2"/>
    <x v="3"/>
    <x v="16"/>
    <s v="M"/>
    <n v="0"/>
    <n v="0"/>
    <n v="0"/>
    <n v="0"/>
    <x v="40"/>
    <x v="0"/>
    <x v="4"/>
    <n v="-838.22"/>
  </r>
  <r>
    <n v="4480"/>
    <x v="2"/>
    <x v="0"/>
    <x v="0"/>
    <s v="M"/>
    <n v="0"/>
    <n v="0"/>
    <n v="0.61"/>
    <n v="0"/>
    <x v="524"/>
    <x v="1"/>
    <x v="1"/>
    <n v="1920.5"/>
  </r>
  <r>
    <n v="4481"/>
    <x v="2"/>
    <x v="1"/>
    <x v="6"/>
    <s v="L"/>
    <n v="0"/>
    <n v="8504.98"/>
    <n v="0.88"/>
    <n v="0"/>
    <x v="281"/>
    <x v="1"/>
    <x v="4"/>
    <n v="1227.48"/>
  </r>
  <r>
    <n v="4482"/>
    <x v="0"/>
    <x v="1"/>
    <x v="15"/>
    <s v="L"/>
    <n v="2"/>
    <n v="0"/>
    <n v="0"/>
    <n v="0"/>
    <x v="525"/>
    <x v="0"/>
    <x v="2"/>
    <n v="-742.03"/>
  </r>
  <r>
    <n v="4483"/>
    <x v="0"/>
    <x v="2"/>
    <x v="3"/>
    <s v="M"/>
    <n v="0"/>
    <n v="2844.04"/>
    <n v="0.12"/>
    <n v="0"/>
    <x v="286"/>
    <x v="0"/>
    <x v="1"/>
    <n v="-1026.8599999999999"/>
  </r>
  <r>
    <n v="4484"/>
    <x v="2"/>
    <x v="4"/>
    <x v="8"/>
    <s v="M"/>
    <n v="3"/>
    <n v="5981.92"/>
    <n v="0.8"/>
    <n v="3589.15"/>
    <x v="130"/>
    <x v="1"/>
    <x v="1"/>
    <n v="-751.05"/>
  </r>
  <r>
    <n v="4485"/>
    <x v="2"/>
    <x v="0"/>
    <x v="5"/>
    <s v="L"/>
    <n v="0"/>
    <n v="0"/>
    <n v="0.78"/>
    <n v="0"/>
    <x v="115"/>
    <x v="1"/>
    <x v="3"/>
    <n v="-367.25"/>
  </r>
  <r>
    <n v="4486"/>
    <x v="1"/>
    <x v="0"/>
    <x v="5"/>
    <s v="XL"/>
    <n v="0"/>
    <n v="0"/>
    <n v="0"/>
    <n v="0"/>
    <x v="438"/>
    <x v="0"/>
    <x v="0"/>
    <n v="3338.79"/>
  </r>
  <r>
    <n v="4487"/>
    <x v="2"/>
    <x v="2"/>
    <x v="18"/>
    <s v="L"/>
    <n v="0"/>
    <n v="9009.7099999999991"/>
    <n v="0.4"/>
    <n v="0"/>
    <x v="145"/>
    <x v="1"/>
    <x v="3"/>
    <n v="-996.86"/>
  </r>
  <r>
    <n v="4488"/>
    <x v="1"/>
    <x v="0"/>
    <x v="5"/>
    <s v="M"/>
    <n v="2"/>
    <n v="0"/>
    <n v="0"/>
    <n v="0"/>
    <x v="110"/>
    <x v="1"/>
    <x v="3"/>
    <n v="3045.38"/>
  </r>
  <r>
    <n v="4489"/>
    <x v="0"/>
    <x v="2"/>
    <x v="3"/>
    <s v="M"/>
    <n v="3"/>
    <n v="0"/>
    <n v="1.1499999999999999"/>
    <n v="0"/>
    <x v="306"/>
    <x v="1"/>
    <x v="0"/>
    <n v="1890.99"/>
  </r>
  <r>
    <n v="4490"/>
    <x v="1"/>
    <x v="0"/>
    <x v="9"/>
    <s v="L"/>
    <n v="0"/>
    <n v="0"/>
    <n v="0"/>
    <n v="0"/>
    <x v="154"/>
    <x v="0"/>
    <x v="5"/>
    <n v="-1173.8399999999999"/>
  </r>
  <r>
    <n v="4491"/>
    <x v="1"/>
    <x v="3"/>
    <x v="16"/>
    <s v="M"/>
    <n v="0"/>
    <n v="0"/>
    <n v="0"/>
    <n v="0"/>
    <x v="154"/>
    <x v="0"/>
    <x v="5"/>
    <n v="3066.85"/>
  </r>
  <r>
    <n v="4492"/>
    <x v="2"/>
    <x v="2"/>
    <x v="18"/>
    <s v="M"/>
    <n v="0"/>
    <n v="0"/>
    <n v="0"/>
    <n v="0"/>
    <x v="154"/>
    <x v="1"/>
    <x v="2"/>
    <n v="2397.23"/>
  </r>
  <r>
    <n v="4493"/>
    <x v="1"/>
    <x v="2"/>
    <x v="3"/>
    <s v="XL"/>
    <n v="4"/>
    <n v="0"/>
    <n v="0"/>
    <n v="0"/>
    <x v="2"/>
    <x v="0"/>
    <x v="2"/>
    <n v="321.24"/>
  </r>
  <r>
    <n v="4494"/>
    <x v="1"/>
    <x v="0"/>
    <x v="14"/>
    <s v="L"/>
    <n v="0"/>
    <n v="0"/>
    <n v="0"/>
    <n v="0"/>
    <x v="526"/>
    <x v="0"/>
    <x v="5"/>
    <n v="1357.29"/>
  </r>
  <r>
    <n v="4495"/>
    <x v="0"/>
    <x v="4"/>
    <x v="12"/>
    <s v="XL"/>
    <n v="3"/>
    <n v="0"/>
    <n v="0"/>
    <n v="0"/>
    <x v="364"/>
    <x v="0"/>
    <x v="3"/>
    <n v="2.97"/>
  </r>
  <r>
    <n v="4496"/>
    <x v="2"/>
    <x v="4"/>
    <x v="12"/>
    <s v="L"/>
    <n v="-1"/>
    <n v="0"/>
    <n v="0"/>
    <n v="0"/>
    <x v="364"/>
    <x v="0"/>
    <x v="1"/>
    <n v="-487.36"/>
  </r>
  <r>
    <n v="4497"/>
    <x v="2"/>
    <x v="1"/>
    <x v="1"/>
    <s v="M"/>
    <n v="0"/>
    <n v="6647.6"/>
    <n v="0.52"/>
    <n v="0"/>
    <x v="462"/>
    <x v="1"/>
    <x v="0"/>
    <n v="-918.14"/>
  </r>
  <r>
    <n v="4499"/>
    <x v="1"/>
    <x v="3"/>
    <x v="10"/>
    <s v="M"/>
    <n v="0"/>
    <n v="5550.99"/>
    <n v="0"/>
    <n v="0"/>
    <x v="131"/>
    <x v="1"/>
    <x v="2"/>
    <n v="2453.57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AABB3D-92D9-4920-8579-EC1B148AAEDC}" name="PivotTable1" cacheId="4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4:F38"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Revenue" fld="1" baseField="0" baseItem="0"/>
    <dataField name="Sum of Profit" fld="2"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_Table]"/>
        <x15:activeTabTopLevelEntity name="[DimProfitab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95010-3901-41E1-A342-C5158E66B1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0:L31" firstHeaderRow="1" firstDataRow="1" firstDataCol="0"/>
  <pivotFields count="15">
    <pivotField showAll="0"/>
    <pivotField showAll="0"/>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showAll="0"/>
    <pivotField showAll="0"/>
    <pivotField showAll="0"/>
    <pivotField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Items count="1">
    <i/>
  </rowItems>
  <colItems count="1">
    <i/>
  </colItems>
  <dataFields count="1">
    <dataField name="Sum of Profit" fld="12" baseField="0" baseItem="0" numFmtId="164"/>
  </dataFields>
  <formats count="7">
    <format dxfId="83">
      <pivotArea type="all" dataOnly="0" outline="0" fieldPosition="0"/>
    </format>
    <format dxfId="82">
      <pivotArea outline="0" collapsedLevelsAreSubtotals="1" fieldPosition="0"/>
    </format>
    <format dxfId="81">
      <pivotArea dataOnly="0" labelOnly="1" outline="0" axis="axisValues" fieldPosition="0"/>
    </format>
    <format dxfId="80">
      <pivotArea outline="0" fieldPosition="0">
        <references count="1">
          <reference field="4294967294" count="1">
            <x v="0"/>
          </reference>
        </references>
      </pivotArea>
    </format>
    <format dxfId="79">
      <pivotArea type="all" dataOnly="0" outline="0" fieldPosition="0"/>
    </format>
    <format dxfId="78">
      <pivotArea outline="0" collapsedLevelsAreSubtotals="1"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B5AAA-3BFD-4BF1-9A24-641F535E41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3:E29" firstHeaderRow="0" firstDataRow="1" firstDataCol="1"/>
  <pivotFields count="15">
    <pivotField showAll="0"/>
    <pivotField showAll="0"/>
    <pivotField axis="axisRow"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dataField="1"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2"/>
  </rowFields>
  <rowItems count="6">
    <i>
      <x/>
    </i>
    <i>
      <x v="1"/>
    </i>
    <i>
      <x v="2"/>
    </i>
    <i>
      <x v="3"/>
    </i>
    <i>
      <x v="4"/>
    </i>
    <i t="grand">
      <x/>
    </i>
  </rowItems>
  <colFields count="1">
    <field x="-2"/>
  </colFields>
  <colItems count="3">
    <i>
      <x/>
    </i>
    <i i="1">
      <x v="1"/>
    </i>
    <i i="2">
      <x v="2"/>
    </i>
  </colItems>
  <dataFields count="3">
    <dataField name="Sum of Profit" fld="12" baseField="2" baseItem="0" numFmtId="164"/>
    <dataField name="Sum of Revenue" fld="8" baseField="2" baseItem="0" numFmtId="164"/>
    <dataField name="Sum of Units_Sold" fld="5" baseField="2" baseItem="0" numFmtId="164"/>
  </dataField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2" count="1" selected="0">
            <x v="4"/>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3" format="11">
      <pivotArea type="data" outline="0" fieldPosition="0">
        <references count="2">
          <reference field="4294967294" count="1" selected="0">
            <x v="1"/>
          </reference>
          <reference field="2" count="1" selected="0">
            <x v="4"/>
          </reference>
        </references>
      </pivotArea>
    </chartFormat>
    <chartFormat chart="3" format="12">
      <pivotArea type="data" outline="0" fieldPosition="0">
        <references count="2">
          <reference field="4294967294" count="1" selected="0">
            <x v="1"/>
          </reference>
          <reference field="2" count="1" selected="0">
            <x v="2"/>
          </reference>
        </references>
      </pivotArea>
    </chartFormat>
    <chartFormat chart="3" format="13">
      <pivotArea type="data" outline="0" fieldPosition="0">
        <references count="2">
          <reference field="4294967294" count="1" selected="0">
            <x v="2"/>
          </reference>
          <reference field="2" count="1" selected="0">
            <x v="1"/>
          </reference>
        </references>
      </pivotArea>
    </chartFormat>
    <chartFormat chart="3" format="14">
      <pivotArea type="data" outline="0" fieldPosition="0">
        <references count="2">
          <reference field="4294967294"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B51A7-7BD3-4A9A-AF17-A2D3A149D6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7:L38" firstHeaderRow="1" firstDataRow="1" firstDataCol="0"/>
  <pivotFields count="15">
    <pivotField showAll="0"/>
    <pivotField showAll="0"/>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Items count="1">
    <i/>
  </rowItems>
  <colItems count="1">
    <i/>
  </colItems>
  <dataFields count="1">
    <dataField name="Sum of Revenue" fld="8" baseField="0" baseItem="0" numFmtId="164"/>
  </dataFields>
  <formats count="7">
    <format dxfId="90">
      <pivotArea type="all" dataOnly="0" outline="0" fieldPosition="0"/>
    </format>
    <format dxfId="89">
      <pivotArea outline="0" collapsedLevelsAreSubtotals="1" fieldPosition="0"/>
    </format>
    <format dxfId="88">
      <pivotArea dataOnly="0" labelOnly="1" outline="0" axis="axisValues" fieldPosition="0"/>
    </format>
    <format dxfId="87">
      <pivotArea outline="0" fieldPosition="0">
        <references count="1">
          <reference field="4294967294" count="1">
            <x v="0"/>
          </reference>
        </references>
      </pivotArea>
    </format>
    <format dxfId="86">
      <pivotArea type="all" dataOnly="0" outline="0" fieldPosition="0"/>
    </format>
    <format dxfId="85">
      <pivotArea outline="0" collapsedLevelsAreSubtotals="1"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879847-F9EF-4349-A876-4D88B263E7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3:D20" firstHeaderRow="0" firstDataRow="1" firstDataCol="1"/>
  <pivotFields count="15">
    <pivotField showAll="0"/>
    <pivotField showAll="0"/>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dataField="1"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axis="axisRow" showAll="0" sortType="ascending">
      <items count="7">
        <item x="0"/>
        <item x="4"/>
        <item x="1"/>
        <item x="5"/>
        <item x="2"/>
        <item x="3"/>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7">
    <i>
      <x v="5"/>
    </i>
    <i>
      <x v="2"/>
    </i>
    <i>
      <x v="1"/>
    </i>
    <i>
      <x v="3"/>
    </i>
    <i>
      <x v="4"/>
    </i>
    <i>
      <x/>
    </i>
    <i t="grand">
      <x/>
    </i>
  </rowItems>
  <colFields count="1">
    <field x="-2"/>
  </colFields>
  <colItems count="3">
    <i>
      <x/>
    </i>
    <i i="1">
      <x v="1"/>
    </i>
    <i i="2">
      <x v="2"/>
    </i>
  </colItems>
  <dataFields count="3">
    <dataField name="Sum of Profit" fld="12" baseField="11" baseItem="0" numFmtId="164"/>
    <dataField name="Sum of Revenue" fld="8" baseField="11" baseItem="0" numFmtId="164"/>
    <dataField name="Sum of Units_Sold" fld="5" baseField="11" baseItem="0" numFmtId="164"/>
  </dataFields>
  <chartFormats count="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73BEA0-7DFE-4367-824F-DB1BADB73C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I6" firstHeaderRow="0" firstDataRow="1" firstDataCol="1"/>
  <pivotFields count="15">
    <pivotField showAll="0"/>
    <pivotField showAll="0"/>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dataField="1"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axis="axisRow" showAll="0">
      <items count="3">
        <item x="0"/>
        <item x="1"/>
        <item t="default"/>
      </items>
    </pivotField>
    <pivotField showAll="0">
      <items count="7">
        <item x="0"/>
        <item x="4"/>
        <item x="1"/>
        <item x="5"/>
        <item x="2"/>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3">
    <i>
      <x/>
    </i>
    <i>
      <x v="1"/>
    </i>
    <i t="grand">
      <x/>
    </i>
  </rowItems>
  <colFields count="1">
    <field x="-2"/>
  </colFields>
  <colItems count="3">
    <i>
      <x/>
    </i>
    <i i="1">
      <x v="1"/>
    </i>
    <i i="2">
      <x v="2"/>
    </i>
  </colItems>
  <dataFields count="3">
    <dataField name="Sum of Profit" fld="12" baseField="10" baseItem="0" numFmtId="164"/>
    <dataField name="Sum of Revenue" fld="8" baseField="10" baseItem="0" numFmtId="164"/>
    <dataField name="Sum of Units_Sold" fld="5" baseField="10" baseItem="0" numFmtId="164"/>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982186-A306-4622-912E-84B2E05396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1:I50" firstHeaderRow="0" firstDataRow="1" firstDataCol="1"/>
  <pivotFields count="15">
    <pivotField showAll="0"/>
    <pivotField showAll="0"/>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4"/>
    <field x="13"/>
  </rowFields>
  <rowItems count="29">
    <i>
      <x v="1"/>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t="grand">
      <x/>
    </i>
  </rowItems>
  <colFields count="1">
    <field x="-2"/>
  </colFields>
  <colItems count="2">
    <i>
      <x/>
    </i>
    <i i="1">
      <x v="1"/>
    </i>
  </colItems>
  <dataFields count="2">
    <dataField name="Sum of Profit" fld="12" baseField="14" baseItem="1" numFmtId="164"/>
    <dataField name="Sum of Revenue" fld="8" baseField="13" baseItem="9" numFmtId="164"/>
  </dataFields>
  <chartFormats count="3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0"/>
          </reference>
          <reference field="13" count="1" selected="0">
            <x v="10"/>
          </reference>
          <reference field="14" count="1" selected="0">
            <x v="2"/>
          </reference>
        </references>
      </pivotArea>
    </chartFormat>
    <chartFormat chart="2" format="7">
      <pivotArea type="data" outline="0" fieldPosition="0">
        <references count="3">
          <reference field="4294967294" count="1" selected="0">
            <x v="0"/>
          </reference>
          <reference field="13" count="1" selected="0">
            <x v="7"/>
          </reference>
          <reference field="14" count="1" selected="0">
            <x v="1"/>
          </reference>
        </references>
      </pivotArea>
    </chartFormat>
    <chartFormat chart="2" format="8">
      <pivotArea type="data" outline="0" fieldPosition="0">
        <references count="3">
          <reference field="4294967294" count="1" selected="0">
            <x v="1"/>
          </reference>
          <reference field="13" count="1" selected="0">
            <x v="4"/>
          </reference>
          <reference field="14" count="1" selected="0">
            <x v="3"/>
          </reference>
        </references>
      </pivotArea>
    </chartFormat>
    <chartFormat chart="2" format="9">
      <pivotArea type="data" outline="0" fieldPosition="0">
        <references count="3">
          <reference field="4294967294" count="1" selected="0">
            <x v="1"/>
          </reference>
          <reference field="13" count="1" selected="0">
            <x v="7"/>
          </reference>
          <reference field="14" count="1" selected="0">
            <x v="1"/>
          </reference>
        </references>
      </pivotArea>
    </chartFormat>
    <chartFormat chart="2" format="10">
      <pivotArea type="data" outline="0" fieldPosition="0">
        <references count="3">
          <reference field="4294967294" count="1" selected="0">
            <x v="0"/>
          </reference>
          <reference field="13" count="1" selected="0">
            <x v="9"/>
          </reference>
          <reference field="14" count="1" selected="0">
            <x v="1"/>
          </reference>
        </references>
      </pivotArea>
    </chartFormat>
    <chartFormat chart="2" format="11">
      <pivotArea type="data" outline="0" fieldPosition="0">
        <references count="3">
          <reference field="4294967294" count="1" selected="0">
            <x v="0"/>
          </reference>
          <reference field="13" count="1" selected="0">
            <x v="12"/>
          </reference>
          <reference field="14" count="1" selected="0">
            <x v="1"/>
          </reference>
        </references>
      </pivotArea>
    </chartFormat>
    <chartFormat chart="2" format="12">
      <pivotArea type="data" outline="0" fieldPosition="0">
        <references count="3">
          <reference field="4294967294" count="1" selected="0">
            <x v="1"/>
          </reference>
          <reference field="13" count="1" selected="0">
            <x v="12"/>
          </reference>
          <reference field="14" count="1" selected="0">
            <x v="1"/>
          </reference>
        </references>
      </pivotArea>
    </chartFormat>
    <chartFormat chart="2" format="13">
      <pivotArea type="data" outline="0" fieldPosition="0">
        <references count="3">
          <reference field="4294967294" count="1" selected="0">
            <x v="0"/>
          </reference>
          <reference field="13" count="1" selected="0">
            <x v="5"/>
          </reference>
          <reference field="14" count="1" selected="0">
            <x v="2"/>
          </reference>
        </references>
      </pivotArea>
    </chartFormat>
    <chartFormat chart="2" format="14">
      <pivotArea type="data" outline="0" fieldPosition="0">
        <references count="3">
          <reference field="4294967294" count="1" selected="0">
            <x v="0"/>
          </reference>
          <reference field="13" count="1" selected="0">
            <x v="4"/>
          </reference>
          <reference field="14" count="1" selected="0">
            <x v="2"/>
          </reference>
        </references>
      </pivotArea>
    </chartFormat>
    <chartFormat chart="2" format="15">
      <pivotArea type="data" outline="0" fieldPosition="0">
        <references count="3">
          <reference field="4294967294" count="1" selected="0">
            <x v="0"/>
          </reference>
          <reference field="13" count="1" selected="0">
            <x v="2"/>
          </reference>
          <reference field="14" count="1" selected="0">
            <x v="2"/>
          </reference>
        </references>
      </pivotArea>
    </chartFormat>
    <chartFormat chart="2" format="16">
      <pivotArea type="data" outline="0" fieldPosition="0">
        <references count="3">
          <reference field="4294967294" count="1" selected="0">
            <x v="0"/>
          </reference>
          <reference field="13" count="1" selected="0">
            <x v="3"/>
          </reference>
          <reference field="14" count="1" selected="0">
            <x v="2"/>
          </reference>
        </references>
      </pivotArea>
    </chartFormat>
    <chartFormat chart="2" format="17">
      <pivotArea type="data" outline="0" fieldPosition="0">
        <references count="3">
          <reference field="4294967294" count="1" selected="0">
            <x v="0"/>
          </reference>
          <reference field="13" count="1" selected="0">
            <x v="4"/>
          </reference>
          <reference field="14" count="1" selected="0">
            <x v="3"/>
          </reference>
        </references>
      </pivotArea>
    </chartFormat>
    <chartFormat chart="2" format="18">
      <pivotArea type="data" outline="0" fieldPosition="0">
        <references count="3">
          <reference field="4294967294" count="1" selected="0">
            <x v="1"/>
          </reference>
          <reference field="13" count="1" selected="0">
            <x v="5"/>
          </reference>
          <reference field="14" count="1" selected="0">
            <x v="3"/>
          </reference>
        </references>
      </pivotArea>
    </chartFormat>
    <chartFormat chart="2" format="19">
      <pivotArea type="data" outline="0" fieldPosition="0">
        <references count="3">
          <reference field="4294967294" count="1" selected="0">
            <x v="0"/>
          </reference>
          <reference field="13" count="1" selected="0">
            <x v="1"/>
          </reference>
          <reference field="14" count="1" selected="0">
            <x v="2"/>
          </reference>
        </references>
      </pivotArea>
    </chartFormat>
    <chartFormat chart="2" format="20">
      <pivotArea type="data" outline="0" fieldPosition="0">
        <references count="3">
          <reference field="4294967294" count="1" selected="0">
            <x v="0"/>
          </reference>
          <reference field="13" count="1" selected="0">
            <x v="7"/>
          </reference>
          <reference field="14" count="1" selected="0">
            <x v="3"/>
          </reference>
        </references>
      </pivotArea>
    </chartFormat>
    <chartFormat chart="2" format="21">
      <pivotArea type="data" outline="0" fieldPosition="0">
        <references count="3">
          <reference field="4294967294" count="1" selected="0">
            <x v="1"/>
          </reference>
          <reference field="13" count="1" selected="0">
            <x v="4"/>
          </reference>
          <reference field="14" count="1" selected="0">
            <x v="2"/>
          </reference>
        </references>
      </pivotArea>
    </chartFormat>
    <chartFormat chart="2" format="22">
      <pivotArea type="data" outline="0" fieldPosition="0">
        <references count="3">
          <reference field="4294967294" count="1" selected="0">
            <x v="1"/>
          </reference>
          <reference field="13" count="1" selected="0">
            <x v="3"/>
          </reference>
          <reference field="14" count="1" selected="0">
            <x v="2"/>
          </reference>
        </references>
      </pivotArea>
    </chartFormat>
    <chartFormat chart="2" format="23">
      <pivotArea type="data" outline="0" fieldPosition="0">
        <references count="3">
          <reference field="4294967294" count="1" selected="0">
            <x v="1"/>
          </reference>
          <reference field="13" count="1" selected="0">
            <x v="2"/>
          </reference>
          <reference field="14" count="1" selected="0">
            <x v="2"/>
          </reference>
        </references>
      </pivotArea>
    </chartFormat>
    <chartFormat chart="2" format="24">
      <pivotArea type="data" outline="0" fieldPosition="0">
        <references count="3">
          <reference field="4294967294" count="1" selected="0">
            <x v="1"/>
          </reference>
          <reference field="13" count="1" selected="0">
            <x v="12"/>
          </reference>
          <reference field="14" count="1" selected="0">
            <x v="2"/>
          </reference>
        </references>
      </pivotArea>
    </chartFormat>
    <chartFormat chart="2" format="25">
      <pivotArea type="data" outline="0" fieldPosition="0">
        <references count="3">
          <reference field="4294967294" count="1" selected="0">
            <x v="1"/>
          </reference>
          <reference field="13" count="1" selected="0">
            <x v="6"/>
          </reference>
          <reference field="14" count="1" selected="0">
            <x v="2"/>
          </reference>
        </references>
      </pivotArea>
    </chartFormat>
    <chartFormat chart="2" format="26">
      <pivotArea type="data" outline="0" fieldPosition="0">
        <references count="3">
          <reference field="4294967294" count="1" selected="0">
            <x v="1"/>
          </reference>
          <reference field="13" count="1" selected="0">
            <x v="5"/>
          </reference>
          <reference field="14" count="1" selected="0">
            <x v="2"/>
          </reference>
        </references>
      </pivotArea>
    </chartFormat>
    <chartFormat chart="2" format="27">
      <pivotArea type="data" outline="0" fieldPosition="0">
        <references count="3">
          <reference field="4294967294" count="1" selected="0">
            <x v="1"/>
          </reference>
          <reference field="13" count="1" selected="0">
            <x v="6"/>
          </reference>
          <reference field="14" count="1" selected="0">
            <x v="3"/>
          </reference>
        </references>
      </pivotArea>
    </chartFormat>
    <chartFormat chart="2" format="28">
      <pivotArea type="data" outline="0" fieldPosition="0">
        <references count="3">
          <reference field="4294967294" count="1" selected="0">
            <x v="0"/>
          </reference>
          <reference field="13" count="1" selected="0">
            <x v="1"/>
          </reference>
          <reference field="14" count="1" selected="0">
            <x v="3"/>
          </reference>
        </references>
      </pivotArea>
    </chartFormat>
    <chartFormat chart="2" format="29">
      <pivotArea type="data" outline="0" fieldPosition="0">
        <references count="3">
          <reference field="4294967294" count="1" selected="0">
            <x v="0"/>
          </reference>
          <reference field="13" count="1" selected="0">
            <x v="12"/>
          </reference>
          <reference field="14" count="1" selected="0">
            <x v="2"/>
          </reference>
        </references>
      </pivotArea>
    </chartFormat>
    <chartFormat chart="2" format="30">
      <pivotArea type="data" outline="0" fieldPosition="0">
        <references count="3">
          <reference field="4294967294" count="1" selected="0">
            <x v="0"/>
          </reference>
          <reference field="13" count="1" selected="0">
            <x v="6"/>
          </reference>
          <reference field="14" count="1" selected="0">
            <x v="2"/>
          </reference>
        </references>
      </pivotArea>
    </chartFormat>
    <chartFormat chart="2" format="31">
      <pivotArea type="data" outline="0" fieldPosition="0">
        <references count="3">
          <reference field="4294967294" count="1" selected="0">
            <x v="0"/>
          </reference>
          <reference field="13" count="1" selected="0">
            <x v="5"/>
          </reference>
          <reference field="14" count="1" selected="0">
            <x v="3"/>
          </reference>
        </references>
      </pivotArea>
    </chartFormat>
    <chartFormat chart="2" format="32">
      <pivotArea type="data" outline="0" fieldPosition="0">
        <references count="3">
          <reference field="4294967294" count="1" selected="0">
            <x v="0"/>
          </reference>
          <reference field="13" count="1" selected="0">
            <x v="11"/>
          </reference>
          <reference field="14" count="1" selected="0">
            <x v="2"/>
          </reference>
        </references>
      </pivotArea>
    </chartFormat>
    <chartFormat chart="2" format="33">
      <pivotArea type="data" outline="0" fieldPosition="0">
        <references count="3">
          <reference field="4294967294" count="1" selected="0">
            <x v="0"/>
          </reference>
          <reference field="13" count="1" selected="0">
            <x v="9"/>
          </reference>
          <reference field="14" count="1" selected="0">
            <x v="2"/>
          </reference>
        </references>
      </pivotArea>
    </chartFormat>
    <chartFormat chart="2" format="34">
      <pivotArea type="data" outline="0" fieldPosition="0">
        <references count="3">
          <reference field="4294967294" count="1" selected="0">
            <x v="0"/>
          </reference>
          <reference field="13" count="1" selected="0">
            <x v="8"/>
          </reference>
          <reference field="14" count="1" selected="0">
            <x v="2"/>
          </reference>
        </references>
      </pivotArea>
    </chartFormat>
    <chartFormat chart="2" format="35">
      <pivotArea type="data" outline="0" fieldPosition="0">
        <references count="3">
          <reference field="4294967294" count="1" selected="0">
            <x v="0"/>
          </reference>
          <reference field="13" count="1" selected="0">
            <x v="7"/>
          </reference>
          <reference field="14" count="1" selected="0">
            <x v="2"/>
          </reference>
        </references>
      </pivotArea>
    </chartFormat>
    <chartFormat chart="2" format="36">
      <pivotArea type="data" outline="0" fieldPosition="0">
        <references count="3">
          <reference field="4294967294" count="1" selected="0">
            <x v="0"/>
          </reference>
          <reference field="13" count="1" selected="0">
            <x v="11"/>
          </reference>
          <reference field="14" count="1" selected="0">
            <x v="1"/>
          </reference>
        </references>
      </pivotArea>
    </chartFormat>
    <chartFormat chart="2" format="37">
      <pivotArea type="data" outline="0" fieldPosition="0">
        <references count="3">
          <reference field="4294967294" count="1" selected="0">
            <x v="0"/>
          </reference>
          <reference field="13" count="1" selected="0">
            <x v="8"/>
          </reference>
          <reference field="14" count="1" selected="0">
            <x v="1"/>
          </reference>
        </references>
      </pivotArea>
    </chartFormat>
    <chartFormat chart="2" format="38">
      <pivotArea type="data" outline="0" fieldPosition="0">
        <references count="3">
          <reference field="4294967294" count="1" selected="0">
            <x v="0"/>
          </reference>
          <reference field="13" count="1" selected="0">
            <x v="10"/>
          </reference>
          <reference field="14" count="1" selected="0">
            <x v="1"/>
          </reference>
        </references>
      </pivotArea>
    </chartFormat>
    <chartFormat chart="2" format="39">
      <pivotArea type="data" outline="0" fieldPosition="0">
        <references count="3">
          <reference field="4294967294" count="1" selected="0">
            <x v="1"/>
          </reference>
          <reference field="13" count="1" selected="0">
            <x v="9"/>
          </reference>
          <reference field="14" count="1" selected="0">
            <x v="1"/>
          </reference>
        </references>
      </pivotArea>
    </chartFormat>
    <chartFormat chart="2" format="40">
      <pivotArea type="data" outline="0" fieldPosition="0">
        <references count="3">
          <reference field="4294967294" count="1" selected="0">
            <x v="1"/>
          </reference>
          <reference field="13" count="1" selected="0">
            <x v="8"/>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5D1424-3FEC-4182-BC1F-2E37C70DAA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3:I17" firstHeaderRow="0" firstDataRow="1" firstDataCol="1"/>
  <pivotFields count="15">
    <pivotField showAll="0"/>
    <pivotField axis="axisRow" showAll="0">
      <items count="4">
        <item x="0"/>
        <item x="2"/>
        <item x="1"/>
        <item t="default"/>
      </items>
    </pivotField>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dataField="1"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4">
    <i>
      <x/>
    </i>
    <i>
      <x v="1"/>
    </i>
    <i>
      <x v="2"/>
    </i>
    <i t="grand">
      <x/>
    </i>
  </rowItems>
  <colFields count="1">
    <field x="-2"/>
  </colFields>
  <colItems count="3">
    <i>
      <x/>
    </i>
    <i i="1">
      <x v="1"/>
    </i>
    <i i="2">
      <x v="2"/>
    </i>
  </colItems>
  <dataFields count="3">
    <dataField name="Sum of Profit" fld="12" baseField="1" baseItem="0" numFmtId="164"/>
    <dataField name="Sum of Revenue" fld="8" baseField="1" baseItem="0" numFmtId="164"/>
    <dataField name="Sum of Units_Sold" fld="5" baseField="1" baseItem="0" numFmtId="164"/>
  </dataFields>
  <chartFormats count="12">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 count="1" selected="0">
            <x v="0"/>
          </reference>
        </references>
      </pivotArea>
    </chartFormat>
    <chartFormat chart="2" format="17">
      <pivotArea type="data" outline="0" fieldPosition="0">
        <references count="2">
          <reference field="4294967294" count="1" selected="0">
            <x v="0"/>
          </reference>
          <reference field="1" count="1" selected="0">
            <x v="1"/>
          </reference>
        </references>
      </pivotArea>
    </chartFormat>
    <chartFormat chart="2" format="18">
      <pivotArea type="data" outline="0" fieldPosition="0">
        <references count="2">
          <reference field="4294967294" count="1" selected="0">
            <x v="0"/>
          </reference>
          <reference field="1"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1" count="1" selected="0">
            <x v="0"/>
          </reference>
        </references>
      </pivotArea>
    </chartFormat>
    <chartFormat chart="2" format="21">
      <pivotArea type="data" outline="0" fieldPosition="0">
        <references count="2">
          <reference field="4294967294" count="1" selected="0">
            <x v="1"/>
          </reference>
          <reference field="1" count="1" selected="0">
            <x v="1"/>
          </reference>
        </references>
      </pivotArea>
    </chartFormat>
    <chartFormat chart="2" format="22">
      <pivotArea type="data" outline="0" fieldPosition="0">
        <references count="2">
          <reference field="4294967294" count="1" selected="0">
            <x v="1"/>
          </reference>
          <reference field="1"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1" count="1" selected="0">
            <x v="0"/>
          </reference>
        </references>
      </pivotArea>
    </chartFormat>
    <chartFormat chart="2" format="25">
      <pivotArea type="data" outline="0" fieldPosition="0">
        <references count="2">
          <reference field="4294967294" count="1" selected="0">
            <x v="2"/>
          </reference>
          <reference field="1" count="1" selected="0">
            <x v="1"/>
          </reference>
        </references>
      </pivotArea>
    </chartFormat>
    <chartFormat chart="2" format="26">
      <pivotArea type="data" outline="0" fieldPosition="0">
        <references count="2">
          <reference field="4294967294"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BBCC0B-D8E4-4709-9C15-56AD8492AA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4:K35" firstHeaderRow="1" firstDataRow="1" firstDataCol="0"/>
  <pivotFields count="15">
    <pivotField showAll="0"/>
    <pivotField showAll="0"/>
    <pivotField showAll="0">
      <items count="6">
        <item x="4"/>
        <item x="2"/>
        <item x="3"/>
        <item x="1"/>
        <item x="0"/>
        <item t="default"/>
      </items>
    </pivotField>
    <pivotField showAll="0">
      <items count="21">
        <item x="18"/>
        <item x="8"/>
        <item x="10"/>
        <item x="3"/>
        <item x="17"/>
        <item x="5"/>
        <item x="11"/>
        <item x="12"/>
        <item x="19"/>
        <item x="6"/>
        <item x="9"/>
        <item x="16"/>
        <item x="15"/>
        <item x="2"/>
        <item x="4"/>
        <item x="0"/>
        <item x="1"/>
        <item x="7"/>
        <item x="13"/>
        <item x="14"/>
        <item t="default"/>
      </items>
    </pivotField>
    <pivotField showAll="0"/>
    <pivotField dataField="1" showAll="0"/>
    <pivotField showAll="0"/>
    <pivotField showAll="0"/>
    <pivotField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Items count="1">
    <i/>
  </rowItems>
  <colItems count="1">
    <i/>
  </colItems>
  <dataFields count="1">
    <dataField name="Sum of Units_Sold" fld="5" baseField="0" baseItem="0" numFmtId="164"/>
  </dataFields>
  <formats count="7">
    <format dxfId="97">
      <pivotArea type="all" dataOnly="0" outline="0" fieldPosition="0"/>
    </format>
    <format dxfId="96">
      <pivotArea outline="0" collapsedLevelsAreSubtotals="1" fieldPosition="0"/>
    </format>
    <format dxfId="95">
      <pivotArea dataOnly="0" labelOnly="1" outline="0" axis="axisValues" fieldPosition="0"/>
    </format>
    <format dxfId="94">
      <pivotArea outline="0" fieldPosition="0">
        <references count="1">
          <reference field="4294967294" count="1">
            <x v="0"/>
          </reference>
        </references>
      </pivotArea>
    </format>
    <format dxfId="93">
      <pivotArea type="all" dataOnly="0" outline="0" fieldPosition="0"/>
    </format>
    <format dxfId="92">
      <pivotArea outline="0" collapsedLevelsAreSubtotals="1" fieldPosition="0"/>
    </format>
    <format dxfId="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13E8AC-F6D6-407E-B901-40E3AE22C0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5:N16" firstHeaderRow="0" firstDataRow="1" firstDataCol="1"/>
  <pivotFields count="15">
    <pivotField showAll="0"/>
    <pivotField showAll="0"/>
    <pivotField showAll="0">
      <items count="6">
        <item x="4"/>
        <item x="2"/>
        <item x="3"/>
        <item x="1"/>
        <item x="0"/>
        <item t="default"/>
      </items>
    </pivotField>
    <pivotField axis="axisRow" showAll="0" measureFilter="1" sortType="ascending">
      <items count="21">
        <item x="18"/>
        <item x="8"/>
        <item x="10"/>
        <item x="3"/>
        <item x="17"/>
        <item x="5"/>
        <item x="11"/>
        <item x="12"/>
        <item x="19"/>
        <item x="6"/>
        <item x="9"/>
        <item x="16"/>
        <item x="15"/>
        <item x="2"/>
        <item x="4"/>
        <item x="0"/>
        <item x="1"/>
        <item x="7"/>
        <item x="13"/>
        <item x="1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 numFmtId="14" showAll="0">
      <items count="528">
        <item x="480"/>
        <item x="506"/>
        <item x="430"/>
        <item x="374"/>
        <item x="449"/>
        <item x="361"/>
        <item x="185"/>
        <item x="255"/>
        <item x="486"/>
        <item x="264"/>
        <item x="187"/>
        <item x="404"/>
        <item x="511"/>
        <item x="193"/>
        <item x="72"/>
        <item x="348"/>
        <item x="427"/>
        <item x="315"/>
        <item x="141"/>
        <item x="501"/>
        <item x="307"/>
        <item x="519"/>
        <item x="455"/>
        <item x="249"/>
        <item x="231"/>
        <item x="390"/>
        <item x="200"/>
        <item x="66"/>
        <item x="488"/>
        <item x="504"/>
        <item x="342"/>
        <item x="518"/>
        <item x="215"/>
        <item x="367"/>
        <item x="330"/>
        <item x="101"/>
        <item x="438"/>
        <item x="497"/>
        <item x="400"/>
        <item x="169"/>
        <item x="175"/>
        <item x="344"/>
        <item x="16"/>
        <item x="91"/>
        <item x="314"/>
        <item x="220"/>
        <item x="311"/>
        <item x="443"/>
        <item x="298"/>
        <item x="396"/>
        <item x="134"/>
        <item x="474"/>
        <item x="388"/>
        <item x="69"/>
        <item x="45"/>
        <item x="512"/>
        <item x="496"/>
        <item x="523"/>
        <item x="257"/>
        <item x="229"/>
        <item x="505"/>
        <item x="515"/>
        <item x="483"/>
        <item x="522"/>
        <item x="64"/>
        <item x="406"/>
        <item x="482"/>
        <item x="48"/>
        <item x="196"/>
        <item x="201"/>
        <item x="271"/>
        <item x="470"/>
        <item x="308"/>
        <item x="28"/>
        <item x="113"/>
        <item x="460"/>
        <item x="334"/>
        <item x="378"/>
        <item x="508"/>
        <item x="309"/>
        <item x="124"/>
        <item x="434"/>
        <item x="313"/>
        <item x="266"/>
        <item x="54"/>
        <item x="199"/>
        <item x="95"/>
        <item x="139"/>
        <item x="243"/>
        <item x="466"/>
        <item x="413"/>
        <item x="509"/>
        <item x="316"/>
        <item x="39"/>
        <item x="236"/>
        <item x="359"/>
        <item x="403"/>
        <item x="467"/>
        <item x="465"/>
        <item x="261"/>
        <item x="393"/>
        <item x="338"/>
        <item x="273"/>
        <item x="375"/>
        <item x="335"/>
        <item x="376"/>
        <item x="432"/>
        <item x="345"/>
        <item x="0"/>
        <item x="272"/>
        <item x="233"/>
        <item x="349"/>
        <item x="369"/>
        <item x="240"/>
        <item x="493"/>
        <item x="444"/>
        <item x="422"/>
        <item x="253"/>
        <item x="409"/>
        <item x="489"/>
        <item x="484"/>
        <item x="208"/>
        <item x="492"/>
        <item x="189"/>
        <item x="203"/>
        <item x="387"/>
        <item x="217"/>
        <item x="419"/>
        <item x="481"/>
        <item x="421"/>
        <item x="24"/>
        <item x="137"/>
        <item x="214"/>
        <item x="520"/>
        <item x="446"/>
        <item x="105"/>
        <item x="350"/>
        <item x="96"/>
        <item x="267"/>
        <item x="500"/>
        <item x="521"/>
        <item x="495"/>
        <item x="507"/>
        <item x="408"/>
        <item x="125"/>
        <item x="310"/>
        <item x="514"/>
        <item x="33"/>
        <item x="289"/>
        <item x="168"/>
        <item x="230"/>
        <item x="477"/>
        <item x="445"/>
        <item x="163"/>
        <item x="479"/>
        <item x="26"/>
        <item x="485"/>
        <item x="516"/>
        <item x="218"/>
        <item x="235"/>
        <item x="284"/>
        <item x="510"/>
        <item x="1"/>
        <item x="35"/>
        <item x="288"/>
        <item x="135"/>
        <item x="525"/>
        <item x="324"/>
        <item x="278"/>
        <item x="202"/>
        <item x="461"/>
        <item x="450"/>
        <item x="291"/>
        <item x="179"/>
        <item x="320"/>
        <item x="373"/>
        <item x="176"/>
        <item x="79"/>
        <item x="209"/>
        <item x="239"/>
        <item x="276"/>
        <item x="142"/>
        <item x="120"/>
        <item x="265"/>
        <item x="74"/>
        <item x="170"/>
        <item x="358"/>
        <item x="108"/>
        <item x="15"/>
        <item x="379"/>
        <item x="370"/>
        <item x="441"/>
        <item x="301"/>
        <item x="362"/>
        <item x="407"/>
        <item x="149"/>
        <item x="439"/>
        <item x="171"/>
        <item x="224"/>
        <item x="145"/>
        <item x="305"/>
        <item x="389"/>
        <item x="198"/>
        <item x="331"/>
        <item x="377"/>
        <item x="451"/>
        <item x="285"/>
        <item x="380"/>
        <item x="60"/>
        <item x="84"/>
        <item x="339"/>
        <item x="191"/>
        <item x="259"/>
        <item x="448"/>
        <item x="323"/>
        <item x="37"/>
        <item x="347"/>
        <item x="429"/>
        <item x="112"/>
        <item x="36"/>
        <item x="402"/>
        <item x="3"/>
        <item x="159"/>
        <item x="34"/>
        <item x="70"/>
        <item x="336"/>
        <item x="260"/>
        <item x="256"/>
        <item x="397"/>
        <item x="469"/>
        <item x="173"/>
        <item x="186"/>
        <item x="109"/>
        <item x="12"/>
        <item x="156"/>
        <item x="423"/>
        <item x="262"/>
        <item x="100"/>
        <item x="405"/>
        <item x="223"/>
        <item x="126"/>
        <item x="30"/>
        <item x="178"/>
        <item x="2"/>
        <item x="333"/>
        <item x="103"/>
        <item x="318"/>
        <item x="29"/>
        <item x="197"/>
        <item x="73"/>
        <item x="5"/>
        <item x="190"/>
        <item x="44"/>
        <item x="296"/>
        <item x="368"/>
        <item x="52"/>
        <item x="414"/>
        <item x="417"/>
        <item x="129"/>
        <item x="138"/>
        <item x="167"/>
        <item x="88"/>
        <item x="360"/>
        <item x="366"/>
        <item x="32"/>
        <item x="27"/>
        <item x="503"/>
        <item x="327"/>
        <item x="65"/>
        <item x="356"/>
        <item x="424"/>
        <item x="321"/>
        <item x="43"/>
        <item x="188"/>
        <item x="146"/>
        <item x="420"/>
        <item x="123"/>
        <item x="454"/>
        <item x="99"/>
        <item x="51"/>
        <item x="89"/>
        <item x="158"/>
        <item x="440"/>
        <item x="300"/>
        <item x="61"/>
        <item x="328"/>
        <item x="117"/>
        <item x="463"/>
        <item x="11"/>
        <item x="341"/>
        <item x="237"/>
        <item x="292"/>
        <item x="131"/>
        <item x="210"/>
        <item x="517"/>
        <item x="227"/>
        <item x="277"/>
        <item x="152"/>
        <item x="294"/>
        <item x="384"/>
        <item x="447"/>
        <item x="50"/>
        <item x="411"/>
        <item x="354"/>
        <item x="437"/>
        <item x="258"/>
        <item x="182"/>
        <item x="442"/>
        <item x="157"/>
        <item x="40"/>
        <item x="281"/>
        <item x="130"/>
        <item x="487"/>
        <item x="68"/>
        <item x="425"/>
        <item x="110"/>
        <item x="92"/>
        <item x="416"/>
        <item x="133"/>
        <item x="114"/>
        <item x="452"/>
        <item x="53"/>
        <item x="63"/>
        <item x="410"/>
        <item x="14"/>
        <item x="150"/>
        <item x="204"/>
        <item x="148"/>
        <item x="490"/>
        <item x="435"/>
        <item x="303"/>
        <item x="116"/>
        <item x="104"/>
        <item x="97"/>
        <item x="222"/>
        <item x="59"/>
        <item x="246"/>
        <item x="13"/>
        <item x="392"/>
        <item x="42"/>
        <item x="251"/>
        <item x="351"/>
        <item x="299"/>
        <item x="6"/>
        <item x="9"/>
        <item x="428"/>
        <item x="46"/>
        <item x="232"/>
        <item x="431"/>
        <item x="121"/>
        <item x="162"/>
        <item x="317"/>
        <item x="244"/>
        <item x="212"/>
        <item x="322"/>
        <item x="85"/>
        <item x="62"/>
        <item x="473"/>
        <item x="55"/>
        <item x="391"/>
        <item x="337"/>
        <item x="155"/>
        <item x="269"/>
        <item x="329"/>
        <item x="415"/>
        <item x="398"/>
        <item x="128"/>
        <item x="252"/>
        <item x="207"/>
        <item x="526"/>
        <item x="143"/>
        <item x="456"/>
        <item x="80"/>
        <item x="382"/>
        <item x="180"/>
        <item x="238"/>
        <item x="122"/>
        <item x="332"/>
        <item x="293"/>
        <item x="154"/>
        <item x="181"/>
        <item x="216"/>
        <item x="118"/>
        <item x="151"/>
        <item x="394"/>
        <item x="86"/>
        <item x="38"/>
        <item x="211"/>
        <item x="464"/>
        <item x="22"/>
        <item x="87"/>
        <item x="21"/>
        <item x="297"/>
        <item x="302"/>
        <item x="78"/>
        <item x="401"/>
        <item x="365"/>
        <item x="312"/>
        <item x="457"/>
        <item x="213"/>
        <item x="399"/>
        <item x="8"/>
        <item x="263"/>
        <item x="453"/>
        <item x="472"/>
        <item x="165"/>
        <item x="219"/>
        <item x="282"/>
        <item x="177"/>
        <item x="346"/>
        <item x="115"/>
        <item x="385"/>
        <item x="10"/>
        <item x="93"/>
        <item x="433"/>
        <item x="47"/>
        <item x="83"/>
        <item x="306"/>
        <item x="491"/>
        <item x="160"/>
        <item x="67"/>
        <item x="25"/>
        <item x="164"/>
        <item x="268"/>
        <item x="242"/>
        <item x="58"/>
        <item x="18"/>
        <item x="7"/>
        <item x="254"/>
        <item x="383"/>
        <item x="111"/>
        <item x="353"/>
        <item x="225"/>
        <item x="418"/>
        <item x="23"/>
        <item x="274"/>
        <item x="270"/>
        <item x="20"/>
        <item x="248"/>
        <item x="107"/>
        <item x="326"/>
        <item x="49"/>
        <item x="476"/>
        <item x="77"/>
        <item x="174"/>
        <item x="19"/>
        <item x="475"/>
        <item x="352"/>
        <item x="250"/>
        <item x="513"/>
        <item x="524"/>
        <item x="41"/>
        <item x="478"/>
        <item x="184"/>
        <item x="471"/>
        <item x="226"/>
        <item x="290"/>
        <item x="279"/>
        <item x="147"/>
        <item x="364"/>
        <item x="395"/>
        <item x="386"/>
        <item x="106"/>
        <item x="127"/>
        <item x="247"/>
        <item x="459"/>
        <item x="221"/>
        <item x="287"/>
        <item x="340"/>
        <item x="192"/>
        <item x="205"/>
        <item x="234"/>
        <item x="82"/>
        <item x="228"/>
        <item x="458"/>
        <item x="245"/>
        <item x="381"/>
        <item x="502"/>
        <item x="412"/>
        <item x="4"/>
        <item x="166"/>
        <item x="136"/>
        <item x="357"/>
        <item x="98"/>
        <item x="195"/>
        <item x="241"/>
        <item x="436"/>
        <item x="286"/>
        <item x="140"/>
        <item x="75"/>
        <item x="283"/>
        <item x="363"/>
        <item x="280"/>
        <item x="153"/>
        <item x="76"/>
        <item x="172"/>
        <item x="426"/>
        <item x="372"/>
        <item x="31"/>
        <item x="295"/>
        <item x="275"/>
        <item x="119"/>
        <item x="94"/>
        <item x="90"/>
        <item x="161"/>
        <item x="102"/>
        <item x="183"/>
        <item x="462"/>
        <item x="57"/>
        <item x="71"/>
        <item x="355"/>
        <item x="81"/>
        <item x="468"/>
        <item x="194"/>
        <item x="206"/>
        <item x="319"/>
        <item x="56"/>
        <item x="144"/>
        <item x="17"/>
        <item x="343"/>
        <item x="494"/>
        <item x="371"/>
        <item x="499"/>
        <item x="132"/>
        <item x="498"/>
        <item x="304"/>
        <item x="325"/>
        <item t="default"/>
      </items>
    </pivotField>
    <pivotField showAll="0">
      <items count="3">
        <item x="0"/>
        <item x="1"/>
        <item t="default"/>
      </items>
    </pivotField>
    <pivotField showAll="0">
      <items count="7">
        <item x="0"/>
        <item x="4"/>
        <item x="1"/>
        <item x="5"/>
        <item x="2"/>
        <item x="3"/>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11">
    <i>
      <x v="2"/>
    </i>
    <i>
      <x v="16"/>
    </i>
    <i>
      <x v="10"/>
    </i>
    <i>
      <x/>
    </i>
    <i>
      <x v="13"/>
    </i>
    <i>
      <x v="19"/>
    </i>
    <i>
      <x v="15"/>
    </i>
    <i>
      <x v="3"/>
    </i>
    <i>
      <x v="5"/>
    </i>
    <i>
      <x v="8"/>
    </i>
    <i t="grand">
      <x/>
    </i>
  </rowItems>
  <colFields count="1">
    <field x="-2"/>
  </colFields>
  <colItems count="3">
    <i>
      <x/>
    </i>
    <i i="1">
      <x v="1"/>
    </i>
    <i i="2">
      <x v="2"/>
    </i>
  </colItems>
  <dataFields count="3">
    <dataField name="Sum of Profit" fld="12" baseField="3" baseItem="3" numFmtId="164"/>
    <dataField name="Sum of Revenue" fld="8" baseField="3" baseItem="3" numFmtId="164"/>
    <dataField name="Sum of Units_Sold" fld="5" baseField="0" baseItem="0"/>
  </dataFields>
  <formats count="4">
    <format dxfId="101">
      <pivotArea collapsedLevelsAreSubtotals="1" fieldPosition="0">
        <references count="2">
          <reference field="4294967294" count="1" selected="0">
            <x v="0"/>
          </reference>
          <reference field="3" count="1">
            <x v="3"/>
          </reference>
        </references>
      </pivotArea>
    </format>
    <format dxfId="100">
      <pivotArea collapsedLevelsAreSubtotals="1" fieldPosition="0">
        <references count="2">
          <reference field="4294967294" count="1" selected="0">
            <x v="0"/>
          </reference>
          <reference field="3" count="1">
            <x v="19"/>
          </reference>
        </references>
      </pivotArea>
    </format>
    <format dxfId="99">
      <pivotArea collapsedLevelsAreSubtotals="1" fieldPosition="0">
        <references count="2">
          <reference field="4294967294" count="1" selected="0">
            <x v="0"/>
          </reference>
          <reference field="3" count="1">
            <x v="3"/>
          </reference>
        </references>
      </pivotArea>
    </format>
    <format dxfId="98">
      <pivotArea collapsedLevelsAreSubtotals="1" fieldPosition="0">
        <references count="2">
          <reference field="4294967294" count="1" selected="0">
            <x v="0"/>
          </reference>
          <reference field="3" count="1">
            <x v="19"/>
          </reference>
        </references>
      </pivotArea>
    </format>
  </formats>
  <chartFormats count="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3" count="1" selected="0">
            <x v="8"/>
          </reference>
        </references>
      </pivotArea>
    </chartFormat>
    <chartFormat chart="3" format="10">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filters count="1">
    <filter fld="3"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4BB714-74E2-4C35-94BF-8F7FB5A1D3D3}" name="PivotTable8" cacheId="8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W43:AY56"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12">
    <i>
      <x/>
    </i>
    <i>
      <x v="1"/>
    </i>
    <i>
      <x v="2"/>
    </i>
    <i>
      <x v="3"/>
    </i>
    <i>
      <x v="4"/>
    </i>
    <i>
      <x v="5"/>
    </i>
    <i>
      <x v="6"/>
    </i>
    <i>
      <x v="7"/>
    </i>
    <i>
      <x v="8"/>
    </i>
    <i>
      <x v="9"/>
    </i>
    <i>
      <x v="10"/>
    </i>
    <i>
      <x v="11"/>
    </i>
  </rowItems>
  <colFields count="1">
    <field x="1"/>
  </colFields>
  <colItems count="2">
    <i>
      <x/>
    </i>
    <i>
      <x v="1"/>
    </i>
  </colItems>
  <dataFields count="1">
    <dataField name="Sum of Revenue" fld="2" baseField="0" baseItem="0"/>
  </dataFields>
  <formats count="10">
    <format dxfId="0">
      <pivotArea type="all" dataOnly="0" outline="0" fieldPosition="0"/>
    </format>
    <format dxfId="1">
      <pivotArea outline="0" collapsedLevelsAreSubtotals="1" fieldPosition="0"/>
    </format>
    <format dxfId="2">
      <pivotArea type="origin" dataOnly="0" labelOnly="1" outline="0" fieldPosition="0"/>
    </format>
    <format dxfId="3">
      <pivotArea field="1" type="button" dataOnly="0" labelOnly="1" outline="0" axis="axisCol" fieldPosition="0"/>
    </format>
    <format dxfId="4">
      <pivotArea type="topRight" dataOnly="0" labelOnly="1" outline="0" fieldPosition="0"/>
    </format>
    <format dxfId="5">
      <pivotArea field="0" type="button" dataOnly="0" labelOnly="1" outline="0" axis="axisRow" fieldPosition="0"/>
    </format>
    <format dxfId="6">
      <pivotArea dataOnly="0" labelOnly="1" fieldPosition="0">
        <references count="1">
          <reference field="0" count="0"/>
        </references>
      </pivotArea>
    </format>
    <format dxfId="7">
      <pivotArea dataOnly="0" labelOnly="1" grandRow="1" outline="0" fieldPosition="0"/>
    </format>
    <format dxfId="8">
      <pivotArea dataOnly="0" labelOnly="1" fieldPosition="0">
        <references count="1">
          <reference field="1" count="0"/>
        </references>
      </pivotArea>
    </format>
    <format dxfId="9">
      <pivotArea dataOnly="0" labelOnly="1" grandCol="1" outline="0"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7 2"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3318B49E-EE68-48F3-95F9-70393065C380}" autoFormatId="16" applyNumberFormats="0" applyBorderFormats="0" applyFontFormats="0" applyPatternFormats="0" applyAlignmentFormats="0" applyWidthHeightFormats="0">
  <queryTableRefresh nextId="14">
    <queryTableFields count="13">
      <queryTableField id="1" name="Order_ID" tableColumnId="1"/>
      <queryTableField id="2" name="Gender_Category" tableColumnId="2"/>
      <queryTableField id="3" name="Product_Line" tableColumnId="3"/>
      <queryTableField id="4" name="Product_Name" tableColumnId="4"/>
      <queryTableField id="5" name="Size" tableColumnId="5"/>
      <queryTableField id="6" name="Units_Sold" tableColumnId="6"/>
      <queryTableField id="7" name="MRP" tableColumnId="7"/>
      <queryTableField id="8" name="Discount_Applied" tableColumnId="8"/>
      <queryTableField id="9" name="Revenue" tableColumnId="9"/>
      <queryTableField id="10" name="Order_Date" tableColumnId="10"/>
      <queryTableField id="11" name="Sales_Channel" tableColumnId="11"/>
      <queryTableField id="12" name="Region" tableColumnId="12"/>
      <queryTableField id="13" name="Profi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3" xr16:uid="{39E030D9-3684-43A2-AFC3-2033D4367E0F}" autoFormatId="16" applyNumberFormats="0" applyBorderFormats="0" applyFontFormats="0" applyPatternFormats="0" applyAlignmentFormats="0" applyWidthHeightFormats="0">
  <queryTableRefresh nextId="14">
    <queryTableFields count="1">
      <queryTableField id="10" name="Order_Date"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BF5DB2C3-246D-4A39-B16E-FD2D1BEF4078}" autoFormatId="16" applyNumberFormats="0" applyBorderFormats="0" applyFontFormats="0" applyPatternFormats="0" applyAlignmentFormats="0" applyWidthHeightFormats="0">
  <queryTableRefresh nextId="14">
    <queryTableFields count="1">
      <queryTableField id="2" name="Gender_Category"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6" xr16:uid="{D3B7E88F-BB4D-46F8-889F-0EA8094682BD}" autoFormatId="16" applyNumberFormats="0" applyBorderFormats="0" applyFontFormats="0" applyPatternFormats="0" applyAlignmentFormats="0" applyWidthHeightFormats="0">
  <queryTableRefresh nextId="2">
    <queryTableFields count="1">
      <queryTableField id="1" name="Profit"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 xr16:uid="{907EB5FD-98C1-4A2D-98EC-FBB27CD23AB2}" autoFormatId="16" applyNumberFormats="0" applyBorderFormats="0" applyFontFormats="0" applyPatternFormats="0" applyAlignmentFormats="0" applyWidthHeightFormats="0">
  <queryTableRefresh nextId="2">
    <queryTableFields count="1">
      <queryTableField id="1" name="Sales_Channel" tableColumnId="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5" xr16:uid="{3E43B2E8-7782-4207-99C3-168681999ADF}" autoFormatId="16" applyNumberFormats="0" applyBorderFormats="0" applyFontFormats="0" applyPatternFormats="0" applyAlignmentFormats="0" applyWidthHeightFormats="0">
  <queryTableRefresh nextId="5">
    <queryTableFields count="4">
      <queryTableField id="1" name="Product_Name" tableColumnId="1"/>
      <queryTableField id="2" name="Product_Line" tableColumnId="2"/>
      <queryTableField id="3" name="Size" tableColumnId="3"/>
      <queryTableField id="4" name="MRP"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DD1DBE1-C04C-43B5-B804-2F2FA441B32D}" sourceName="Months (Order_Date)">
  <data>
    <tabular pivotCacheId="258472447">
      <items count="14">
        <i x="1" s="1"/>
        <i x="2" s="1"/>
        <i x="3" s="1"/>
        <i x="4" s="1"/>
        <i x="5" s="1"/>
        <i x="6" s="1"/>
        <i x="7" s="1"/>
        <i x="8" s="1"/>
        <i x="9" s="1"/>
        <i x="10" s="1"/>
        <i x="11" s="1"/>
        <i x="12" s="1"/>
        <i x="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4803EE3-B3D5-454D-B833-C83226D6C6C9}" sourceName="Product_Line">
  <data>
    <tabular pivotCacheId="258472447">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659264-83F0-4E12-A98F-A0806B8EDE91}" sourceName="Region">
  <data>
    <tabular pivotCacheId="258472447">
      <items count="6">
        <i x="0" s="1"/>
        <i x="4" s="1"/>
        <i x="1" s="1"/>
        <i x="5"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9BD0F19-102B-4AC2-B619-B55C81D438DB}" sourceName="Sales_Channel">
  <data>
    <tabular pivotCacheId="25847244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FE2EE9B-9539-444C-AA5A-512E561FAC95}" sourceName="Product_Name">
  <data>
    <tabular pivotCacheId="258472447">
      <items count="20">
        <i x="18" s="1"/>
        <i x="8" s="1"/>
        <i x="10" s="1"/>
        <i x="3" s="1"/>
        <i x="17" s="1"/>
        <i x="5" s="1"/>
        <i x="11" s="1"/>
        <i x="12" s="1"/>
        <i x="19" s="1"/>
        <i x="6" s="1"/>
        <i x="9" s="1"/>
        <i x="16" s="1"/>
        <i x="15" s="1"/>
        <i x="2" s="1"/>
        <i x="4" s="1"/>
        <i x="0" s="1"/>
        <i x="1" s="1"/>
        <i x="7"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AD341D56-51A9-4CB2-AB49-C986B7804002}" cache="Slicer_Months__Order_Date" caption="Months (Order_Date)" columnCount="12" style="SlicerStyleLight3 5" rowHeight="251883"/>
  <slicer name="Product_Line" xr10:uid="{0C52646A-3818-4DC0-BF8E-F7AF18B6C6AA}" cache="Slicer_Product_Line" caption="Product_Line" columnCount="7" style="SlicerStyleLight3 5" rowHeight="251883"/>
  <slicer name="Region" xr10:uid="{09C9BCAC-66B2-4098-8B24-41DD98B8AAF8}" cache="Slicer_Region" caption="Region" columnCount="7" style="SlicerStyleLight3 5" rowHeight="274320"/>
  <slicer name="Sales_Channel" xr10:uid="{7BFDE782-F566-4444-858F-F91A257848C4}" cache="Slicer_Sales_Channel" caption="Sales_Channel" columnCount="2" style="SlicerStyleLight3 5" rowHeight="251883"/>
  <slicer name="Product_Name" xr10:uid="{C3130F7E-E813-4248-8EE6-CBF32B108502}" cache="Slicer_Product_Name" caption="Product_Name" columnCount="4" style="SlicerStyleLight3 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EB1D90-0DEF-4324-9D45-6D38FB9A6B97}" name="Fact_Table" displayName="Fact_Table" ref="A1:M1991" tableType="queryTable" totalsRowShown="0" headerRowDxfId="126" dataDxfId="125">
  <autoFilter ref="A1:M1991" xr:uid="{42EB1D90-0DEF-4324-9D45-6D38FB9A6B9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2390548-A744-46CA-88C3-68A0F2A05905}" uniqueName="1" name="Order_ID" queryTableFieldId="1" dataDxfId="124"/>
    <tableColumn id="2" xr3:uid="{13ADE953-ED5A-4682-8CFE-5DE4A7F48678}" uniqueName="2" name="Gender_Category" queryTableFieldId="2" dataDxfId="123"/>
    <tableColumn id="3" xr3:uid="{63F2E62E-9853-4FDF-9C1F-81EA155601FC}" uniqueName="3" name="Product_Line" queryTableFieldId="3" dataDxfId="122"/>
    <tableColumn id="4" xr3:uid="{3A8A13F0-F049-483D-A18E-873B78C3276F}" uniqueName="4" name="Product_Name" queryTableFieldId="4" dataDxfId="121"/>
    <tableColumn id="5" xr3:uid="{91A2535A-01BD-4304-943A-0E578DE01B37}" uniqueName="5" name="Size" queryTableFieldId="5" dataDxfId="120"/>
    <tableColumn id="6" xr3:uid="{CD95C1F0-8EA9-4A96-A9AA-72B509DCBEF4}" uniqueName="6" name="Units_Sold" queryTableFieldId="6" dataDxfId="119"/>
    <tableColumn id="7" xr3:uid="{89FEFDB0-9FEB-4ECF-AD73-13E166D7703A}" uniqueName="7" name="MRP" queryTableFieldId="7" dataDxfId="118"/>
    <tableColumn id="8" xr3:uid="{EA13B5DD-96A8-428F-A32F-917005F128F7}" uniqueName="8" name="Discount_Applied" queryTableFieldId="8" dataDxfId="117"/>
    <tableColumn id="9" xr3:uid="{C7B03D20-7F38-4786-9AE4-F71847AF1A90}" uniqueName="9" name="Revenue" queryTableFieldId="9" dataDxfId="116"/>
    <tableColumn id="10" xr3:uid="{4263170E-AC17-482E-9A60-3F6233F99A2B}" uniqueName="10" name="Order_Date" queryTableFieldId="10" dataDxfId="115"/>
    <tableColumn id="11" xr3:uid="{EC374706-C939-4FA2-A180-FC56B929F4EC}" uniqueName="11" name="Sales_Channel" queryTableFieldId="11" dataDxfId="114"/>
    <tableColumn id="12" xr3:uid="{31CB0648-0A96-4A99-AD4A-464F12C19E83}" uniqueName="12" name="Region" queryTableFieldId="12" dataDxfId="113"/>
    <tableColumn id="13" xr3:uid="{B93117B8-9E8D-4733-95FC-AE874642484C}" uniqueName="13" name="Profit" queryTableFieldId="13" dataDxfId="1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73BEA9-BB19-4B0A-8626-47D821CED0EC}" name="DImDate" displayName="DImDate" ref="A1:A528" tableType="queryTable" totalsRowShown="0" dataDxfId="111">
  <autoFilter ref="A1:A528" xr:uid="{FA73BEA9-BB19-4B0A-8626-47D821CED0EC}">
    <filterColumn colId="0" hiddenButton="1"/>
  </autoFilter>
  <tableColumns count="1">
    <tableColumn id="10" xr3:uid="{4E7E9D16-9753-4CFF-AD92-0836284DD375}" uniqueName="10" name="Order_Date" queryTableFieldId="10" dataDxfId="1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20DB98-C6B7-4ECB-A66D-8A4376CC2AAA}" name="DimCustomer" displayName="DimCustomer" ref="E1:E4" tableType="queryTable" totalsRowShown="0">
  <autoFilter ref="E1:E4" xr:uid="{B320DB98-C6B7-4ECB-A66D-8A4376CC2AAA}">
    <filterColumn colId="0" hiddenButton="1"/>
  </autoFilter>
  <tableColumns count="1">
    <tableColumn id="2" xr3:uid="{6B076AE3-10C7-470A-BFBF-F3EE7B41D0BB}" uniqueName="2" name="Gender_Category" queryTableFieldId="2" dataDxfId="10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CE9294-F9D7-4114-A3F8-DAF55B8C726E}" name="DimProfitability" displayName="DimProfitability" ref="G1:G1987" tableType="queryTable" totalsRowShown="0">
  <autoFilter ref="G1:G1987" xr:uid="{75CE9294-F9D7-4114-A3F8-DAF55B8C726E}">
    <filterColumn colId="0" hiddenButton="1"/>
  </autoFilter>
  <tableColumns count="1">
    <tableColumn id="1" xr3:uid="{0DB9222E-9EA3-41B6-8918-9FF5E54FDAFB}" uniqueName="1" name="Profit" queryTableField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6C46B3-1F15-4569-BA63-8357BBDF8B7A}" name="DimChannel" displayName="DimChannel" ref="C10:C12" tableType="queryTable" totalsRowShown="0">
  <autoFilter ref="C10:C12" xr:uid="{C36C46B3-1F15-4569-BA63-8357BBDF8B7A}">
    <filterColumn colId="0" hiddenButton="1"/>
  </autoFilter>
  <tableColumns count="1">
    <tableColumn id="1" xr3:uid="{8A1B2383-343D-491B-8AB2-01C5BF990520}" uniqueName="1" name="Sales_Channel" queryTableFieldId="1" dataDxfId="10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ADACBB-4F15-4E44-A141-6564F3B3197F}" name="DimProduct_1" displayName="DimProduct_1" ref="B15:E35" tableType="queryTable" totalsRowShown="0">
  <autoFilter ref="B15:E35" xr:uid="{7CADACBB-4F15-4E44-A141-6564F3B3197F}">
    <filterColumn colId="0" hiddenButton="1"/>
    <filterColumn colId="1" hiddenButton="1"/>
    <filterColumn colId="2" hiddenButton="1"/>
    <filterColumn colId="3" hiddenButton="1"/>
  </autoFilter>
  <tableColumns count="4">
    <tableColumn id="1" xr3:uid="{F34940DE-5060-48D3-BA33-E7AD9D33A3E2}" uniqueName="1" name="Product_Name" queryTableFieldId="1" dataDxfId="107"/>
    <tableColumn id="2" xr3:uid="{5188690B-13EE-4276-AD34-C9BFA8D2A9AE}" uniqueName="2" name="Product_Line" queryTableFieldId="2" dataDxfId="106"/>
    <tableColumn id="3" xr3:uid="{999C7802-4A70-4553-A48E-FBA0C6C7C51B}" uniqueName="3" name="Size" queryTableFieldId="3" dataDxfId="105"/>
    <tableColumn id="4" xr3:uid="{E95D55BB-2F88-4CDA-8B74-979457AEE717}" uniqueName="4" name="MRP"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403BB2E-4729-402A-B810-4E2CCC8F99D4}" name="Table9" displayName="Table9" ref="C1:C7" totalsRowShown="0" dataDxfId="104" tableBorderDxfId="103">
  <autoFilter ref="C1:C7" xr:uid="{F403BB2E-4729-402A-B810-4E2CCC8F99D4}">
    <filterColumn colId="0" hiddenButton="1"/>
  </autoFilter>
  <tableColumns count="1">
    <tableColumn id="1" xr3:uid="{F3353659-1F88-469A-9DE3-237F6D4F5107}" name="Region" dataDxfId="102"/>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31EA47-E72D-4BD6-AFFC-B4A8AE9D2D22}" name="Table3" displayName="Table3" ref="K23:K24" totalsRowShown="0">
  <autoFilter ref="K23:K24" xr:uid="{B231EA47-E72D-4BD6-AFFC-B4A8AE9D2D22}"/>
  <tableColumns count="1">
    <tableColumn id="1" xr3:uid="{90EC4D67-9C54-44C9-82C4-12049BF12BC9}" name="YOY GROWH" dataDxfId="64">
      <calculatedColumnFormula>(GETPIVOTDATA("[Measures].[Sum of Revenue]",$D$34,"[DImDate].[Order_Date (Year)]","[DImDate].[Order_Date (Year)].&amp;[2025]")-GETPIVOTDATA("[Measures].[Sum of Revenue]",$D$34,"[DImDate].[Order_Date (Year)]","[DImDate].[Order_Date (Year)].&amp;[2024]"))/GETPIVOTDATA("[Measures].[Sum of Revenue]",$D$34,"[DImDate].[Order_Date (Year)]","[DImDate].[Order_Date (Year)].&amp;[2024]")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8.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9DEE-E822-4035-8F81-6BC130A6B1F2}">
  <sheetPr codeName="Sheet1"/>
  <dimension ref="A1:M1991"/>
  <sheetViews>
    <sheetView workbookViewId="0">
      <selection activeCell="L2" sqref="L2"/>
    </sheetView>
  </sheetViews>
  <sheetFormatPr defaultRowHeight="14.5" x14ac:dyDescent="0.35"/>
  <cols>
    <col min="1" max="1" width="13.1796875" customWidth="1"/>
    <col min="2" max="2" width="21.81640625" customWidth="1"/>
    <col min="3" max="3" width="14.81640625" customWidth="1"/>
    <col min="4" max="4" width="18.54296875" customWidth="1"/>
    <col min="5" max="5" width="7.7265625" customWidth="1"/>
    <col min="6" max="6" width="10.08984375" bestFit="1" customWidth="1"/>
    <col min="7" max="7" width="12.453125" customWidth="1"/>
    <col min="8" max="8" width="16.1796875" bestFit="1" customWidth="1"/>
    <col min="9" max="9" width="8.81640625" bestFit="1" customWidth="1"/>
    <col min="10" max="10" width="16.36328125" customWidth="1"/>
    <col min="11" max="11" width="14" bestFit="1" customWidth="1"/>
    <col min="12" max="12" width="12.453125" customWidth="1"/>
    <col min="13" max="13" width="11.90625" customWidth="1"/>
    <col min="15" max="15" width="8" bestFit="1" customWidth="1"/>
    <col min="16" max="16" width="14.90625" bestFit="1" customWidth="1"/>
    <col min="17" max="17" width="11.36328125" bestFit="1" customWidth="1"/>
    <col min="18" max="18" width="12.90625" bestFit="1" customWidth="1"/>
    <col min="19" max="19" width="4.08984375" bestFit="1" customWidth="1"/>
    <col min="20" max="20" width="9.36328125" bestFit="1" customWidth="1"/>
    <col min="21" max="21" width="4.453125" bestFit="1" customWidth="1"/>
    <col min="22" max="22" width="15" bestFit="1" customWidth="1"/>
    <col min="23" max="23" width="7.7265625" bestFit="1" customWidth="1"/>
    <col min="24" max="24" width="10.1796875" bestFit="1" customWidth="1"/>
    <col min="25" max="25" width="12.7265625" bestFit="1" customWidth="1"/>
    <col min="26" max="26" width="6.26953125" bestFit="1" customWidth="1"/>
    <col min="27" max="27" width="5.1796875" bestFit="1" customWidth="1"/>
  </cols>
  <sheetData>
    <row r="1" spans="1:13" ht="16" x14ac:dyDescent="0.4">
      <c r="A1" s="8" t="s">
        <v>46</v>
      </c>
      <c r="B1" s="8" t="s">
        <v>47</v>
      </c>
      <c r="C1" s="8" t="s">
        <v>48</v>
      </c>
      <c r="D1" s="8" t="s">
        <v>49</v>
      </c>
      <c r="E1" s="8" t="s">
        <v>50</v>
      </c>
      <c r="F1" s="8" t="s">
        <v>51</v>
      </c>
      <c r="G1" s="8" t="s">
        <v>52</v>
      </c>
      <c r="H1" s="8" t="s">
        <v>53</v>
      </c>
      <c r="I1" s="8" t="s">
        <v>54</v>
      </c>
      <c r="J1" s="8" t="s">
        <v>55</v>
      </c>
      <c r="K1" s="8" t="s">
        <v>56</v>
      </c>
      <c r="L1" s="8" t="s">
        <v>57</v>
      </c>
      <c r="M1" s="8" t="s">
        <v>58</v>
      </c>
    </row>
    <row r="2" spans="1:13" x14ac:dyDescent="0.35">
      <c r="A2" s="9">
        <v>2000</v>
      </c>
      <c r="B2" s="9" t="s">
        <v>34</v>
      </c>
      <c r="C2" s="9" t="s">
        <v>18</v>
      </c>
      <c r="D2" s="9" t="s">
        <v>37</v>
      </c>
      <c r="E2" s="9" t="s">
        <v>59</v>
      </c>
      <c r="F2" s="9">
        <v>0</v>
      </c>
      <c r="G2" s="9">
        <v>0</v>
      </c>
      <c r="H2" s="9">
        <v>0.47</v>
      </c>
      <c r="I2" s="9">
        <v>0</v>
      </c>
      <c r="J2" s="10">
        <v>45360</v>
      </c>
      <c r="K2" s="9" t="s">
        <v>45</v>
      </c>
      <c r="L2" s="9" t="s">
        <v>25</v>
      </c>
      <c r="M2" s="9">
        <v>-770.45</v>
      </c>
    </row>
    <row r="3" spans="1:13" x14ac:dyDescent="0.35">
      <c r="A3" s="9">
        <v>2001</v>
      </c>
      <c r="B3" s="9" t="s">
        <v>28</v>
      </c>
      <c r="C3" s="9" t="s">
        <v>19</v>
      </c>
      <c r="D3" s="9" t="s">
        <v>42</v>
      </c>
      <c r="E3" s="9" t="s">
        <v>59</v>
      </c>
      <c r="F3" s="9">
        <v>3</v>
      </c>
      <c r="G3" s="9">
        <v>4957.93</v>
      </c>
      <c r="H3" s="9">
        <v>0</v>
      </c>
      <c r="I3" s="9">
        <v>0</v>
      </c>
      <c r="J3" s="10">
        <v>45482</v>
      </c>
      <c r="K3" s="9" t="s">
        <v>44</v>
      </c>
      <c r="L3" s="9" t="s">
        <v>32</v>
      </c>
      <c r="M3" s="9">
        <v>-112.53</v>
      </c>
    </row>
    <row r="4" spans="1:13" x14ac:dyDescent="0.35">
      <c r="A4" s="9">
        <v>2002</v>
      </c>
      <c r="B4" s="9" t="s">
        <v>28</v>
      </c>
      <c r="C4" s="9" t="s">
        <v>19</v>
      </c>
      <c r="D4" s="9" t="s">
        <v>39</v>
      </c>
      <c r="E4" s="9" t="s">
        <v>59</v>
      </c>
      <c r="F4" s="9">
        <v>4</v>
      </c>
      <c r="G4" s="9">
        <v>0</v>
      </c>
      <c r="H4" s="9">
        <v>0</v>
      </c>
      <c r="I4" s="9">
        <v>0</v>
      </c>
      <c r="J4" s="10">
        <v>45482</v>
      </c>
      <c r="K4" s="9" t="s">
        <v>44</v>
      </c>
      <c r="L4" s="9" t="s">
        <v>26</v>
      </c>
      <c r="M4" s="9">
        <v>3337.34</v>
      </c>
    </row>
    <row r="5" spans="1:13" x14ac:dyDescent="0.35">
      <c r="A5" s="9">
        <v>2003</v>
      </c>
      <c r="B5" s="9" t="s">
        <v>34</v>
      </c>
      <c r="C5" s="9" t="s">
        <v>21</v>
      </c>
      <c r="D5" s="9" t="s">
        <v>36</v>
      </c>
      <c r="E5" s="9" t="s">
        <v>60</v>
      </c>
      <c r="F5" s="9">
        <v>0</v>
      </c>
      <c r="G5" s="9">
        <v>9673.57</v>
      </c>
      <c r="H5" s="9">
        <v>0</v>
      </c>
      <c r="I5" s="9">
        <v>0</v>
      </c>
      <c r="J5" s="10">
        <v>45569</v>
      </c>
      <c r="K5" s="9" t="s">
        <v>45</v>
      </c>
      <c r="L5" s="9" t="s">
        <v>35</v>
      </c>
      <c r="M5" s="9">
        <v>3376.85</v>
      </c>
    </row>
    <row r="6" spans="1:13" x14ac:dyDescent="0.35">
      <c r="A6" s="9">
        <v>2004</v>
      </c>
      <c r="B6" s="9" t="s">
        <v>34</v>
      </c>
      <c r="C6" s="9" t="s">
        <v>20</v>
      </c>
      <c r="D6" s="9" t="s">
        <v>61</v>
      </c>
      <c r="E6" s="9" t="s">
        <v>62</v>
      </c>
      <c r="F6" s="9">
        <v>0</v>
      </c>
      <c r="G6" s="9">
        <v>0</v>
      </c>
      <c r="H6" s="9">
        <v>0</v>
      </c>
      <c r="I6" s="9">
        <v>0</v>
      </c>
      <c r="J6" s="10">
        <v>45547</v>
      </c>
      <c r="K6" s="9" t="s">
        <v>44</v>
      </c>
      <c r="L6" s="9" t="s">
        <v>29</v>
      </c>
      <c r="M6" s="9">
        <v>187.89</v>
      </c>
    </row>
    <row r="7" spans="1:13" x14ac:dyDescent="0.35">
      <c r="A7" s="9">
        <v>2005</v>
      </c>
      <c r="B7" s="9" t="s">
        <v>28</v>
      </c>
      <c r="C7" s="9" t="s">
        <v>18</v>
      </c>
      <c r="D7" s="9" t="s">
        <v>33</v>
      </c>
      <c r="E7" s="9" t="s">
        <v>59</v>
      </c>
      <c r="F7" s="9">
        <v>1</v>
      </c>
      <c r="G7" s="9">
        <v>7363.96</v>
      </c>
      <c r="H7" s="9">
        <v>0</v>
      </c>
      <c r="I7" s="9">
        <v>0</v>
      </c>
      <c r="J7" s="10">
        <v>45547</v>
      </c>
      <c r="K7" s="9" t="s">
        <v>44</v>
      </c>
      <c r="L7" s="9" t="s">
        <v>29</v>
      </c>
      <c r="M7" s="9">
        <v>1415.98</v>
      </c>
    </row>
    <row r="8" spans="1:13" x14ac:dyDescent="0.35">
      <c r="A8" s="9">
        <v>2006</v>
      </c>
      <c r="B8" s="9" t="s">
        <v>31</v>
      </c>
      <c r="C8" s="9" t="s">
        <v>18</v>
      </c>
      <c r="D8" s="9" t="s">
        <v>37</v>
      </c>
      <c r="E8" s="9" t="s">
        <v>59</v>
      </c>
      <c r="F8" s="9">
        <v>0</v>
      </c>
      <c r="G8" s="9">
        <v>6819.78</v>
      </c>
      <c r="H8" s="9">
        <v>0</v>
      </c>
      <c r="I8" s="9">
        <v>0</v>
      </c>
      <c r="J8" s="10">
        <v>45812</v>
      </c>
      <c r="K8" s="9" t="s">
        <v>45</v>
      </c>
      <c r="L8" s="9" t="s">
        <v>25</v>
      </c>
      <c r="M8" s="9">
        <v>1802.09</v>
      </c>
    </row>
    <row r="9" spans="1:13" x14ac:dyDescent="0.35">
      <c r="A9" s="9">
        <v>2007</v>
      </c>
      <c r="B9" s="9" t="s">
        <v>34</v>
      </c>
      <c r="C9" s="9" t="s">
        <v>18</v>
      </c>
      <c r="D9" s="9" t="s">
        <v>37</v>
      </c>
      <c r="E9" s="9" t="s">
        <v>59</v>
      </c>
      <c r="F9" s="9">
        <v>1</v>
      </c>
      <c r="G9" s="9">
        <v>0</v>
      </c>
      <c r="H9" s="9">
        <v>0.32</v>
      </c>
      <c r="I9" s="9">
        <v>0</v>
      </c>
      <c r="J9" s="10">
        <v>45812</v>
      </c>
      <c r="K9" s="9" t="s">
        <v>44</v>
      </c>
      <c r="L9" s="9" t="s">
        <v>25</v>
      </c>
      <c r="M9" s="9">
        <v>2928.36</v>
      </c>
    </row>
    <row r="10" spans="1:13" x14ac:dyDescent="0.35">
      <c r="A10" s="9">
        <v>2008</v>
      </c>
      <c r="B10" s="9" t="s">
        <v>28</v>
      </c>
      <c r="C10" s="9" t="s">
        <v>19</v>
      </c>
      <c r="D10" s="9" t="s">
        <v>39</v>
      </c>
      <c r="E10" s="9" t="s">
        <v>59</v>
      </c>
      <c r="F10" s="9">
        <v>-1</v>
      </c>
      <c r="G10" s="9">
        <v>0</v>
      </c>
      <c r="H10" s="9">
        <v>0</v>
      </c>
      <c r="I10" s="9">
        <v>0</v>
      </c>
      <c r="J10" s="10">
        <v>45576</v>
      </c>
      <c r="K10" s="9" t="s">
        <v>45</v>
      </c>
      <c r="L10" s="9" t="s">
        <v>32</v>
      </c>
      <c r="M10" s="9">
        <v>-731.18</v>
      </c>
    </row>
    <row r="11" spans="1:13" x14ac:dyDescent="0.35">
      <c r="A11" s="9">
        <v>2009</v>
      </c>
      <c r="B11" s="9" t="s">
        <v>31</v>
      </c>
      <c r="C11" s="9" t="s">
        <v>19</v>
      </c>
      <c r="D11" s="9" t="s">
        <v>63</v>
      </c>
      <c r="E11" s="9" t="s">
        <v>59</v>
      </c>
      <c r="F11" s="9">
        <v>4</v>
      </c>
      <c r="G11" s="9">
        <v>0</v>
      </c>
      <c r="H11" s="9">
        <v>0</v>
      </c>
      <c r="I11" s="9">
        <v>0</v>
      </c>
      <c r="J11" s="10">
        <v>45576</v>
      </c>
      <c r="K11" s="9" t="s">
        <v>45</v>
      </c>
      <c r="L11" s="9" t="s">
        <v>35</v>
      </c>
      <c r="M11" s="9">
        <v>3929.61</v>
      </c>
    </row>
    <row r="12" spans="1:13" x14ac:dyDescent="0.35">
      <c r="A12" s="9">
        <v>2010</v>
      </c>
      <c r="B12" s="9" t="s">
        <v>34</v>
      </c>
      <c r="C12" s="9" t="s">
        <v>21</v>
      </c>
      <c r="D12" s="9" t="s">
        <v>64</v>
      </c>
      <c r="E12" s="9" t="s">
        <v>60</v>
      </c>
      <c r="F12" s="9">
        <v>1</v>
      </c>
      <c r="G12" s="9">
        <v>7949.83</v>
      </c>
      <c r="H12" s="9">
        <v>0</v>
      </c>
      <c r="I12" s="9">
        <v>0</v>
      </c>
      <c r="J12" s="10">
        <v>45673</v>
      </c>
      <c r="K12" s="9" t="s">
        <v>45</v>
      </c>
      <c r="L12" s="9" t="s">
        <v>35</v>
      </c>
      <c r="M12" s="9">
        <v>1965.56</v>
      </c>
    </row>
    <row r="13" spans="1:13" x14ac:dyDescent="0.35">
      <c r="A13" s="9">
        <v>2011</v>
      </c>
      <c r="B13" s="9" t="s">
        <v>28</v>
      </c>
      <c r="C13" s="9" t="s">
        <v>18</v>
      </c>
      <c r="D13" s="9" t="s">
        <v>33</v>
      </c>
      <c r="E13" s="9" t="s">
        <v>60</v>
      </c>
      <c r="F13" s="9">
        <v>-1</v>
      </c>
      <c r="G13" s="9">
        <v>9586.08</v>
      </c>
      <c r="H13" s="9">
        <v>0</v>
      </c>
      <c r="I13" s="9">
        <v>0</v>
      </c>
      <c r="J13" s="10">
        <v>45673</v>
      </c>
      <c r="K13" s="9" t="s">
        <v>44</v>
      </c>
      <c r="L13" s="9" t="s">
        <v>32</v>
      </c>
      <c r="M13" s="9">
        <v>1667.08</v>
      </c>
    </row>
    <row r="14" spans="1:13" x14ac:dyDescent="0.35">
      <c r="A14" s="9">
        <v>2014</v>
      </c>
      <c r="B14" s="9" t="s">
        <v>28</v>
      </c>
      <c r="C14" s="9" t="s">
        <v>20</v>
      </c>
      <c r="D14" s="9" t="s">
        <v>61</v>
      </c>
      <c r="E14" s="9" t="s">
        <v>59</v>
      </c>
      <c r="F14" s="9">
        <v>0</v>
      </c>
      <c r="G14" s="9">
        <v>0</v>
      </c>
      <c r="H14" s="9">
        <v>0</v>
      </c>
      <c r="I14" s="9">
        <v>0</v>
      </c>
      <c r="J14" s="10">
        <v>45759</v>
      </c>
      <c r="K14" s="9" t="s">
        <v>45</v>
      </c>
      <c r="L14" s="9" t="s">
        <v>25</v>
      </c>
      <c r="M14" s="9">
        <v>-1044.4000000000001</v>
      </c>
    </row>
    <row r="15" spans="1:13" x14ac:dyDescent="0.35">
      <c r="A15" s="9">
        <v>2016</v>
      </c>
      <c r="B15" s="9" t="s">
        <v>28</v>
      </c>
      <c r="C15" s="9" t="s">
        <v>22</v>
      </c>
      <c r="D15" s="9" t="s">
        <v>65</v>
      </c>
      <c r="E15" s="9" t="s">
        <v>59</v>
      </c>
      <c r="F15" s="9">
        <v>1</v>
      </c>
      <c r="G15" s="9">
        <v>9871.75</v>
      </c>
      <c r="H15" s="9">
        <v>0.3</v>
      </c>
      <c r="I15" s="9">
        <v>6910.22</v>
      </c>
      <c r="J15" s="10">
        <v>45759</v>
      </c>
      <c r="K15" s="9" t="s">
        <v>44</v>
      </c>
      <c r="L15" s="9" t="s">
        <v>32</v>
      </c>
      <c r="M15" s="9">
        <v>2452.69</v>
      </c>
    </row>
    <row r="16" spans="1:13" x14ac:dyDescent="0.35">
      <c r="A16" s="9">
        <v>2017</v>
      </c>
      <c r="B16" s="9" t="s">
        <v>28</v>
      </c>
      <c r="C16" s="9" t="s">
        <v>22</v>
      </c>
      <c r="D16" s="9" t="s">
        <v>65</v>
      </c>
      <c r="E16" s="9" t="s">
        <v>59</v>
      </c>
      <c r="F16" s="9">
        <v>4</v>
      </c>
      <c r="G16" s="9">
        <v>0</v>
      </c>
      <c r="H16" s="9">
        <v>0</v>
      </c>
      <c r="I16" s="9">
        <v>0</v>
      </c>
      <c r="J16" s="10">
        <v>45733</v>
      </c>
      <c r="K16" s="9" t="s">
        <v>44</v>
      </c>
      <c r="L16" s="9" t="s">
        <v>29</v>
      </c>
      <c r="M16" s="9">
        <v>1946.24</v>
      </c>
    </row>
    <row r="17" spans="1:13" x14ac:dyDescent="0.35">
      <c r="A17" s="9">
        <v>2018</v>
      </c>
      <c r="B17" s="9" t="s">
        <v>31</v>
      </c>
      <c r="C17" s="9" t="s">
        <v>18</v>
      </c>
      <c r="D17" s="9" t="s">
        <v>41</v>
      </c>
      <c r="E17" s="9" t="s">
        <v>62</v>
      </c>
      <c r="F17" s="9">
        <v>0</v>
      </c>
      <c r="G17" s="9">
        <v>0</v>
      </c>
      <c r="H17" s="9">
        <v>1.17</v>
      </c>
      <c r="I17" s="9">
        <v>0</v>
      </c>
      <c r="J17" s="10">
        <v>45733</v>
      </c>
      <c r="K17" s="9" t="s">
        <v>45</v>
      </c>
      <c r="L17" s="9" t="s">
        <v>25</v>
      </c>
      <c r="M17" s="9">
        <v>-966.89</v>
      </c>
    </row>
    <row r="18" spans="1:13" x14ac:dyDescent="0.35">
      <c r="A18" s="9">
        <v>2019</v>
      </c>
      <c r="B18" s="9" t="s">
        <v>34</v>
      </c>
      <c r="C18" s="9" t="s">
        <v>20</v>
      </c>
      <c r="D18" s="9" t="s">
        <v>43</v>
      </c>
      <c r="E18" s="9" t="s">
        <v>59</v>
      </c>
      <c r="F18" s="9">
        <v>0</v>
      </c>
      <c r="G18" s="9">
        <v>3424.06</v>
      </c>
      <c r="H18" s="9">
        <v>0.32</v>
      </c>
      <c r="I18" s="9">
        <v>0</v>
      </c>
      <c r="J18" s="10">
        <v>45674</v>
      </c>
      <c r="K18" s="9" t="s">
        <v>45</v>
      </c>
      <c r="L18" s="9" t="s">
        <v>32</v>
      </c>
      <c r="M18" s="9">
        <v>1915.24</v>
      </c>
    </row>
    <row r="19" spans="1:13" x14ac:dyDescent="0.35">
      <c r="A19" s="9">
        <v>2020</v>
      </c>
      <c r="B19" s="9" t="s">
        <v>34</v>
      </c>
      <c r="C19" s="9" t="s">
        <v>19</v>
      </c>
      <c r="D19" s="9" t="s">
        <v>42</v>
      </c>
      <c r="E19" s="9" t="s">
        <v>60</v>
      </c>
      <c r="F19" s="9">
        <v>-1</v>
      </c>
      <c r="G19" s="9">
        <v>0</v>
      </c>
      <c r="H19" s="9">
        <v>0.67</v>
      </c>
      <c r="I19" s="9">
        <v>0</v>
      </c>
      <c r="J19" s="10">
        <v>45744</v>
      </c>
      <c r="K19" s="9" t="s">
        <v>44</v>
      </c>
      <c r="L19" s="9" t="s">
        <v>26</v>
      </c>
      <c r="M19" s="9">
        <v>439.96</v>
      </c>
    </row>
    <row r="20" spans="1:13" x14ac:dyDescent="0.35">
      <c r="A20" s="9">
        <v>2021</v>
      </c>
      <c r="B20" s="9" t="s">
        <v>31</v>
      </c>
      <c r="C20" s="9" t="s">
        <v>20</v>
      </c>
      <c r="D20" s="9" t="s">
        <v>66</v>
      </c>
      <c r="E20" s="9" t="s">
        <v>60</v>
      </c>
      <c r="F20" s="9">
        <v>-1</v>
      </c>
      <c r="G20" s="9">
        <v>7086.7</v>
      </c>
      <c r="H20" s="9">
        <v>0.66</v>
      </c>
      <c r="I20" s="9">
        <v>-2409.48</v>
      </c>
      <c r="J20" s="10">
        <v>45615</v>
      </c>
      <c r="K20" s="9" t="s">
        <v>44</v>
      </c>
      <c r="L20" s="9" t="s">
        <v>32</v>
      </c>
      <c r="M20" s="9">
        <v>-1120.49</v>
      </c>
    </row>
    <row r="21" spans="1:13" x14ac:dyDescent="0.35">
      <c r="A21" s="9">
        <v>2022</v>
      </c>
      <c r="B21" s="9" t="s">
        <v>28</v>
      </c>
      <c r="C21" s="9" t="s">
        <v>19</v>
      </c>
      <c r="D21" s="9" t="s">
        <v>39</v>
      </c>
      <c r="E21" s="9" t="s">
        <v>59</v>
      </c>
      <c r="F21" s="9">
        <v>0</v>
      </c>
      <c r="G21" s="9">
        <v>0</v>
      </c>
      <c r="H21" s="9">
        <v>0</v>
      </c>
      <c r="I21" s="9">
        <v>0</v>
      </c>
      <c r="J21" s="10">
        <v>45559</v>
      </c>
      <c r="K21" s="9" t="s">
        <v>45</v>
      </c>
      <c r="L21" s="9" t="s">
        <v>35</v>
      </c>
      <c r="M21" s="9">
        <v>3427.16</v>
      </c>
    </row>
    <row r="22" spans="1:13" x14ac:dyDescent="0.35">
      <c r="A22" s="9">
        <v>2023</v>
      </c>
      <c r="B22" s="9" t="s">
        <v>31</v>
      </c>
      <c r="C22" s="9" t="s">
        <v>21</v>
      </c>
      <c r="D22" s="9" t="s">
        <v>64</v>
      </c>
      <c r="E22" s="9" t="s">
        <v>59</v>
      </c>
      <c r="F22" s="9">
        <v>0</v>
      </c>
      <c r="G22" s="9">
        <v>5003.95</v>
      </c>
      <c r="H22" s="9">
        <v>0</v>
      </c>
      <c r="I22" s="9">
        <v>0</v>
      </c>
      <c r="J22" s="10">
        <v>45667</v>
      </c>
      <c r="K22" s="9" t="s">
        <v>45</v>
      </c>
      <c r="L22" s="9" t="s">
        <v>26</v>
      </c>
      <c r="M22" s="9">
        <v>1498.37</v>
      </c>
    </row>
    <row r="23" spans="1:13" x14ac:dyDescent="0.35">
      <c r="A23" s="9">
        <v>2024</v>
      </c>
      <c r="B23" s="9" t="s">
        <v>34</v>
      </c>
      <c r="C23" s="9" t="s">
        <v>18</v>
      </c>
      <c r="D23" s="9" t="s">
        <v>37</v>
      </c>
      <c r="E23" s="9" t="s">
        <v>62</v>
      </c>
      <c r="F23" s="9">
        <v>0</v>
      </c>
      <c r="G23" s="9">
        <v>0</v>
      </c>
      <c r="H23" s="9">
        <v>0.5</v>
      </c>
      <c r="I23" s="9">
        <v>0</v>
      </c>
      <c r="J23" s="10">
        <v>45654</v>
      </c>
      <c r="K23" s="9" t="s">
        <v>44</v>
      </c>
      <c r="L23" s="9" t="s">
        <v>25</v>
      </c>
      <c r="M23" s="9">
        <v>1842.35</v>
      </c>
    </row>
    <row r="24" spans="1:13" x14ac:dyDescent="0.35">
      <c r="A24" s="9">
        <v>2025</v>
      </c>
      <c r="B24" s="9" t="s">
        <v>28</v>
      </c>
      <c r="C24" s="9" t="s">
        <v>22</v>
      </c>
      <c r="D24" s="9" t="s">
        <v>67</v>
      </c>
      <c r="E24" s="9" t="s">
        <v>59</v>
      </c>
      <c r="F24" s="9">
        <v>3</v>
      </c>
      <c r="G24" s="9">
        <v>9820.5</v>
      </c>
      <c r="H24" s="9">
        <v>0</v>
      </c>
      <c r="I24" s="9">
        <v>0</v>
      </c>
      <c r="J24" s="10">
        <v>45654</v>
      </c>
      <c r="K24" s="9" t="s">
        <v>44</v>
      </c>
      <c r="L24" s="9" t="s">
        <v>26</v>
      </c>
      <c r="M24" s="9">
        <v>1900.15</v>
      </c>
    </row>
    <row r="25" spans="1:13" x14ac:dyDescent="0.35">
      <c r="A25" s="9">
        <v>2026</v>
      </c>
      <c r="B25" s="9" t="s">
        <v>34</v>
      </c>
      <c r="C25" s="9" t="s">
        <v>21</v>
      </c>
      <c r="D25" s="9" t="s">
        <v>36</v>
      </c>
      <c r="E25" s="9" t="s">
        <v>62</v>
      </c>
      <c r="F25" s="9">
        <v>1</v>
      </c>
      <c r="G25" s="9">
        <v>0</v>
      </c>
      <c r="H25" s="9">
        <v>0.16</v>
      </c>
      <c r="I25" s="9">
        <v>0</v>
      </c>
      <c r="J25" s="10">
        <v>45514</v>
      </c>
      <c r="K25" s="9" t="s">
        <v>44</v>
      </c>
      <c r="L25" s="9" t="s">
        <v>27</v>
      </c>
      <c r="M25" s="9">
        <v>2301.64</v>
      </c>
    </row>
    <row r="26" spans="1:13" x14ac:dyDescent="0.35">
      <c r="A26" s="9">
        <v>2027</v>
      </c>
      <c r="B26" s="9" t="s">
        <v>31</v>
      </c>
      <c r="C26" s="9" t="s">
        <v>22</v>
      </c>
      <c r="D26" s="9" t="s">
        <v>68</v>
      </c>
      <c r="E26" s="9" t="s">
        <v>62</v>
      </c>
      <c r="F26" s="9">
        <v>0</v>
      </c>
      <c r="G26" s="9">
        <v>0</v>
      </c>
      <c r="H26" s="9">
        <v>0.22</v>
      </c>
      <c r="I26" s="9">
        <v>0</v>
      </c>
      <c r="J26" s="10">
        <v>45514</v>
      </c>
      <c r="K26" s="9" t="s">
        <v>45</v>
      </c>
      <c r="L26" s="9" t="s">
        <v>35</v>
      </c>
      <c r="M26" s="9">
        <v>-138.74</v>
      </c>
    </row>
    <row r="27" spans="1:13" x14ac:dyDescent="0.35">
      <c r="A27" s="9">
        <v>2028</v>
      </c>
      <c r="B27" s="9" t="s">
        <v>31</v>
      </c>
      <c r="C27" s="9" t="s">
        <v>18</v>
      </c>
      <c r="D27" s="9" t="s">
        <v>33</v>
      </c>
      <c r="E27" s="9" t="s">
        <v>59</v>
      </c>
      <c r="F27" s="9">
        <v>0</v>
      </c>
      <c r="G27" s="9">
        <v>3270.23</v>
      </c>
      <c r="H27" s="9">
        <v>0</v>
      </c>
      <c r="I27" s="9">
        <v>0</v>
      </c>
      <c r="J27" s="10">
        <v>45514</v>
      </c>
      <c r="K27" s="9" t="s">
        <v>44</v>
      </c>
      <c r="L27" s="9" t="s">
        <v>29</v>
      </c>
      <c r="M27" s="9">
        <v>-946.86</v>
      </c>
    </row>
    <row r="28" spans="1:13" x14ac:dyDescent="0.35">
      <c r="A28" s="9">
        <v>2029</v>
      </c>
      <c r="B28" s="9" t="s">
        <v>31</v>
      </c>
      <c r="C28" s="9" t="s">
        <v>18</v>
      </c>
      <c r="D28" s="9" t="s">
        <v>38</v>
      </c>
      <c r="E28" s="9" t="s">
        <v>59</v>
      </c>
      <c r="F28" s="9">
        <v>0</v>
      </c>
      <c r="G28" s="9">
        <v>0</v>
      </c>
      <c r="H28" s="9">
        <v>0</v>
      </c>
      <c r="I28" s="9">
        <v>0</v>
      </c>
      <c r="J28" s="10">
        <v>45227</v>
      </c>
      <c r="K28" s="9" t="s">
        <v>45</v>
      </c>
      <c r="L28" s="9" t="s">
        <v>25</v>
      </c>
      <c r="M28" s="9">
        <v>-185.67</v>
      </c>
    </row>
    <row r="29" spans="1:13" x14ac:dyDescent="0.35">
      <c r="A29" s="9">
        <v>2030</v>
      </c>
      <c r="B29" s="9" t="s">
        <v>31</v>
      </c>
      <c r="C29" s="9" t="s">
        <v>19</v>
      </c>
      <c r="D29" s="9" t="s">
        <v>69</v>
      </c>
      <c r="E29" s="9" t="s">
        <v>62</v>
      </c>
      <c r="F29" s="9">
        <v>0</v>
      </c>
      <c r="G29" s="9">
        <v>0</v>
      </c>
      <c r="H29" s="9">
        <v>1.05</v>
      </c>
      <c r="I29" s="9">
        <v>0</v>
      </c>
      <c r="J29" s="10">
        <v>45852</v>
      </c>
      <c r="K29" s="9" t="s">
        <v>44</v>
      </c>
      <c r="L29" s="9" t="s">
        <v>32</v>
      </c>
      <c r="M29" s="9">
        <v>-122.93</v>
      </c>
    </row>
    <row r="30" spans="1:13" x14ac:dyDescent="0.35">
      <c r="A30" s="9">
        <v>2032</v>
      </c>
      <c r="B30" s="9" t="s">
        <v>28</v>
      </c>
      <c r="C30" s="9" t="s">
        <v>21</v>
      </c>
      <c r="D30" s="9" t="s">
        <v>36</v>
      </c>
      <c r="E30" s="9" t="s">
        <v>62</v>
      </c>
      <c r="F30" s="9">
        <v>1</v>
      </c>
      <c r="G30" s="9">
        <v>0</v>
      </c>
      <c r="H30" s="9">
        <v>1.07</v>
      </c>
      <c r="I30" s="9">
        <v>0</v>
      </c>
      <c r="J30" s="10">
        <v>45758</v>
      </c>
      <c r="K30" s="9" t="s">
        <v>44</v>
      </c>
      <c r="L30" s="9" t="s">
        <v>26</v>
      </c>
      <c r="M30" s="9">
        <v>-555.16</v>
      </c>
    </row>
    <row r="31" spans="1:13" x14ac:dyDescent="0.35">
      <c r="A31" s="9">
        <v>2033</v>
      </c>
      <c r="B31" s="9" t="s">
        <v>31</v>
      </c>
      <c r="C31" s="9" t="s">
        <v>19</v>
      </c>
      <c r="D31" s="9" t="s">
        <v>63</v>
      </c>
      <c r="E31" s="9" t="s">
        <v>62</v>
      </c>
      <c r="F31" s="9">
        <v>-1</v>
      </c>
      <c r="G31" s="9">
        <v>0</v>
      </c>
      <c r="H31" s="9">
        <v>0</v>
      </c>
      <c r="I31" s="9">
        <v>0</v>
      </c>
      <c r="J31" s="10">
        <v>45758</v>
      </c>
      <c r="K31" s="9" t="s">
        <v>44</v>
      </c>
      <c r="L31" s="9" t="s">
        <v>27</v>
      </c>
      <c r="M31" s="9">
        <v>-1005.71</v>
      </c>
    </row>
    <row r="32" spans="1:13" x14ac:dyDescent="0.35">
      <c r="A32" s="9">
        <v>2034</v>
      </c>
      <c r="B32" s="9" t="s">
        <v>31</v>
      </c>
      <c r="C32" s="9" t="s">
        <v>22</v>
      </c>
      <c r="D32" s="9" t="s">
        <v>65</v>
      </c>
      <c r="E32" s="9" t="s">
        <v>59</v>
      </c>
      <c r="F32" s="9">
        <v>0</v>
      </c>
      <c r="G32" s="9">
        <v>6235.71</v>
      </c>
      <c r="H32" s="9">
        <v>0</v>
      </c>
      <c r="I32" s="9">
        <v>0</v>
      </c>
      <c r="J32" s="10">
        <v>45777</v>
      </c>
      <c r="K32" s="9" t="s">
        <v>44</v>
      </c>
      <c r="L32" s="9" t="s">
        <v>29</v>
      </c>
      <c r="M32" s="9">
        <v>-267.37</v>
      </c>
    </row>
    <row r="33" spans="1:13" x14ac:dyDescent="0.35">
      <c r="A33" s="9">
        <v>2037</v>
      </c>
      <c r="B33" s="9" t="s">
        <v>34</v>
      </c>
      <c r="C33" s="9" t="s">
        <v>20</v>
      </c>
      <c r="D33" s="9" t="s">
        <v>70</v>
      </c>
      <c r="E33" s="9" t="s">
        <v>59</v>
      </c>
      <c r="F33" s="9">
        <v>3</v>
      </c>
      <c r="G33" s="9">
        <v>5653.14</v>
      </c>
      <c r="H33" s="9">
        <v>1.01</v>
      </c>
      <c r="I33" s="9">
        <v>-169.59</v>
      </c>
      <c r="J33" s="10">
        <v>45777</v>
      </c>
      <c r="K33" s="9" t="s">
        <v>44</v>
      </c>
      <c r="L33" s="9" t="s">
        <v>35</v>
      </c>
      <c r="M33" s="9">
        <v>2776.96</v>
      </c>
    </row>
    <row r="34" spans="1:13" x14ac:dyDescent="0.35">
      <c r="A34" s="9">
        <v>2039</v>
      </c>
      <c r="B34" s="9" t="s">
        <v>28</v>
      </c>
      <c r="C34" s="9" t="s">
        <v>18</v>
      </c>
      <c r="D34" s="9" t="s">
        <v>33</v>
      </c>
      <c r="E34" s="9" t="s">
        <v>59</v>
      </c>
      <c r="F34" s="9">
        <v>0</v>
      </c>
      <c r="G34" s="9">
        <v>2767.7</v>
      </c>
      <c r="H34" s="9">
        <v>0.63</v>
      </c>
      <c r="I34" s="9">
        <v>0</v>
      </c>
      <c r="J34" s="10">
        <v>45769</v>
      </c>
      <c r="K34" s="9" t="s">
        <v>44</v>
      </c>
      <c r="L34" s="9" t="s">
        <v>32</v>
      </c>
      <c r="M34" s="9">
        <v>-336.3</v>
      </c>
    </row>
    <row r="35" spans="1:13" x14ac:dyDescent="0.35">
      <c r="A35" s="9">
        <v>2002</v>
      </c>
      <c r="B35" s="9" t="s">
        <v>28</v>
      </c>
      <c r="C35" s="9" t="s">
        <v>22</v>
      </c>
      <c r="D35" s="9" t="s">
        <v>68</v>
      </c>
      <c r="E35" s="9" t="s">
        <v>62</v>
      </c>
      <c r="F35" s="9">
        <v>3</v>
      </c>
      <c r="G35" s="9">
        <v>5075.22</v>
      </c>
      <c r="H35" s="9">
        <v>0</v>
      </c>
      <c r="I35" s="9">
        <v>0</v>
      </c>
      <c r="J35" s="10">
        <v>45723</v>
      </c>
      <c r="K35" s="9" t="s">
        <v>44</v>
      </c>
      <c r="L35" s="9" t="s">
        <v>29</v>
      </c>
      <c r="M35" s="9">
        <v>145.08000000000001</v>
      </c>
    </row>
    <row r="36" spans="1:13" x14ac:dyDescent="0.35">
      <c r="A36" s="9">
        <v>2041</v>
      </c>
      <c r="B36" s="9" t="s">
        <v>34</v>
      </c>
      <c r="C36" s="9" t="s">
        <v>19</v>
      </c>
      <c r="D36" s="9" t="s">
        <v>42</v>
      </c>
      <c r="E36" s="9" t="s">
        <v>59</v>
      </c>
      <c r="F36" s="9">
        <v>0</v>
      </c>
      <c r="G36" s="9">
        <v>5553.88</v>
      </c>
      <c r="H36" s="9">
        <v>0</v>
      </c>
      <c r="I36" s="9">
        <v>0</v>
      </c>
      <c r="J36" s="10">
        <v>45721</v>
      </c>
      <c r="K36" s="9" t="s">
        <v>45</v>
      </c>
      <c r="L36" s="9" t="s">
        <v>32</v>
      </c>
      <c r="M36" s="9">
        <v>2371.66</v>
      </c>
    </row>
    <row r="37" spans="1:13" x14ac:dyDescent="0.35">
      <c r="A37" s="9">
        <v>2042</v>
      </c>
      <c r="B37" s="9" t="s">
        <v>28</v>
      </c>
      <c r="C37" s="9" t="s">
        <v>22</v>
      </c>
      <c r="D37" s="9" t="s">
        <v>67</v>
      </c>
      <c r="E37" s="9" t="s">
        <v>60</v>
      </c>
      <c r="F37" s="9">
        <v>0</v>
      </c>
      <c r="G37" s="9">
        <v>0</v>
      </c>
      <c r="H37" s="9">
        <v>0</v>
      </c>
      <c r="I37" s="9">
        <v>0</v>
      </c>
      <c r="J37" s="10">
        <v>45766</v>
      </c>
      <c r="K37" s="9" t="s">
        <v>45</v>
      </c>
      <c r="L37" s="9" t="s">
        <v>32</v>
      </c>
      <c r="M37" s="9">
        <v>-862.16</v>
      </c>
    </row>
    <row r="38" spans="1:13" x14ac:dyDescent="0.35">
      <c r="A38" s="9">
        <v>2043</v>
      </c>
      <c r="B38" s="9" t="s">
        <v>31</v>
      </c>
      <c r="C38" s="9" t="s">
        <v>19</v>
      </c>
      <c r="D38" s="9" t="s">
        <v>39</v>
      </c>
      <c r="E38" s="9" t="s">
        <v>62</v>
      </c>
      <c r="F38" s="9">
        <v>0</v>
      </c>
      <c r="G38" s="9">
        <v>3492.89</v>
      </c>
      <c r="H38" s="9">
        <v>0.77</v>
      </c>
      <c r="I38" s="9">
        <v>0</v>
      </c>
      <c r="J38" s="10">
        <v>45414</v>
      </c>
      <c r="K38" s="9" t="s">
        <v>44</v>
      </c>
      <c r="L38" s="9" t="s">
        <v>29</v>
      </c>
      <c r="M38" s="9">
        <v>3770.75</v>
      </c>
    </row>
    <row r="39" spans="1:13" x14ac:dyDescent="0.35">
      <c r="A39" s="9">
        <v>2045</v>
      </c>
      <c r="B39" s="9" t="s">
        <v>34</v>
      </c>
      <c r="C39" s="9" t="s">
        <v>21</v>
      </c>
      <c r="D39" s="9" t="s">
        <v>71</v>
      </c>
      <c r="E39" s="9" t="s">
        <v>62</v>
      </c>
      <c r="F39" s="9">
        <v>4</v>
      </c>
      <c r="G39" s="9">
        <v>0</v>
      </c>
      <c r="H39" s="9">
        <v>0</v>
      </c>
      <c r="I39" s="9">
        <v>0</v>
      </c>
      <c r="J39" s="10">
        <v>45753</v>
      </c>
      <c r="K39" s="9" t="s">
        <v>44</v>
      </c>
      <c r="L39" s="9" t="s">
        <v>29</v>
      </c>
      <c r="M39" s="9">
        <v>1833.94</v>
      </c>
    </row>
    <row r="40" spans="1:13" x14ac:dyDescent="0.35">
      <c r="A40" s="9">
        <v>2046</v>
      </c>
      <c r="B40" s="9" t="s">
        <v>34</v>
      </c>
      <c r="C40" s="9" t="s">
        <v>20</v>
      </c>
      <c r="D40" s="9" t="s">
        <v>43</v>
      </c>
      <c r="E40" s="9" t="s">
        <v>59</v>
      </c>
      <c r="F40" s="9">
        <v>0</v>
      </c>
      <c r="G40" s="9">
        <v>0</v>
      </c>
      <c r="H40" s="9">
        <v>1.04</v>
      </c>
      <c r="I40" s="9">
        <v>0</v>
      </c>
      <c r="J40" s="10">
        <v>45753</v>
      </c>
      <c r="K40" s="9" t="s">
        <v>45</v>
      </c>
      <c r="L40" s="9" t="s">
        <v>27</v>
      </c>
      <c r="M40" s="9">
        <v>1284.33</v>
      </c>
    </row>
    <row r="41" spans="1:13" x14ac:dyDescent="0.35">
      <c r="A41" s="9">
        <v>2047</v>
      </c>
      <c r="B41" s="9" t="s">
        <v>28</v>
      </c>
      <c r="C41" s="9" t="s">
        <v>18</v>
      </c>
      <c r="D41" s="9" t="s">
        <v>37</v>
      </c>
      <c r="E41" s="9" t="s">
        <v>59</v>
      </c>
      <c r="F41" s="9">
        <v>1</v>
      </c>
      <c r="G41" s="9">
        <v>8577.75</v>
      </c>
      <c r="H41" s="9">
        <v>0</v>
      </c>
      <c r="I41" s="9">
        <v>0</v>
      </c>
      <c r="J41" s="10">
        <v>45456</v>
      </c>
      <c r="K41" s="9" t="s">
        <v>44</v>
      </c>
      <c r="L41" s="9" t="s">
        <v>25</v>
      </c>
      <c r="M41" s="9">
        <v>2888.68</v>
      </c>
    </row>
    <row r="42" spans="1:13" x14ac:dyDescent="0.35">
      <c r="A42" s="9">
        <v>2048</v>
      </c>
      <c r="B42" s="9" t="s">
        <v>28</v>
      </c>
      <c r="C42" s="9" t="s">
        <v>22</v>
      </c>
      <c r="D42" s="9" t="s">
        <v>65</v>
      </c>
      <c r="E42" s="9" t="s">
        <v>62</v>
      </c>
      <c r="F42" s="9">
        <v>0</v>
      </c>
      <c r="G42" s="9">
        <v>0</v>
      </c>
      <c r="H42" s="9">
        <v>0</v>
      </c>
      <c r="I42" s="9">
        <v>0</v>
      </c>
      <c r="J42" s="10">
        <v>45592</v>
      </c>
      <c r="K42" s="9" t="s">
        <v>45</v>
      </c>
      <c r="L42" s="9" t="s">
        <v>25</v>
      </c>
      <c r="M42" s="9">
        <v>2875.86</v>
      </c>
    </row>
    <row r="43" spans="1:13" x14ac:dyDescent="0.35">
      <c r="A43" s="9">
        <v>2049</v>
      </c>
      <c r="B43" s="9" t="s">
        <v>34</v>
      </c>
      <c r="C43" s="9" t="s">
        <v>19</v>
      </c>
      <c r="D43" s="9" t="s">
        <v>42</v>
      </c>
      <c r="E43" s="9" t="s">
        <v>60</v>
      </c>
      <c r="F43" s="9">
        <v>1</v>
      </c>
      <c r="G43" s="9">
        <v>7767.2</v>
      </c>
      <c r="H43" s="9">
        <v>0</v>
      </c>
      <c r="I43" s="9">
        <v>0</v>
      </c>
      <c r="J43" s="10">
        <v>45592</v>
      </c>
      <c r="K43" s="9" t="s">
        <v>44</v>
      </c>
      <c r="L43" s="9" t="s">
        <v>35</v>
      </c>
      <c r="M43" s="9">
        <v>311.48</v>
      </c>
    </row>
    <row r="44" spans="1:13" x14ac:dyDescent="0.35">
      <c r="A44" s="9">
        <v>2050</v>
      </c>
      <c r="B44" s="9" t="s">
        <v>31</v>
      </c>
      <c r="C44" s="9" t="s">
        <v>20</v>
      </c>
      <c r="D44" s="9" t="s">
        <v>43</v>
      </c>
      <c r="E44" s="9" t="s">
        <v>60</v>
      </c>
      <c r="F44" s="9">
        <v>1</v>
      </c>
      <c r="G44" s="9">
        <v>0</v>
      </c>
      <c r="H44" s="9">
        <v>0.56999999999999995</v>
      </c>
      <c r="I44" s="9">
        <v>0</v>
      </c>
      <c r="J44" s="10">
        <v>45592</v>
      </c>
      <c r="K44" s="9" t="s">
        <v>44</v>
      </c>
      <c r="L44" s="9" t="s">
        <v>27</v>
      </c>
      <c r="M44" s="9">
        <v>682.12</v>
      </c>
    </row>
    <row r="45" spans="1:13" x14ac:dyDescent="0.35">
      <c r="A45" s="9">
        <v>2051</v>
      </c>
      <c r="B45" s="9" t="s">
        <v>28</v>
      </c>
      <c r="C45" s="9" t="s">
        <v>22</v>
      </c>
      <c r="D45" s="9" t="s">
        <v>65</v>
      </c>
      <c r="E45" s="9" t="s">
        <v>62</v>
      </c>
      <c r="F45" s="9">
        <v>0</v>
      </c>
      <c r="G45" s="9">
        <v>0</v>
      </c>
      <c r="H45" s="9">
        <v>0.37</v>
      </c>
      <c r="I45" s="9">
        <v>0</v>
      </c>
      <c r="J45" s="10">
        <v>45296</v>
      </c>
      <c r="K45" s="9" t="s">
        <v>44</v>
      </c>
      <c r="L45" s="9" t="s">
        <v>29</v>
      </c>
      <c r="M45" s="9">
        <v>3135.98</v>
      </c>
    </row>
    <row r="46" spans="1:13" x14ac:dyDescent="0.35">
      <c r="A46" s="9">
        <v>2052</v>
      </c>
      <c r="B46" s="9" t="s">
        <v>31</v>
      </c>
      <c r="C46" s="9" t="s">
        <v>18</v>
      </c>
      <c r="D46" s="9" t="s">
        <v>33</v>
      </c>
      <c r="E46" s="9" t="s">
        <v>59</v>
      </c>
      <c r="F46" s="9">
        <v>3</v>
      </c>
      <c r="G46" s="9">
        <v>9155.9599999999991</v>
      </c>
      <c r="H46" s="9">
        <v>0</v>
      </c>
      <c r="I46" s="9">
        <v>0</v>
      </c>
      <c r="J46" s="10">
        <v>45573</v>
      </c>
      <c r="K46" s="9" t="s">
        <v>44</v>
      </c>
      <c r="L46" s="9" t="s">
        <v>35</v>
      </c>
      <c r="M46" s="9">
        <v>2184.8000000000002</v>
      </c>
    </row>
    <row r="47" spans="1:13" x14ac:dyDescent="0.35">
      <c r="A47" s="9">
        <v>2053</v>
      </c>
      <c r="B47" s="9" t="s">
        <v>31</v>
      </c>
      <c r="C47" s="9" t="s">
        <v>21</v>
      </c>
      <c r="D47" s="9" t="s">
        <v>40</v>
      </c>
      <c r="E47" s="9" t="s">
        <v>62</v>
      </c>
      <c r="F47" s="9">
        <v>3</v>
      </c>
      <c r="G47" s="9">
        <v>6009.58</v>
      </c>
      <c r="H47" s="9">
        <v>0</v>
      </c>
      <c r="I47" s="9">
        <v>0</v>
      </c>
      <c r="J47" s="10">
        <v>45567</v>
      </c>
      <c r="K47" s="9" t="s">
        <v>45</v>
      </c>
      <c r="L47" s="9" t="s">
        <v>29</v>
      </c>
      <c r="M47" s="9">
        <v>3384.92</v>
      </c>
    </row>
    <row r="48" spans="1:13" x14ac:dyDescent="0.35">
      <c r="A48" s="9">
        <v>2054</v>
      </c>
      <c r="B48" s="9" t="s">
        <v>28</v>
      </c>
      <c r="C48" s="9" t="s">
        <v>18</v>
      </c>
      <c r="D48" s="9" t="s">
        <v>33</v>
      </c>
      <c r="E48" s="9" t="s">
        <v>59</v>
      </c>
      <c r="F48" s="9">
        <v>-1</v>
      </c>
      <c r="G48" s="9">
        <v>0</v>
      </c>
      <c r="H48" s="9">
        <v>0</v>
      </c>
      <c r="I48" s="9">
        <v>0</v>
      </c>
      <c r="J48" s="10">
        <v>45831</v>
      </c>
      <c r="K48" s="9" t="s">
        <v>45</v>
      </c>
      <c r="L48" s="9" t="s">
        <v>26</v>
      </c>
      <c r="M48" s="9">
        <v>-549.76</v>
      </c>
    </row>
    <row r="49" spans="1:13" x14ac:dyDescent="0.35">
      <c r="A49" s="9">
        <v>2055</v>
      </c>
      <c r="B49" s="9" t="s">
        <v>31</v>
      </c>
      <c r="C49" s="9" t="s">
        <v>22</v>
      </c>
      <c r="D49" s="9" t="s">
        <v>67</v>
      </c>
      <c r="E49" s="9" t="s">
        <v>60</v>
      </c>
      <c r="F49" s="9">
        <v>0</v>
      </c>
      <c r="G49" s="9">
        <v>0</v>
      </c>
      <c r="H49" s="9">
        <v>0</v>
      </c>
      <c r="I49" s="9">
        <v>0</v>
      </c>
      <c r="J49" s="10">
        <v>45591</v>
      </c>
      <c r="K49" s="9" t="s">
        <v>45</v>
      </c>
      <c r="L49" s="9" t="s">
        <v>32</v>
      </c>
      <c r="M49" s="9">
        <v>-1078.76</v>
      </c>
    </row>
    <row r="50" spans="1:13" x14ac:dyDescent="0.35">
      <c r="A50" s="9">
        <v>2056</v>
      </c>
      <c r="B50" s="9" t="s">
        <v>31</v>
      </c>
      <c r="C50" s="9" t="s">
        <v>20</v>
      </c>
      <c r="D50" s="9" t="s">
        <v>61</v>
      </c>
      <c r="E50" s="9" t="s">
        <v>60</v>
      </c>
      <c r="F50" s="9">
        <v>3</v>
      </c>
      <c r="G50" s="9">
        <v>0</v>
      </c>
      <c r="H50" s="9">
        <v>0</v>
      </c>
      <c r="I50" s="9">
        <v>0</v>
      </c>
      <c r="J50" s="10">
        <v>45443</v>
      </c>
      <c r="K50" s="9" t="s">
        <v>44</v>
      </c>
      <c r="L50" s="9" t="s">
        <v>25</v>
      </c>
      <c r="M50" s="9">
        <v>-244.44</v>
      </c>
    </row>
    <row r="51" spans="1:13" x14ac:dyDescent="0.35">
      <c r="A51" s="9">
        <v>2048</v>
      </c>
      <c r="B51" s="9" t="s">
        <v>31</v>
      </c>
      <c r="C51" s="9" t="s">
        <v>21</v>
      </c>
      <c r="D51" s="9" t="s">
        <v>64</v>
      </c>
      <c r="E51" s="9" t="s">
        <v>59</v>
      </c>
      <c r="F51" s="9">
        <v>3</v>
      </c>
      <c r="G51" s="9">
        <v>6216.29</v>
      </c>
      <c r="H51" s="9">
        <v>0.94</v>
      </c>
      <c r="I51" s="9">
        <v>1118.93</v>
      </c>
      <c r="J51" s="10">
        <v>45549</v>
      </c>
      <c r="K51" s="9" t="s">
        <v>45</v>
      </c>
      <c r="L51" s="9" t="s">
        <v>26</v>
      </c>
      <c r="M51" s="9">
        <v>-642.02</v>
      </c>
    </row>
    <row r="52" spans="1:13" x14ac:dyDescent="0.35">
      <c r="A52" s="9">
        <v>2058</v>
      </c>
      <c r="B52" s="9" t="s">
        <v>28</v>
      </c>
      <c r="C52" s="9" t="s">
        <v>18</v>
      </c>
      <c r="D52" s="9" t="s">
        <v>33</v>
      </c>
      <c r="E52" s="9" t="s">
        <v>59</v>
      </c>
      <c r="F52" s="9">
        <v>0</v>
      </c>
      <c r="G52" s="9">
        <v>4985.92</v>
      </c>
      <c r="H52" s="9">
        <v>0</v>
      </c>
      <c r="I52" s="9">
        <v>0</v>
      </c>
      <c r="J52" s="10">
        <v>45549</v>
      </c>
      <c r="K52" s="9" t="s">
        <v>45</v>
      </c>
      <c r="L52" s="9" t="s">
        <v>27</v>
      </c>
      <c r="M52" s="9">
        <v>361.54</v>
      </c>
    </row>
    <row r="53" spans="1:13" x14ac:dyDescent="0.35">
      <c r="A53" s="9">
        <v>2060</v>
      </c>
      <c r="B53" s="9" t="s">
        <v>31</v>
      </c>
      <c r="C53" s="9" t="s">
        <v>21</v>
      </c>
      <c r="D53" s="9" t="s">
        <v>64</v>
      </c>
      <c r="E53" s="9" t="s">
        <v>60</v>
      </c>
      <c r="F53" s="9">
        <v>2</v>
      </c>
      <c r="G53" s="9">
        <v>7979.26</v>
      </c>
      <c r="H53" s="9">
        <v>0</v>
      </c>
      <c r="I53" s="9">
        <v>0</v>
      </c>
      <c r="J53" s="10">
        <v>45484</v>
      </c>
      <c r="K53" s="9" t="s">
        <v>45</v>
      </c>
      <c r="L53" s="9" t="s">
        <v>25</v>
      </c>
      <c r="M53" s="9">
        <v>2821.59</v>
      </c>
    </row>
    <row r="54" spans="1:13" x14ac:dyDescent="0.35">
      <c r="A54" s="9">
        <v>2061</v>
      </c>
      <c r="B54" s="9" t="s">
        <v>28</v>
      </c>
      <c r="C54" s="9" t="s">
        <v>22</v>
      </c>
      <c r="D54" s="9" t="s">
        <v>30</v>
      </c>
      <c r="E54" s="9" t="s">
        <v>60</v>
      </c>
      <c r="F54" s="9">
        <v>0</v>
      </c>
      <c r="G54" s="9">
        <v>0</v>
      </c>
      <c r="H54" s="9">
        <v>0</v>
      </c>
      <c r="I54" s="9">
        <v>0</v>
      </c>
      <c r="J54" s="10">
        <v>45545</v>
      </c>
      <c r="K54" s="9" t="s">
        <v>45</v>
      </c>
      <c r="L54" s="9" t="s">
        <v>26</v>
      </c>
      <c r="M54" s="9">
        <v>-501.68</v>
      </c>
    </row>
    <row r="55" spans="1:13" x14ac:dyDescent="0.35">
      <c r="A55" s="9">
        <v>2063</v>
      </c>
      <c r="B55" s="9" t="s">
        <v>28</v>
      </c>
      <c r="C55" s="9" t="s">
        <v>22</v>
      </c>
      <c r="D55" s="9" t="s">
        <v>65</v>
      </c>
      <c r="E55" s="9" t="s">
        <v>59</v>
      </c>
      <c r="F55" s="9">
        <v>1</v>
      </c>
      <c r="G55" s="9">
        <v>9751</v>
      </c>
      <c r="H55" s="9">
        <v>0.16</v>
      </c>
      <c r="I55" s="9">
        <v>8190.84</v>
      </c>
      <c r="J55" s="10">
        <v>45541</v>
      </c>
      <c r="K55" s="9" t="s">
        <v>44</v>
      </c>
      <c r="L55" s="9" t="s">
        <v>35</v>
      </c>
      <c r="M55" s="9">
        <v>1130.31</v>
      </c>
    </row>
    <row r="56" spans="1:13" x14ac:dyDescent="0.35">
      <c r="A56" s="9">
        <v>2064</v>
      </c>
      <c r="B56" s="9" t="s">
        <v>34</v>
      </c>
      <c r="C56" s="9" t="s">
        <v>20</v>
      </c>
      <c r="D56" s="9" t="s">
        <v>61</v>
      </c>
      <c r="E56" s="9" t="s">
        <v>60</v>
      </c>
      <c r="F56" s="9">
        <v>2</v>
      </c>
      <c r="G56" s="9">
        <v>7557.71</v>
      </c>
      <c r="H56" s="9">
        <v>0</v>
      </c>
      <c r="I56" s="9">
        <v>0</v>
      </c>
      <c r="J56" s="10">
        <v>45718</v>
      </c>
      <c r="K56" s="9" t="s">
        <v>45</v>
      </c>
      <c r="L56" s="9" t="s">
        <v>25</v>
      </c>
      <c r="M56" s="9">
        <v>3277.44</v>
      </c>
    </row>
    <row r="57" spans="1:13" x14ac:dyDescent="0.35">
      <c r="A57" s="9">
        <v>2065</v>
      </c>
      <c r="B57" s="9" t="s">
        <v>28</v>
      </c>
      <c r="C57" s="9" t="s">
        <v>21</v>
      </c>
      <c r="D57" s="9" t="s">
        <v>64</v>
      </c>
      <c r="E57" s="9" t="s">
        <v>59</v>
      </c>
      <c r="F57" s="9">
        <v>0</v>
      </c>
      <c r="G57" s="9">
        <v>0</v>
      </c>
      <c r="H57" s="9">
        <v>0.78</v>
      </c>
      <c r="I57" s="9">
        <v>0</v>
      </c>
      <c r="J57" s="10">
        <v>45333</v>
      </c>
      <c r="K57" s="9" t="s">
        <v>44</v>
      </c>
      <c r="L57" s="9" t="s">
        <v>32</v>
      </c>
      <c r="M57" s="9">
        <v>21.58</v>
      </c>
    </row>
    <row r="58" spans="1:13" x14ac:dyDescent="0.35">
      <c r="A58" s="9">
        <v>2066</v>
      </c>
      <c r="B58" s="9" t="s">
        <v>31</v>
      </c>
      <c r="C58" s="9" t="s">
        <v>19</v>
      </c>
      <c r="D58" s="9" t="s">
        <v>69</v>
      </c>
      <c r="E58" s="9" t="s">
        <v>62</v>
      </c>
      <c r="F58" s="9">
        <v>-1</v>
      </c>
      <c r="G58" s="9">
        <v>5259.05</v>
      </c>
      <c r="H58" s="9">
        <v>0</v>
      </c>
      <c r="I58" s="9">
        <v>0</v>
      </c>
      <c r="J58" s="10">
        <v>45636</v>
      </c>
      <c r="K58" s="9" t="s">
        <v>45</v>
      </c>
      <c r="L58" s="9" t="s">
        <v>26</v>
      </c>
      <c r="M58" s="9">
        <v>1022.82</v>
      </c>
    </row>
    <row r="59" spans="1:13" x14ac:dyDescent="0.35">
      <c r="A59" s="9">
        <v>2067</v>
      </c>
      <c r="B59" s="9" t="s">
        <v>34</v>
      </c>
      <c r="C59" s="9" t="s">
        <v>22</v>
      </c>
      <c r="D59" s="9" t="s">
        <v>30</v>
      </c>
      <c r="E59" s="9" t="s">
        <v>60</v>
      </c>
      <c r="F59" s="9">
        <v>4</v>
      </c>
      <c r="G59" s="9">
        <v>3588.38</v>
      </c>
      <c r="H59" s="9">
        <v>0</v>
      </c>
      <c r="I59" s="9">
        <v>0</v>
      </c>
      <c r="J59" s="10">
        <v>45783</v>
      </c>
      <c r="K59" s="9" t="s">
        <v>45</v>
      </c>
      <c r="L59" s="9" t="s">
        <v>27</v>
      </c>
      <c r="M59" s="9">
        <v>161.5</v>
      </c>
    </row>
    <row r="60" spans="1:13" x14ac:dyDescent="0.35">
      <c r="A60" s="9">
        <v>2070</v>
      </c>
      <c r="B60" s="9" t="s">
        <v>34</v>
      </c>
      <c r="C60" s="9" t="s">
        <v>20</v>
      </c>
      <c r="D60" s="9" t="s">
        <v>61</v>
      </c>
      <c r="E60" s="9" t="s">
        <v>60</v>
      </c>
      <c r="F60" s="9">
        <v>0</v>
      </c>
      <c r="G60" s="9">
        <v>0</v>
      </c>
      <c r="H60" s="9">
        <v>0</v>
      </c>
      <c r="I60" s="9">
        <v>0</v>
      </c>
      <c r="J60" s="10">
        <v>45783</v>
      </c>
      <c r="K60" s="9" t="s">
        <v>44</v>
      </c>
      <c r="L60" s="9" t="s">
        <v>26</v>
      </c>
      <c r="M60" s="9">
        <v>1112.43</v>
      </c>
    </row>
    <row r="61" spans="1:13" x14ac:dyDescent="0.35">
      <c r="A61" s="9">
        <v>2071</v>
      </c>
      <c r="B61" s="9" t="s">
        <v>34</v>
      </c>
      <c r="C61" s="9" t="s">
        <v>21</v>
      </c>
      <c r="D61" s="9" t="s">
        <v>36</v>
      </c>
      <c r="E61" s="9" t="s">
        <v>59</v>
      </c>
      <c r="F61" s="9">
        <v>3</v>
      </c>
      <c r="G61" s="9">
        <v>7849.81</v>
      </c>
      <c r="H61" s="9">
        <v>0.49</v>
      </c>
      <c r="I61" s="9">
        <v>12010.21</v>
      </c>
      <c r="J61" s="10">
        <v>45669</v>
      </c>
      <c r="K61" s="9" t="s">
        <v>44</v>
      </c>
      <c r="L61" s="9" t="s">
        <v>35</v>
      </c>
      <c r="M61" s="9">
        <v>-882.96</v>
      </c>
    </row>
    <row r="62" spans="1:13" x14ac:dyDescent="0.35">
      <c r="A62" s="9">
        <v>2073</v>
      </c>
      <c r="B62" s="9" t="s">
        <v>28</v>
      </c>
      <c r="C62" s="9" t="s">
        <v>21</v>
      </c>
      <c r="D62" s="9" t="s">
        <v>36</v>
      </c>
      <c r="E62" s="9" t="s">
        <v>59</v>
      </c>
      <c r="F62" s="9">
        <v>4</v>
      </c>
      <c r="G62" s="9">
        <v>0</v>
      </c>
      <c r="H62" s="9">
        <v>0.85</v>
      </c>
      <c r="I62" s="9">
        <v>0</v>
      </c>
      <c r="J62" s="10">
        <v>45599</v>
      </c>
      <c r="K62" s="9" t="s">
        <v>45</v>
      </c>
      <c r="L62" s="9" t="s">
        <v>32</v>
      </c>
      <c r="M62" s="9">
        <v>443.86</v>
      </c>
    </row>
    <row r="63" spans="1:13" x14ac:dyDescent="0.35">
      <c r="A63" s="9">
        <v>2074</v>
      </c>
      <c r="B63" s="9" t="s">
        <v>31</v>
      </c>
      <c r="C63" s="9" t="s">
        <v>18</v>
      </c>
      <c r="D63" s="9" t="s">
        <v>33</v>
      </c>
      <c r="E63" s="9" t="s">
        <v>60</v>
      </c>
      <c r="F63" s="9">
        <v>-1</v>
      </c>
      <c r="G63" s="9">
        <v>0</v>
      </c>
      <c r="H63" s="9">
        <v>0.56999999999999995</v>
      </c>
      <c r="I63" s="9">
        <v>0</v>
      </c>
      <c r="J63" s="10">
        <v>45599</v>
      </c>
      <c r="K63" s="9" t="s">
        <v>45</v>
      </c>
      <c r="L63" s="9" t="s">
        <v>27</v>
      </c>
      <c r="M63" s="9">
        <v>1958.47</v>
      </c>
    </row>
    <row r="64" spans="1:13" x14ac:dyDescent="0.35">
      <c r="A64" s="9">
        <v>2075</v>
      </c>
      <c r="B64" s="9" t="s">
        <v>34</v>
      </c>
      <c r="C64" s="9" t="s">
        <v>22</v>
      </c>
      <c r="D64" s="9" t="s">
        <v>65</v>
      </c>
      <c r="E64" s="9" t="s">
        <v>60</v>
      </c>
      <c r="F64" s="9">
        <v>4</v>
      </c>
      <c r="G64" s="9">
        <v>4251.74</v>
      </c>
      <c r="H64" s="9">
        <v>0</v>
      </c>
      <c r="I64" s="9">
        <v>0</v>
      </c>
      <c r="J64" s="10">
        <v>45852</v>
      </c>
      <c r="K64" s="9" t="s">
        <v>45</v>
      </c>
      <c r="L64" s="9" t="s">
        <v>35</v>
      </c>
      <c r="M64" s="9">
        <v>2345.35</v>
      </c>
    </row>
    <row r="65" spans="1:13" x14ac:dyDescent="0.35">
      <c r="A65" s="9">
        <v>2076</v>
      </c>
      <c r="B65" s="9" t="s">
        <v>28</v>
      </c>
      <c r="C65" s="9" t="s">
        <v>18</v>
      </c>
      <c r="D65" s="9" t="s">
        <v>38</v>
      </c>
      <c r="E65" s="9" t="s">
        <v>59</v>
      </c>
      <c r="F65" s="9">
        <v>0</v>
      </c>
      <c r="G65" s="9">
        <v>0</v>
      </c>
      <c r="H65" s="9">
        <v>0</v>
      </c>
      <c r="I65" s="9">
        <v>0</v>
      </c>
      <c r="J65" s="10">
        <v>45578</v>
      </c>
      <c r="K65" s="9" t="s">
        <v>44</v>
      </c>
      <c r="L65" s="9" t="s">
        <v>25</v>
      </c>
      <c r="M65" s="9">
        <v>2011.25</v>
      </c>
    </row>
    <row r="66" spans="1:13" x14ac:dyDescent="0.35">
      <c r="A66" s="9">
        <v>2077</v>
      </c>
      <c r="B66" s="9" t="s">
        <v>31</v>
      </c>
      <c r="C66" s="9" t="s">
        <v>18</v>
      </c>
      <c r="D66" s="9" t="s">
        <v>38</v>
      </c>
      <c r="E66" s="9" t="s">
        <v>60</v>
      </c>
      <c r="F66" s="9">
        <v>0</v>
      </c>
      <c r="G66" s="9">
        <v>0</v>
      </c>
      <c r="H66" s="9">
        <v>0</v>
      </c>
      <c r="I66" s="9">
        <v>0</v>
      </c>
      <c r="J66" s="10">
        <v>45251</v>
      </c>
      <c r="K66" s="9" t="s">
        <v>45</v>
      </c>
      <c r="L66" s="9" t="s">
        <v>35</v>
      </c>
      <c r="M66" s="9">
        <v>3332.66</v>
      </c>
    </row>
    <row r="67" spans="1:13" x14ac:dyDescent="0.35">
      <c r="A67" s="9">
        <v>2079</v>
      </c>
      <c r="B67" s="9" t="s">
        <v>31</v>
      </c>
      <c r="C67" s="9" t="s">
        <v>20</v>
      </c>
      <c r="D67" s="9" t="s">
        <v>70</v>
      </c>
      <c r="E67" s="9" t="s">
        <v>62</v>
      </c>
      <c r="F67" s="9">
        <v>-1</v>
      </c>
      <c r="G67" s="9">
        <v>4322.0600000000004</v>
      </c>
      <c r="H67" s="9">
        <v>0</v>
      </c>
      <c r="I67" s="9">
        <v>0</v>
      </c>
      <c r="J67" s="10">
        <v>45676</v>
      </c>
      <c r="K67" s="9" t="s">
        <v>45</v>
      </c>
      <c r="L67" s="9" t="s">
        <v>25</v>
      </c>
      <c r="M67" s="9">
        <v>279.77999999999997</v>
      </c>
    </row>
    <row r="68" spans="1:13" x14ac:dyDescent="0.35">
      <c r="A68" s="9">
        <v>2080</v>
      </c>
      <c r="B68" s="9" t="s">
        <v>31</v>
      </c>
      <c r="C68" s="9" t="s">
        <v>21</v>
      </c>
      <c r="D68" s="9" t="s">
        <v>36</v>
      </c>
      <c r="E68" s="9" t="s">
        <v>60</v>
      </c>
      <c r="F68" s="9">
        <v>0</v>
      </c>
      <c r="G68" s="9">
        <v>0</v>
      </c>
      <c r="H68" s="9">
        <v>0</v>
      </c>
      <c r="I68" s="9">
        <v>0</v>
      </c>
      <c r="J68" s="10">
        <v>45747</v>
      </c>
      <c r="K68" s="9" t="s">
        <v>45</v>
      </c>
      <c r="L68" s="9" t="s">
        <v>25</v>
      </c>
      <c r="M68" s="9">
        <v>-1005.89</v>
      </c>
    </row>
    <row r="69" spans="1:13" x14ac:dyDescent="0.35">
      <c r="A69" s="9">
        <v>2081</v>
      </c>
      <c r="B69" s="9" t="s">
        <v>31</v>
      </c>
      <c r="C69" s="9" t="s">
        <v>18</v>
      </c>
      <c r="D69" s="9" t="s">
        <v>38</v>
      </c>
      <c r="E69" s="9" t="s">
        <v>60</v>
      </c>
      <c r="F69" s="9">
        <v>0</v>
      </c>
      <c r="G69" s="9">
        <v>0</v>
      </c>
      <c r="H69" s="9">
        <v>0</v>
      </c>
      <c r="I69" s="9">
        <v>0</v>
      </c>
      <c r="J69" s="10">
        <v>45747</v>
      </c>
      <c r="K69" s="9" t="s">
        <v>45</v>
      </c>
      <c r="L69" s="9" t="s">
        <v>26</v>
      </c>
      <c r="M69" s="9">
        <v>2810.49</v>
      </c>
    </row>
    <row r="70" spans="1:13" x14ac:dyDescent="0.35">
      <c r="A70" s="9">
        <v>2084</v>
      </c>
      <c r="B70" s="9" t="s">
        <v>31</v>
      </c>
      <c r="C70" s="9" t="s">
        <v>18</v>
      </c>
      <c r="D70" s="9" t="s">
        <v>41</v>
      </c>
      <c r="E70" s="9" t="s">
        <v>59</v>
      </c>
      <c r="F70" s="9">
        <v>2</v>
      </c>
      <c r="G70" s="9">
        <v>0</v>
      </c>
      <c r="H70" s="9">
        <v>0</v>
      </c>
      <c r="I70" s="9">
        <v>0</v>
      </c>
      <c r="J70" s="10">
        <v>45284</v>
      </c>
      <c r="K70" s="9" t="s">
        <v>45</v>
      </c>
      <c r="L70" s="9" t="s">
        <v>26</v>
      </c>
      <c r="M70" s="9">
        <v>408.39</v>
      </c>
    </row>
    <row r="71" spans="1:13" x14ac:dyDescent="0.35">
      <c r="A71" s="9">
        <v>2086</v>
      </c>
      <c r="B71" s="9" t="s">
        <v>31</v>
      </c>
      <c r="C71" s="9" t="s">
        <v>19</v>
      </c>
      <c r="D71" s="9" t="s">
        <v>63</v>
      </c>
      <c r="E71" s="9" t="s">
        <v>60</v>
      </c>
      <c r="F71" s="9">
        <v>0</v>
      </c>
      <c r="G71" s="9">
        <v>0</v>
      </c>
      <c r="H71" s="9">
        <v>0.45</v>
      </c>
      <c r="I71" s="9">
        <v>0</v>
      </c>
      <c r="J71" s="10">
        <v>45576</v>
      </c>
      <c r="K71" s="9" t="s">
        <v>45</v>
      </c>
      <c r="L71" s="9" t="s">
        <v>27</v>
      </c>
      <c r="M71" s="9">
        <v>1742.66</v>
      </c>
    </row>
    <row r="72" spans="1:13" x14ac:dyDescent="0.35">
      <c r="A72" s="9">
        <v>2088</v>
      </c>
      <c r="B72" s="9" t="s">
        <v>28</v>
      </c>
      <c r="C72" s="9" t="s">
        <v>20</v>
      </c>
      <c r="D72" s="9" t="s">
        <v>66</v>
      </c>
      <c r="E72" s="9" t="s">
        <v>62</v>
      </c>
      <c r="F72" s="9">
        <v>4</v>
      </c>
      <c r="G72" s="9">
        <v>0</v>
      </c>
      <c r="H72" s="9">
        <v>0</v>
      </c>
      <c r="I72" s="9">
        <v>0</v>
      </c>
      <c r="J72" s="10">
        <v>45773</v>
      </c>
      <c r="K72" s="9" t="s">
        <v>45</v>
      </c>
      <c r="L72" s="9" t="s">
        <v>25</v>
      </c>
      <c r="M72" s="9">
        <v>2702.93</v>
      </c>
    </row>
    <row r="73" spans="1:13" x14ac:dyDescent="0.35">
      <c r="A73" s="9">
        <v>2089</v>
      </c>
      <c r="B73" s="9" t="s">
        <v>28</v>
      </c>
      <c r="C73" s="9" t="s">
        <v>18</v>
      </c>
      <c r="D73" s="9" t="s">
        <v>33</v>
      </c>
      <c r="E73" s="9" t="s">
        <v>60</v>
      </c>
      <c r="F73" s="9">
        <v>2</v>
      </c>
      <c r="G73" s="9">
        <v>6874.77</v>
      </c>
      <c r="H73" s="9">
        <v>0.6</v>
      </c>
      <c r="I73" s="9">
        <v>5499.82</v>
      </c>
      <c r="J73" s="10">
        <v>45628</v>
      </c>
      <c r="K73" s="9" t="s">
        <v>45</v>
      </c>
      <c r="L73" s="9" t="s">
        <v>26</v>
      </c>
      <c r="M73" s="9">
        <v>-1076.6600000000001</v>
      </c>
    </row>
    <row r="74" spans="1:13" x14ac:dyDescent="0.35">
      <c r="A74" s="9">
        <v>2090</v>
      </c>
      <c r="B74" s="9" t="s">
        <v>34</v>
      </c>
      <c r="C74" s="9" t="s">
        <v>21</v>
      </c>
      <c r="D74" s="9" t="s">
        <v>71</v>
      </c>
      <c r="E74" s="9" t="s">
        <v>59</v>
      </c>
      <c r="F74" s="9">
        <v>0</v>
      </c>
      <c r="G74" s="9">
        <v>0</v>
      </c>
      <c r="H74" s="9">
        <v>0</v>
      </c>
      <c r="I74" s="9">
        <v>0</v>
      </c>
      <c r="J74" s="10">
        <v>45628</v>
      </c>
      <c r="K74" s="9" t="s">
        <v>44</v>
      </c>
      <c r="L74" s="9" t="s">
        <v>25</v>
      </c>
      <c r="M74" s="9">
        <v>163.15</v>
      </c>
    </row>
    <row r="75" spans="1:13" x14ac:dyDescent="0.35">
      <c r="A75" s="9">
        <v>2091</v>
      </c>
      <c r="B75" s="9" t="s">
        <v>34</v>
      </c>
      <c r="C75" s="9" t="s">
        <v>20</v>
      </c>
      <c r="D75" s="9" t="s">
        <v>43</v>
      </c>
      <c r="E75" s="9" t="s">
        <v>59</v>
      </c>
      <c r="F75" s="9">
        <v>0</v>
      </c>
      <c r="G75" s="9">
        <v>9246.8799999999992</v>
      </c>
      <c r="H75" s="9">
        <v>0</v>
      </c>
      <c r="I75" s="9">
        <v>0</v>
      </c>
      <c r="J75" s="10">
        <v>45628</v>
      </c>
      <c r="K75" s="9" t="s">
        <v>44</v>
      </c>
      <c r="L75" s="9" t="s">
        <v>26</v>
      </c>
      <c r="M75" s="9">
        <v>1917.55</v>
      </c>
    </row>
    <row r="76" spans="1:13" x14ac:dyDescent="0.35">
      <c r="A76" s="9">
        <v>2092</v>
      </c>
      <c r="B76" s="9" t="s">
        <v>34</v>
      </c>
      <c r="C76" s="9" t="s">
        <v>22</v>
      </c>
      <c r="D76" s="9" t="s">
        <v>68</v>
      </c>
      <c r="E76" s="9" t="s">
        <v>62</v>
      </c>
      <c r="F76" s="9">
        <v>2</v>
      </c>
      <c r="G76" s="9">
        <v>0</v>
      </c>
      <c r="H76" s="9">
        <v>1.1299999999999999</v>
      </c>
      <c r="I76" s="9">
        <v>0</v>
      </c>
      <c r="J76" s="10">
        <v>45628</v>
      </c>
      <c r="K76" s="9" t="s">
        <v>45</v>
      </c>
      <c r="L76" s="9" t="s">
        <v>29</v>
      </c>
      <c r="M76" s="9">
        <v>207.2</v>
      </c>
    </row>
    <row r="77" spans="1:13" x14ac:dyDescent="0.35">
      <c r="A77" s="9">
        <v>2093</v>
      </c>
      <c r="B77" s="9" t="s">
        <v>31</v>
      </c>
      <c r="C77" s="9" t="s">
        <v>20</v>
      </c>
      <c r="D77" s="9" t="s">
        <v>66</v>
      </c>
      <c r="E77" s="9" t="s">
        <v>62</v>
      </c>
      <c r="F77" s="9">
        <v>0</v>
      </c>
      <c r="G77" s="9">
        <v>0</v>
      </c>
      <c r="H77" s="9">
        <v>0.28999999999999998</v>
      </c>
      <c r="I77" s="9">
        <v>0</v>
      </c>
      <c r="J77" s="10">
        <v>45628</v>
      </c>
      <c r="K77" s="9" t="s">
        <v>45</v>
      </c>
      <c r="L77" s="9" t="s">
        <v>27</v>
      </c>
      <c r="M77" s="9">
        <v>-146.72999999999999</v>
      </c>
    </row>
    <row r="78" spans="1:13" x14ac:dyDescent="0.35">
      <c r="A78" s="9">
        <v>2094</v>
      </c>
      <c r="B78" s="9" t="s">
        <v>34</v>
      </c>
      <c r="C78" s="9" t="s">
        <v>18</v>
      </c>
      <c r="D78" s="9" t="s">
        <v>33</v>
      </c>
      <c r="E78" s="9" t="s">
        <v>59</v>
      </c>
      <c r="F78" s="9">
        <v>1</v>
      </c>
      <c r="G78" s="9">
        <v>4276.3599999999997</v>
      </c>
      <c r="H78" s="9">
        <v>0</v>
      </c>
      <c r="I78" s="9">
        <v>0</v>
      </c>
      <c r="J78" s="10">
        <v>45606</v>
      </c>
      <c r="K78" s="9" t="s">
        <v>44</v>
      </c>
      <c r="L78" s="9" t="s">
        <v>29</v>
      </c>
      <c r="M78" s="9">
        <v>2974.58</v>
      </c>
    </row>
    <row r="79" spans="1:13" x14ac:dyDescent="0.35">
      <c r="A79" s="9">
        <v>2095</v>
      </c>
      <c r="B79" s="9" t="s">
        <v>31</v>
      </c>
      <c r="C79" s="9" t="s">
        <v>21</v>
      </c>
      <c r="D79" s="9" t="s">
        <v>64</v>
      </c>
      <c r="E79" s="9" t="s">
        <v>59</v>
      </c>
      <c r="F79" s="9">
        <v>0</v>
      </c>
      <c r="G79" s="9">
        <v>0</v>
      </c>
      <c r="H79" s="9">
        <v>0</v>
      </c>
      <c r="I79" s="9">
        <v>0</v>
      </c>
      <c r="J79" s="10">
        <v>45581</v>
      </c>
      <c r="K79" s="9" t="s">
        <v>45</v>
      </c>
      <c r="L79" s="9" t="s">
        <v>29</v>
      </c>
      <c r="M79" s="9">
        <v>880.57</v>
      </c>
    </row>
    <row r="80" spans="1:13" x14ac:dyDescent="0.35">
      <c r="A80" s="9">
        <v>2096</v>
      </c>
      <c r="B80" s="9" t="s">
        <v>31</v>
      </c>
      <c r="C80" s="9" t="s">
        <v>20</v>
      </c>
      <c r="D80" s="9" t="s">
        <v>70</v>
      </c>
      <c r="E80" s="9" t="s">
        <v>62</v>
      </c>
      <c r="F80" s="9">
        <v>2</v>
      </c>
      <c r="G80" s="9">
        <v>0</v>
      </c>
      <c r="H80" s="9">
        <v>0</v>
      </c>
      <c r="I80" s="9">
        <v>0</v>
      </c>
      <c r="J80" s="10">
        <v>45650</v>
      </c>
      <c r="K80" s="9" t="s">
        <v>45</v>
      </c>
      <c r="L80" s="9" t="s">
        <v>27</v>
      </c>
      <c r="M80" s="9">
        <v>288.66000000000003</v>
      </c>
    </row>
    <row r="81" spans="1:13" x14ac:dyDescent="0.35">
      <c r="A81" s="9">
        <v>2097</v>
      </c>
      <c r="B81" s="9" t="s">
        <v>28</v>
      </c>
      <c r="C81" s="9" t="s">
        <v>18</v>
      </c>
      <c r="D81" s="9" t="s">
        <v>38</v>
      </c>
      <c r="E81" s="9" t="s">
        <v>62</v>
      </c>
      <c r="F81" s="9">
        <v>0</v>
      </c>
      <c r="G81" s="9">
        <v>7978.89</v>
      </c>
      <c r="H81" s="9">
        <v>0</v>
      </c>
      <c r="I81" s="9">
        <v>0</v>
      </c>
      <c r="J81" s="10">
        <v>45650</v>
      </c>
      <c r="K81" s="9" t="s">
        <v>45</v>
      </c>
      <c r="L81" s="9" t="s">
        <v>25</v>
      </c>
      <c r="M81" s="9">
        <v>769.05</v>
      </c>
    </row>
    <row r="82" spans="1:13" x14ac:dyDescent="0.35">
      <c r="A82" s="9">
        <v>2098</v>
      </c>
      <c r="B82" s="9" t="s">
        <v>31</v>
      </c>
      <c r="C82" s="9" t="s">
        <v>18</v>
      </c>
      <c r="D82" s="9" t="s">
        <v>38</v>
      </c>
      <c r="E82" s="9" t="s">
        <v>60</v>
      </c>
      <c r="F82" s="9">
        <v>0</v>
      </c>
      <c r="G82" s="9">
        <v>5690.69</v>
      </c>
      <c r="H82" s="9">
        <v>0.69</v>
      </c>
      <c r="I82" s="9">
        <v>0</v>
      </c>
      <c r="J82" s="10">
        <v>45315</v>
      </c>
      <c r="K82" s="9" t="s">
        <v>45</v>
      </c>
      <c r="L82" s="9" t="s">
        <v>32</v>
      </c>
      <c r="M82" s="9">
        <v>98.3</v>
      </c>
    </row>
    <row r="83" spans="1:13" x14ac:dyDescent="0.35">
      <c r="A83" s="9">
        <v>2099</v>
      </c>
      <c r="B83" s="9" t="s">
        <v>34</v>
      </c>
      <c r="C83" s="9" t="s">
        <v>19</v>
      </c>
      <c r="D83" s="9" t="s">
        <v>63</v>
      </c>
      <c r="E83" s="9" t="s">
        <v>59</v>
      </c>
      <c r="F83" s="9">
        <v>2</v>
      </c>
      <c r="G83" s="9">
        <v>0</v>
      </c>
      <c r="H83" s="9">
        <v>0.32</v>
      </c>
      <c r="I83" s="9">
        <v>0</v>
      </c>
      <c r="J83" s="10">
        <v>45689</v>
      </c>
      <c r="K83" s="9" t="s">
        <v>44</v>
      </c>
      <c r="L83" s="9" t="s">
        <v>26</v>
      </c>
      <c r="M83" s="9">
        <v>360.97</v>
      </c>
    </row>
    <row r="84" spans="1:13" x14ac:dyDescent="0.35">
      <c r="A84" s="9">
        <v>2100</v>
      </c>
      <c r="B84" s="9" t="s">
        <v>34</v>
      </c>
      <c r="C84" s="9" t="s">
        <v>19</v>
      </c>
      <c r="D84" s="9" t="s">
        <v>69</v>
      </c>
      <c r="E84" s="9" t="s">
        <v>59</v>
      </c>
      <c r="F84" s="9">
        <v>1</v>
      </c>
      <c r="G84" s="9">
        <v>5937.52</v>
      </c>
      <c r="H84" s="9">
        <v>0</v>
      </c>
      <c r="I84" s="9">
        <v>0</v>
      </c>
      <c r="J84" s="10">
        <v>45849</v>
      </c>
      <c r="K84" s="9" t="s">
        <v>44</v>
      </c>
      <c r="L84" s="9" t="s">
        <v>26</v>
      </c>
      <c r="M84" s="9">
        <v>2287.5700000000002</v>
      </c>
    </row>
    <row r="85" spans="1:13" x14ac:dyDescent="0.35">
      <c r="A85" s="9">
        <v>2101</v>
      </c>
      <c r="B85" s="9" t="s">
        <v>34</v>
      </c>
      <c r="C85" s="9" t="s">
        <v>20</v>
      </c>
      <c r="D85" s="9" t="s">
        <v>66</v>
      </c>
      <c r="E85" s="9" t="s">
        <v>62</v>
      </c>
      <c r="F85" s="9">
        <v>0</v>
      </c>
      <c r="G85" s="9">
        <v>2010.07</v>
      </c>
      <c r="H85" s="9">
        <v>0</v>
      </c>
      <c r="I85" s="9">
        <v>0</v>
      </c>
      <c r="J85" s="10">
        <v>45841</v>
      </c>
      <c r="K85" s="9" t="s">
        <v>45</v>
      </c>
      <c r="L85" s="9" t="s">
        <v>32</v>
      </c>
      <c r="M85" s="9">
        <v>3398.01</v>
      </c>
    </row>
    <row r="86" spans="1:13" x14ac:dyDescent="0.35">
      <c r="A86" s="9">
        <v>2102</v>
      </c>
      <c r="B86" s="9" t="s">
        <v>28</v>
      </c>
      <c r="C86" s="9" t="s">
        <v>19</v>
      </c>
      <c r="D86" s="9" t="s">
        <v>63</v>
      </c>
      <c r="E86" s="9" t="s">
        <v>62</v>
      </c>
      <c r="F86" s="9">
        <v>-1</v>
      </c>
      <c r="G86" s="9">
        <v>0</v>
      </c>
      <c r="H86" s="9">
        <v>0.77</v>
      </c>
      <c r="I86" s="9">
        <v>0</v>
      </c>
      <c r="J86" s="10">
        <v>45757</v>
      </c>
      <c r="K86" s="9" t="s">
        <v>45</v>
      </c>
      <c r="L86" s="9" t="s">
        <v>35</v>
      </c>
      <c r="M86" s="9">
        <v>284.17</v>
      </c>
    </row>
    <row r="87" spans="1:13" x14ac:dyDescent="0.35">
      <c r="A87" s="9">
        <v>2103</v>
      </c>
      <c r="B87" s="9" t="s">
        <v>28</v>
      </c>
      <c r="C87" s="9" t="s">
        <v>22</v>
      </c>
      <c r="D87" s="9" t="s">
        <v>30</v>
      </c>
      <c r="E87" s="9" t="s">
        <v>62</v>
      </c>
      <c r="F87" s="9">
        <v>-1</v>
      </c>
      <c r="G87" s="9">
        <v>6777.88</v>
      </c>
      <c r="H87" s="9">
        <v>0</v>
      </c>
      <c r="I87" s="9">
        <v>0</v>
      </c>
      <c r="J87" s="10">
        <v>45665</v>
      </c>
      <c r="K87" s="9" t="s">
        <v>45</v>
      </c>
      <c r="L87" s="9" t="s">
        <v>27</v>
      </c>
      <c r="M87" s="9">
        <v>469.61</v>
      </c>
    </row>
    <row r="88" spans="1:13" x14ac:dyDescent="0.35">
      <c r="A88" s="9">
        <v>2107</v>
      </c>
      <c r="B88" s="9" t="s">
        <v>28</v>
      </c>
      <c r="C88" s="9" t="s">
        <v>20</v>
      </c>
      <c r="D88" s="9" t="s">
        <v>61</v>
      </c>
      <c r="E88" s="9" t="s">
        <v>59</v>
      </c>
      <c r="F88" s="9">
        <v>4</v>
      </c>
      <c r="G88" s="9">
        <v>0</v>
      </c>
      <c r="H88" s="9">
        <v>0</v>
      </c>
      <c r="I88" s="9">
        <v>0</v>
      </c>
      <c r="J88" s="10">
        <v>45534</v>
      </c>
      <c r="K88" s="9" t="s">
        <v>45</v>
      </c>
      <c r="L88" s="9" t="s">
        <v>32</v>
      </c>
      <c r="M88" s="9">
        <v>-184.69</v>
      </c>
    </row>
    <row r="89" spans="1:13" x14ac:dyDescent="0.35">
      <c r="A89" s="9">
        <v>2108</v>
      </c>
      <c r="B89" s="9" t="s">
        <v>34</v>
      </c>
      <c r="C89" s="9" t="s">
        <v>21</v>
      </c>
      <c r="D89" s="9" t="s">
        <v>40</v>
      </c>
      <c r="E89" s="9" t="s">
        <v>62</v>
      </c>
      <c r="F89" s="9">
        <v>0</v>
      </c>
      <c r="G89" s="9">
        <v>0</v>
      </c>
      <c r="H89" s="9">
        <v>0.27</v>
      </c>
      <c r="I89" s="9">
        <v>0</v>
      </c>
      <c r="J89" s="10">
        <v>45611</v>
      </c>
      <c r="K89" s="9" t="s">
        <v>44</v>
      </c>
      <c r="L89" s="9" t="s">
        <v>26</v>
      </c>
      <c r="M89" s="9">
        <v>-338.77</v>
      </c>
    </row>
    <row r="90" spans="1:13" x14ac:dyDescent="0.35">
      <c r="A90" s="9">
        <v>2109</v>
      </c>
      <c r="B90" s="9" t="s">
        <v>34</v>
      </c>
      <c r="C90" s="9" t="s">
        <v>22</v>
      </c>
      <c r="D90" s="9" t="s">
        <v>68</v>
      </c>
      <c r="E90" s="9" t="s">
        <v>59</v>
      </c>
      <c r="F90" s="9">
        <v>0</v>
      </c>
      <c r="G90" s="9">
        <v>0</v>
      </c>
      <c r="H90" s="9">
        <v>0</v>
      </c>
      <c r="I90" s="9">
        <v>0</v>
      </c>
      <c r="J90" s="10">
        <v>45686</v>
      </c>
      <c r="K90" s="9" t="s">
        <v>44</v>
      </c>
      <c r="L90" s="9" t="s">
        <v>27</v>
      </c>
      <c r="M90" s="9">
        <v>3791.88</v>
      </c>
    </row>
    <row r="91" spans="1:13" x14ac:dyDescent="0.35">
      <c r="A91" s="9">
        <v>2110</v>
      </c>
      <c r="B91" s="9" t="s">
        <v>34</v>
      </c>
      <c r="C91" s="9" t="s">
        <v>20</v>
      </c>
      <c r="D91" s="9" t="s">
        <v>43</v>
      </c>
      <c r="E91" s="9" t="s">
        <v>59</v>
      </c>
      <c r="F91" s="9">
        <v>1</v>
      </c>
      <c r="G91" s="9">
        <v>0</v>
      </c>
      <c r="H91" s="9">
        <v>0.42</v>
      </c>
      <c r="I91" s="9">
        <v>0</v>
      </c>
      <c r="J91" s="10">
        <v>45651</v>
      </c>
      <c r="K91" s="9" t="s">
        <v>44</v>
      </c>
      <c r="L91" s="9" t="s">
        <v>35</v>
      </c>
      <c r="M91" s="9">
        <v>-259.29000000000002</v>
      </c>
    </row>
    <row r="92" spans="1:13" x14ac:dyDescent="0.35">
      <c r="A92" s="9">
        <v>2113</v>
      </c>
      <c r="B92" s="9" t="s">
        <v>28</v>
      </c>
      <c r="C92" s="9" t="s">
        <v>22</v>
      </c>
      <c r="D92" s="9" t="s">
        <v>65</v>
      </c>
      <c r="E92" s="9" t="s">
        <v>62</v>
      </c>
      <c r="F92" s="9">
        <v>0</v>
      </c>
      <c r="G92" s="9">
        <v>3939.34</v>
      </c>
      <c r="H92" s="9">
        <v>0</v>
      </c>
      <c r="I92" s="9">
        <v>0</v>
      </c>
      <c r="J92" s="10">
        <v>45279</v>
      </c>
      <c r="K92" s="9" t="s">
        <v>44</v>
      </c>
      <c r="L92" s="9" t="s">
        <v>35</v>
      </c>
      <c r="M92" s="9">
        <v>2918.93</v>
      </c>
    </row>
    <row r="93" spans="1:13" x14ac:dyDescent="0.35">
      <c r="A93" s="9">
        <v>2114</v>
      </c>
      <c r="B93" s="9" t="s">
        <v>28</v>
      </c>
      <c r="C93" s="9" t="s">
        <v>18</v>
      </c>
      <c r="D93" s="9" t="s">
        <v>33</v>
      </c>
      <c r="E93" s="9" t="s">
        <v>62</v>
      </c>
      <c r="F93" s="9">
        <v>1</v>
      </c>
      <c r="G93" s="9">
        <v>3167.33</v>
      </c>
      <c r="H93" s="9">
        <v>0.53</v>
      </c>
      <c r="I93" s="9">
        <v>1488.65</v>
      </c>
      <c r="J93" s="10">
        <v>45279</v>
      </c>
      <c r="K93" s="9" t="s">
        <v>44</v>
      </c>
      <c r="L93" s="9" t="s">
        <v>35</v>
      </c>
      <c r="M93" s="9">
        <v>1567.37</v>
      </c>
    </row>
    <row r="94" spans="1:13" x14ac:dyDescent="0.35">
      <c r="A94" s="9">
        <v>2115</v>
      </c>
      <c r="B94" s="9" t="s">
        <v>34</v>
      </c>
      <c r="C94" s="9" t="s">
        <v>19</v>
      </c>
      <c r="D94" s="9" t="s">
        <v>69</v>
      </c>
      <c r="E94" s="9" t="s">
        <v>59</v>
      </c>
      <c r="F94" s="9">
        <v>2</v>
      </c>
      <c r="G94" s="9">
        <v>7607.45</v>
      </c>
      <c r="H94" s="9">
        <v>0</v>
      </c>
      <c r="I94" s="9">
        <v>0</v>
      </c>
      <c r="J94" s="10">
        <v>45279</v>
      </c>
      <c r="K94" s="9" t="s">
        <v>45</v>
      </c>
      <c r="L94" s="9" t="s">
        <v>27</v>
      </c>
      <c r="M94" s="9">
        <v>1969.03</v>
      </c>
    </row>
    <row r="95" spans="1:13" x14ac:dyDescent="0.35">
      <c r="A95" s="9">
        <v>2117</v>
      </c>
      <c r="B95" s="9" t="s">
        <v>28</v>
      </c>
      <c r="C95" s="9" t="s">
        <v>18</v>
      </c>
      <c r="D95" s="9" t="s">
        <v>37</v>
      </c>
      <c r="E95" s="9" t="s">
        <v>60</v>
      </c>
      <c r="F95" s="9">
        <v>0</v>
      </c>
      <c r="G95" s="9">
        <v>7645.96</v>
      </c>
      <c r="H95" s="9">
        <v>0</v>
      </c>
      <c r="I95" s="9">
        <v>0</v>
      </c>
      <c r="J95" s="10">
        <v>45595</v>
      </c>
      <c r="K95" s="9" t="s">
        <v>45</v>
      </c>
      <c r="L95" s="9" t="s">
        <v>35</v>
      </c>
      <c r="M95" s="9">
        <v>2037.43</v>
      </c>
    </row>
    <row r="96" spans="1:13" x14ac:dyDescent="0.35">
      <c r="A96" s="9">
        <v>2118</v>
      </c>
      <c r="B96" s="9" t="s">
        <v>34</v>
      </c>
      <c r="C96" s="9" t="s">
        <v>22</v>
      </c>
      <c r="D96" s="9" t="s">
        <v>68</v>
      </c>
      <c r="E96" s="9" t="s">
        <v>62</v>
      </c>
      <c r="F96" s="9">
        <v>2</v>
      </c>
      <c r="G96" s="9">
        <v>8426.5400000000009</v>
      </c>
      <c r="H96" s="9">
        <v>0</v>
      </c>
      <c r="I96" s="9">
        <v>0</v>
      </c>
      <c r="J96" s="10">
        <v>45190</v>
      </c>
      <c r="K96" s="9" t="s">
        <v>45</v>
      </c>
      <c r="L96" s="9" t="s">
        <v>32</v>
      </c>
      <c r="M96" s="9">
        <v>2696.85</v>
      </c>
    </row>
    <row r="97" spans="1:13" x14ac:dyDescent="0.35">
      <c r="A97" s="9">
        <v>2119</v>
      </c>
      <c r="B97" s="9" t="s">
        <v>28</v>
      </c>
      <c r="C97" s="9" t="s">
        <v>18</v>
      </c>
      <c r="D97" s="9" t="s">
        <v>41</v>
      </c>
      <c r="E97" s="9" t="s">
        <v>59</v>
      </c>
      <c r="F97" s="9">
        <v>-1</v>
      </c>
      <c r="G97" s="9">
        <v>0</v>
      </c>
      <c r="H97" s="9">
        <v>0.41</v>
      </c>
      <c r="I97" s="9">
        <v>0</v>
      </c>
      <c r="J97" s="10">
        <v>45752</v>
      </c>
      <c r="K97" s="9" t="s">
        <v>44</v>
      </c>
      <c r="L97" s="9" t="s">
        <v>27</v>
      </c>
      <c r="M97" s="9">
        <v>2887.81</v>
      </c>
    </row>
    <row r="98" spans="1:13" x14ac:dyDescent="0.35">
      <c r="A98" s="9">
        <v>2120</v>
      </c>
      <c r="B98" s="9" t="s">
        <v>31</v>
      </c>
      <c r="C98" s="9" t="s">
        <v>19</v>
      </c>
      <c r="D98" s="9" t="s">
        <v>69</v>
      </c>
      <c r="E98" s="9" t="s">
        <v>59</v>
      </c>
      <c r="F98" s="9">
        <v>0</v>
      </c>
      <c r="G98" s="9">
        <v>0</v>
      </c>
      <c r="H98" s="9">
        <v>0</v>
      </c>
      <c r="I98" s="9">
        <v>0</v>
      </c>
      <c r="J98" s="10">
        <v>45640</v>
      </c>
      <c r="K98" s="9" t="s">
        <v>44</v>
      </c>
      <c r="L98" s="9" t="s">
        <v>35</v>
      </c>
      <c r="M98" s="9">
        <v>-328</v>
      </c>
    </row>
    <row r="99" spans="1:13" x14ac:dyDescent="0.35">
      <c r="A99" s="9">
        <v>2000</v>
      </c>
      <c r="B99" s="9" t="s">
        <v>34</v>
      </c>
      <c r="C99" s="9" t="s">
        <v>20</v>
      </c>
      <c r="D99" s="9" t="s">
        <v>61</v>
      </c>
      <c r="E99" s="9" t="s">
        <v>59</v>
      </c>
      <c r="F99" s="9">
        <v>-1</v>
      </c>
      <c r="G99" s="9">
        <v>0</v>
      </c>
      <c r="H99" s="9">
        <v>0</v>
      </c>
      <c r="I99" s="9">
        <v>0</v>
      </c>
      <c r="J99" s="10">
        <v>45250</v>
      </c>
      <c r="K99" s="9" t="s">
        <v>44</v>
      </c>
      <c r="L99" s="9" t="s">
        <v>27</v>
      </c>
      <c r="M99" s="9">
        <v>929.75</v>
      </c>
    </row>
    <row r="100" spans="1:13" x14ac:dyDescent="0.35">
      <c r="A100" s="9">
        <v>2123</v>
      </c>
      <c r="B100" s="9" t="s">
        <v>31</v>
      </c>
      <c r="C100" s="9" t="s">
        <v>20</v>
      </c>
      <c r="D100" s="9" t="s">
        <v>43</v>
      </c>
      <c r="E100" s="9" t="s">
        <v>60</v>
      </c>
      <c r="F100" s="9">
        <v>0</v>
      </c>
      <c r="G100" s="9">
        <v>0</v>
      </c>
      <c r="H100" s="9">
        <v>0</v>
      </c>
      <c r="I100" s="9">
        <v>0</v>
      </c>
      <c r="J100" s="10">
        <v>45550</v>
      </c>
      <c r="K100" s="9" t="s">
        <v>44</v>
      </c>
      <c r="L100" s="9" t="s">
        <v>32</v>
      </c>
      <c r="M100" s="9">
        <v>2195.52</v>
      </c>
    </row>
    <row r="101" spans="1:13" x14ac:dyDescent="0.35">
      <c r="A101" s="9">
        <v>2124</v>
      </c>
      <c r="B101" s="9" t="s">
        <v>34</v>
      </c>
      <c r="C101" s="9" t="s">
        <v>22</v>
      </c>
      <c r="D101" s="9" t="s">
        <v>67</v>
      </c>
      <c r="E101" s="9" t="s">
        <v>60</v>
      </c>
      <c r="F101" s="9">
        <v>0</v>
      </c>
      <c r="G101" s="9">
        <v>6436.11</v>
      </c>
      <c r="H101" s="9">
        <v>1.24</v>
      </c>
      <c r="I101" s="9">
        <v>0</v>
      </c>
      <c r="J101" s="10">
        <v>45842</v>
      </c>
      <c r="K101" s="9" t="s">
        <v>45</v>
      </c>
      <c r="L101" s="9" t="s">
        <v>27</v>
      </c>
      <c r="M101" s="9">
        <v>432.04</v>
      </c>
    </row>
    <row r="102" spans="1:13" x14ac:dyDescent="0.35">
      <c r="A102" s="9">
        <v>2125</v>
      </c>
      <c r="B102" s="9" t="s">
        <v>28</v>
      </c>
      <c r="C102" s="9" t="s">
        <v>19</v>
      </c>
      <c r="D102" s="9" t="s">
        <v>42</v>
      </c>
      <c r="E102" s="9" t="s">
        <v>59</v>
      </c>
      <c r="F102" s="9">
        <v>0</v>
      </c>
      <c r="G102" s="9">
        <v>0</v>
      </c>
      <c r="H102" s="9">
        <v>0</v>
      </c>
      <c r="I102" s="9">
        <v>0</v>
      </c>
      <c r="J102" s="10">
        <v>45636</v>
      </c>
      <c r="K102" s="9" t="s">
        <v>44</v>
      </c>
      <c r="L102" s="9" t="s">
        <v>32</v>
      </c>
      <c r="M102" s="9">
        <v>1051.22</v>
      </c>
    </row>
    <row r="103" spans="1:13" x14ac:dyDescent="0.35">
      <c r="A103" s="9">
        <v>2126</v>
      </c>
      <c r="B103" s="9" t="s">
        <v>34</v>
      </c>
      <c r="C103" s="9" t="s">
        <v>20</v>
      </c>
      <c r="D103" s="9" t="s">
        <v>70</v>
      </c>
      <c r="E103" s="9" t="s">
        <v>60</v>
      </c>
      <c r="F103" s="9">
        <v>-1</v>
      </c>
      <c r="G103" s="9">
        <v>5399.58</v>
      </c>
      <c r="H103" s="9">
        <v>0</v>
      </c>
      <c r="I103" s="9">
        <v>0</v>
      </c>
      <c r="J103" s="10">
        <v>45640</v>
      </c>
      <c r="K103" s="9" t="s">
        <v>44</v>
      </c>
      <c r="L103" s="9" t="s">
        <v>35</v>
      </c>
      <c r="M103" s="9">
        <v>2508.34</v>
      </c>
    </row>
    <row r="104" spans="1:13" x14ac:dyDescent="0.35">
      <c r="A104" s="9">
        <v>2127</v>
      </c>
      <c r="B104" s="9" t="s">
        <v>31</v>
      </c>
      <c r="C104" s="9" t="s">
        <v>18</v>
      </c>
      <c r="D104" s="9" t="s">
        <v>41</v>
      </c>
      <c r="E104" s="9" t="s">
        <v>60</v>
      </c>
      <c r="F104" s="9">
        <v>-1</v>
      </c>
      <c r="G104" s="9">
        <v>4020.5</v>
      </c>
      <c r="H104" s="9">
        <v>0</v>
      </c>
      <c r="I104" s="9">
        <v>0</v>
      </c>
      <c r="J104" s="10">
        <v>45157</v>
      </c>
      <c r="K104" s="9" t="s">
        <v>45</v>
      </c>
      <c r="L104" s="9" t="s">
        <v>26</v>
      </c>
      <c r="M104" s="9">
        <v>3718.37</v>
      </c>
    </row>
    <row r="105" spans="1:13" x14ac:dyDescent="0.35">
      <c r="A105" s="9">
        <v>2128</v>
      </c>
      <c r="B105" s="9" t="s">
        <v>28</v>
      </c>
      <c r="C105" s="9" t="s">
        <v>22</v>
      </c>
      <c r="D105" s="9" t="s">
        <v>30</v>
      </c>
      <c r="E105" s="9" t="s">
        <v>60</v>
      </c>
      <c r="F105" s="9">
        <v>0</v>
      </c>
      <c r="G105" s="9">
        <v>8750.7099999999991</v>
      </c>
      <c r="H105" s="9">
        <v>0</v>
      </c>
      <c r="I105" s="9">
        <v>0</v>
      </c>
      <c r="J105" s="10">
        <v>45157</v>
      </c>
      <c r="K105" s="9" t="s">
        <v>44</v>
      </c>
      <c r="L105" s="9" t="s">
        <v>25</v>
      </c>
      <c r="M105" s="9">
        <v>1411.29</v>
      </c>
    </row>
    <row r="106" spans="1:13" x14ac:dyDescent="0.35">
      <c r="A106" s="9">
        <v>2129</v>
      </c>
      <c r="B106" s="9" t="s">
        <v>31</v>
      </c>
      <c r="C106" s="9" t="s">
        <v>22</v>
      </c>
      <c r="D106" s="9" t="s">
        <v>68</v>
      </c>
      <c r="E106" s="9" t="s">
        <v>59</v>
      </c>
      <c r="F106" s="9">
        <v>0</v>
      </c>
      <c r="G106" s="9">
        <v>0</v>
      </c>
      <c r="H106" s="9">
        <v>0</v>
      </c>
      <c r="I106" s="9">
        <v>0</v>
      </c>
      <c r="J106" s="10">
        <v>45157</v>
      </c>
      <c r="K106" s="9" t="s">
        <v>44</v>
      </c>
      <c r="L106" s="9" t="s">
        <v>29</v>
      </c>
      <c r="M106" s="9">
        <v>841.4</v>
      </c>
    </row>
    <row r="107" spans="1:13" x14ac:dyDescent="0.35">
      <c r="A107" s="9">
        <v>2130</v>
      </c>
      <c r="B107" s="9" t="s">
        <v>31</v>
      </c>
      <c r="C107" s="9" t="s">
        <v>19</v>
      </c>
      <c r="D107" s="9" t="s">
        <v>39</v>
      </c>
      <c r="E107" s="9" t="s">
        <v>59</v>
      </c>
      <c r="F107" s="9">
        <v>3</v>
      </c>
      <c r="G107" s="9">
        <v>0</v>
      </c>
      <c r="H107" s="9">
        <v>0.24</v>
      </c>
      <c r="I107" s="9">
        <v>0</v>
      </c>
      <c r="J107" s="10">
        <v>45549</v>
      </c>
      <c r="K107" s="9" t="s">
        <v>45</v>
      </c>
      <c r="L107" s="9" t="s">
        <v>25</v>
      </c>
      <c r="M107" s="9">
        <v>2962.75</v>
      </c>
    </row>
    <row r="108" spans="1:13" x14ac:dyDescent="0.35">
      <c r="A108" s="9">
        <v>2131</v>
      </c>
      <c r="B108" s="9" t="s">
        <v>34</v>
      </c>
      <c r="C108" s="9" t="s">
        <v>20</v>
      </c>
      <c r="D108" s="9" t="s">
        <v>66</v>
      </c>
      <c r="E108" s="9" t="s">
        <v>62</v>
      </c>
      <c r="F108" s="9">
        <v>0</v>
      </c>
      <c r="G108" s="9">
        <v>5561.82</v>
      </c>
      <c r="H108" s="9">
        <v>0</v>
      </c>
      <c r="I108" s="9">
        <v>0</v>
      </c>
      <c r="J108" s="10">
        <v>45549</v>
      </c>
      <c r="K108" s="9" t="s">
        <v>44</v>
      </c>
      <c r="L108" s="9" t="s">
        <v>26</v>
      </c>
      <c r="M108" s="9">
        <v>2227.48</v>
      </c>
    </row>
    <row r="109" spans="1:13" x14ac:dyDescent="0.35">
      <c r="A109" s="9">
        <v>2132</v>
      </c>
      <c r="B109" s="9" t="s">
        <v>31</v>
      </c>
      <c r="C109" s="9" t="s">
        <v>20</v>
      </c>
      <c r="D109" s="9" t="s">
        <v>66</v>
      </c>
      <c r="E109" s="9" t="s">
        <v>60</v>
      </c>
      <c r="F109" s="9">
        <v>2</v>
      </c>
      <c r="G109" s="9">
        <v>0</v>
      </c>
      <c r="H109" s="9">
        <v>0</v>
      </c>
      <c r="I109" s="9">
        <v>0</v>
      </c>
      <c r="J109" s="10">
        <v>45549</v>
      </c>
      <c r="K109" s="9" t="s">
        <v>45</v>
      </c>
      <c r="L109" s="9" t="s">
        <v>29</v>
      </c>
      <c r="M109" s="9">
        <v>3882.22</v>
      </c>
    </row>
    <row r="110" spans="1:13" x14ac:dyDescent="0.35">
      <c r="A110" s="9">
        <v>2133</v>
      </c>
      <c r="B110" s="9" t="s">
        <v>31</v>
      </c>
      <c r="C110" s="9" t="s">
        <v>18</v>
      </c>
      <c r="D110" s="9" t="s">
        <v>41</v>
      </c>
      <c r="E110" s="9" t="s">
        <v>62</v>
      </c>
      <c r="F110" s="9">
        <v>0</v>
      </c>
      <c r="G110" s="9">
        <v>6789.53</v>
      </c>
      <c r="H110" s="9">
        <v>0</v>
      </c>
      <c r="I110" s="9">
        <v>0</v>
      </c>
      <c r="J110" s="10">
        <v>45575</v>
      </c>
      <c r="K110" s="9" t="s">
        <v>44</v>
      </c>
      <c r="L110" s="9" t="s">
        <v>35</v>
      </c>
      <c r="M110" s="9">
        <v>-166.81</v>
      </c>
    </row>
    <row r="111" spans="1:13" x14ac:dyDescent="0.35">
      <c r="A111" s="9">
        <v>2134</v>
      </c>
      <c r="B111" s="9" t="s">
        <v>31</v>
      </c>
      <c r="C111" s="9" t="s">
        <v>18</v>
      </c>
      <c r="D111" s="9" t="s">
        <v>38</v>
      </c>
      <c r="E111" s="9" t="s">
        <v>59</v>
      </c>
      <c r="F111" s="9">
        <v>0</v>
      </c>
      <c r="G111" s="9">
        <v>4738.62</v>
      </c>
      <c r="H111" s="9">
        <v>0</v>
      </c>
      <c r="I111" s="9">
        <v>0</v>
      </c>
      <c r="J111" s="10">
        <v>45510</v>
      </c>
      <c r="K111" s="9" t="s">
        <v>45</v>
      </c>
      <c r="L111" s="9" t="s">
        <v>32</v>
      </c>
      <c r="M111" s="9">
        <v>1009.28</v>
      </c>
    </row>
    <row r="112" spans="1:13" x14ac:dyDescent="0.35">
      <c r="A112" s="9">
        <v>2135</v>
      </c>
      <c r="B112" s="9" t="s">
        <v>31</v>
      </c>
      <c r="C112" s="9" t="s">
        <v>22</v>
      </c>
      <c r="D112" s="9" t="s">
        <v>68</v>
      </c>
      <c r="E112" s="9" t="s">
        <v>60</v>
      </c>
      <c r="F112" s="9">
        <v>2</v>
      </c>
      <c r="G112" s="9">
        <v>9106.61</v>
      </c>
      <c r="H112" s="9">
        <v>0.74</v>
      </c>
      <c r="I112" s="9">
        <v>4735.4399999999996</v>
      </c>
      <c r="J112" s="10">
        <v>45599</v>
      </c>
      <c r="K112" s="9" t="s">
        <v>44</v>
      </c>
      <c r="L112" s="9" t="s">
        <v>32</v>
      </c>
      <c r="M112" s="9">
        <v>2422.38</v>
      </c>
    </row>
    <row r="113" spans="1:13" x14ac:dyDescent="0.35">
      <c r="A113" s="9">
        <v>2136</v>
      </c>
      <c r="B113" s="9" t="s">
        <v>34</v>
      </c>
      <c r="C113" s="9" t="s">
        <v>18</v>
      </c>
      <c r="D113" s="9" t="s">
        <v>38</v>
      </c>
      <c r="E113" s="9" t="s">
        <v>60</v>
      </c>
      <c r="F113" s="9">
        <v>1</v>
      </c>
      <c r="G113" s="9">
        <v>0</v>
      </c>
      <c r="H113" s="9">
        <v>0</v>
      </c>
      <c r="I113" s="9">
        <v>0</v>
      </c>
      <c r="J113" s="10">
        <v>45550</v>
      </c>
      <c r="K113" s="9" t="s">
        <v>45</v>
      </c>
      <c r="L113" s="9" t="s">
        <v>35</v>
      </c>
      <c r="M113" s="9">
        <v>3672.24</v>
      </c>
    </row>
    <row r="114" spans="1:13" x14ac:dyDescent="0.35">
      <c r="A114" s="9">
        <v>2138</v>
      </c>
      <c r="B114" s="9" t="s">
        <v>31</v>
      </c>
      <c r="C114" s="9" t="s">
        <v>20</v>
      </c>
      <c r="D114" s="9" t="s">
        <v>70</v>
      </c>
      <c r="E114" s="9" t="s">
        <v>59</v>
      </c>
      <c r="F114" s="9">
        <v>2</v>
      </c>
      <c r="G114" s="9">
        <v>8055.2</v>
      </c>
      <c r="H114" s="9">
        <v>0</v>
      </c>
      <c r="I114" s="9">
        <v>0</v>
      </c>
      <c r="J114" s="10">
        <v>45822</v>
      </c>
      <c r="K114" s="9" t="s">
        <v>45</v>
      </c>
      <c r="L114" s="9" t="s">
        <v>26</v>
      </c>
      <c r="M114" s="9">
        <v>1840.09</v>
      </c>
    </row>
    <row r="115" spans="1:13" x14ac:dyDescent="0.35">
      <c r="A115" s="9">
        <v>2139</v>
      </c>
      <c r="B115" s="9" t="s">
        <v>28</v>
      </c>
      <c r="C115" s="9" t="s">
        <v>22</v>
      </c>
      <c r="D115" s="9" t="s">
        <v>65</v>
      </c>
      <c r="E115" s="9" t="s">
        <v>59</v>
      </c>
      <c r="F115" s="9">
        <v>0</v>
      </c>
      <c r="G115" s="9">
        <v>0</v>
      </c>
      <c r="H115" s="9">
        <v>0</v>
      </c>
      <c r="I115" s="9">
        <v>0</v>
      </c>
      <c r="J115" s="10">
        <v>45827</v>
      </c>
      <c r="K115" s="9" t="s">
        <v>44</v>
      </c>
      <c r="L115" s="9" t="s">
        <v>26</v>
      </c>
      <c r="M115" s="9">
        <v>-334.52</v>
      </c>
    </row>
    <row r="116" spans="1:13" x14ac:dyDescent="0.35">
      <c r="A116" s="9">
        <v>2140</v>
      </c>
      <c r="B116" s="9" t="s">
        <v>31</v>
      </c>
      <c r="C116" s="9" t="s">
        <v>22</v>
      </c>
      <c r="D116" s="9" t="s">
        <v>68</v>
      </c>
      <c r="E116" s="9" t="s">
        <v>59</v>
      </c>
      <c r="F116" s="9">
        <v>0</v>
      </c>
      <c r="G116" s="9">
        <v>6765.74</v>
      </c>
      <c r="H116" s="9">
        <v>0</v>
      </c>
      <c r="I116" s="9">
        <v>0</v>
      </c>
      <c r="J116" s="10">
        <v>45775</v>
      </c>
      <c r="K116" s="9" t="s">
        <v>45</v>
      </c>
      <c r="L116" s="9" t="s">
        <v>25</v>
      </c>
      <c r="M116" s="9">
        <v>-875.45</v>
      </c>
    </row>
    <row r="117" spans="1:13" x14ac:dyDescent="0.35">
      <c r="A117" s="9">
        <v>2143</v>
      </c>
      <c r="B117" s="9" t="s">
        <v>34</v>
      </c>
      <c r="C117" s="9" t="s">
        <v>18</v>
      </c>
      <c r="D117" s="9" t="s">
        <v>38</v>
      </c>
      <c r="E117" s="9" t="s">
        <v>60</v>
      </c>
      <c r="F117" s="9">
        <v>-1</v>
      </c>
      <c r="G117" s="9">
        <v>0</v>
      </c>
      <c r="H117" s="9">
        <v>0</v>
      </c>
      <c r="I117" s="9">
        <v>0</v>
      </c>
      <c r="J117" s="10">
        <v>45726</v>
      </c>
      <c r="K117" s="9" t="s">
        <v>45</v>
      </c>
      <c r="L117" s="9" t="s">
        <v>29</v>
      </c>
      <c r="M117" s="9">
        <v>1006.66</v>
      </c>
    </row>
    <row r="118" spans="1:13" x14ac:dyDescent="0.35">
      <c r="A118" s="9">
        <v>2145</v>
      </c>
      <c r="B118" s="9" t="s">
        <v>31</v>
      </c>
      <c r="C118" s="9" t="s">
        <v>21</v>
      </c>
      <c r="D118" s="9" t="s">
        <v>36</v>
      </c>
      <c r="E118" s="9" t="s">
        <v>59</v>
      </c>
      <c r="F118" s="9">
        <v>0</v>
      </c>
      <c r="G118" s="9">
        <v>0</v>
      </c>
      <c r="H118" s="9">
        <v>0.67</v>
      </c>
      <c r="I118" s="9">
        <v>0</v>
      </c>
      <c r="J118" s="10">
        <v>45503</v>
      </c>
      <c r="K118" s="9" t="s">
        <v>45</v>
      </c>
      <c r="L118" s="9" t="s">
        <v>25</v>
      </c>
      <c r="M118" s="9">
        <v>1335.45</v>
      </c>
    </row>
    <row r="119" spans="1:13" x14ac:dyDescent="0.35">
      <c r="A119" s="9">
        <v>2146</v>
      </c>
      <c r="B119" s="9" t="s">
        <v>34</v>
      </c>
      <c r="C119" s="9" t="s">
        <v>22</v>
      </c>
      <c r="D119" s="9" t="s">
        <v>65</v>
      </c>
      <c r="E119" s="9" t="s">
        <v>62</v>
      </c>
      <c r="F119" s="9">
        <v>0</v>
      </c>
      <c r="G119" s="9">
        <v>0</v>
      </c>
      <c r="H119" s="9">
        <v>1.1200000000000001</v>
      </c>
      <c r="I119" s="9">
        <v>0</v>
      </c>
      <c r="J119" s="10">
        <v>45703</v>
      </c>
      <c r="K119" s="9" t="s">
        <v>44</v>
      </c>
      <c r="L119" s="9" t="s">
        <v>26</v>
      </c>
      <c r="M119" s="9">
        <v>-908.85</v>
      </c>
    </row>
    <row r="120" spans="1:13" x14ac:dyDescent="0.35">
      <c r="A120" s="9">
        <v>2147</v>
      </c>
      <c r="B120" s="9" t="s">
        <v>28</v>
      </c>
      <c r="C120" s="9" t="s">
        <v>19</v>
      </c>
      <c r="D120" s="9" t="s">
        <v>69</v>
      </c>
      <c r="E120" s="9" t="s">
        <v>62</v>
      </c>
      <c r="F120" s="9">
        <v>-1</v>
      </c>
      <c r="G120" s="9">
        <v>0</v>
      </c>
      <c r="H120" s="9">
        <v>0</v>
      </c>
      <c r="I120" s="9">
        <v>0</v>
      </c>
      <c r="J120" s="10">
        <v>45549</v>
      </c>
      <c r="K120" s="9" t="s">
        <v>45</v>
      </c>
      <c r="L120" s="9" t="s">
        <v>32</v>
      </c>
      <c r="M120" s="9">
        <v>-426.53</v>
      </c>
    </row>
    <row r="121" spans="1:13" x14ac:dyDescent="0.35">
      <c r="A121" s="9">
        <v>2150</v>
      </c>
      <c r="B121" s="9" t="s">
        <v>28</v>
      </c>
      <c r="C121" s="9" t="s">
        <v>22</v>
      </c>
      <c r="D121" s="9" t="s">
        <v>30</v>
      </c>
      <c r="E121" s="9" t="s">
        <v>59</v>
      </c>
      <c r="F121" s="9">
        <v>2</v>
      </c>
      <c r="G121" s="9">
        <v>3313.21</v>
      </c>
      <c r="H121" s="9">
        <v>0.48</v>
      </c>
      <c r="I121" s="9">
        <v>3445.74</v>
      </c>
      <c r="J121" s="10">
        <v>45844</v>
      </c>
      <c r="K121" s="9" t="s">
        <v>45</v>
      </c>
      <c r="L121" s="9" t="s">
        <v>25</v>
      </c>
      <c r="M121" s="9">
        <v>3221.62</v>
      </c>
    </row>
    <row r="122" spans="1:13" x14ac:dyDescent="0.35">
      <c r="A122" s="9">
        <v>2151</v>
      </c>
      <c r="B122" s="9" t="s">
        <v>34</v>
      </c>
      <c r="C122" s="9" t="s">
        <v>19</v>
      </c>
      <c r="D122" s="9" t="s">
        <v>42</v>
      </c>
      <c r="E122" s="9" t="s">
        <v>60</v>
      </c>
      <c r="F122" s="9">
        <v>4</v>
      </c>
      <c r="G122" s="9">
        <v>5619.75</v>
      </c>
      <c r="H122" s="9">
        <v>0</v>
      </c>
      <c r="I122" s="9">
        <v>0</v>
      </c>
      <c r="J122" s="10">
        <v>45804</v>
      </c>
      <c r="K122" s="9" t="s">
        <v>45</v>
      </c>
      <c r="L122" s="9" t="s">
        <v>25</v>
      </c>
      <c r="M122" s="9">
        <v>2000.85</v>
      </c>
    </row>
    <row r="123" spans="1:13" x14ac:dyDescent="0.35">
      <c r="A123" s="9">
        <v>2152</v>
      </c>
      <c r="B123" s="9" t="s">
        <v>28</v>
      </c>
      <c r="C123" s="9" t="s">
        <v>20</v>
      </c>
      <c r="D123" s="9" t="s">
        <v>66</v>
      </c>
      <c r="E123" s="9" t="s">
        <v>59</v>
      </c>
      <c r="F123" s="9">
        <v>0</v>
      </c>
      <c r="G123" s="9">
        <v>0</v>
      </c>
      <c r="H123" s="9">
        <v>0</v>
      </c>
      <c r="I123" s="9">
        <v>0</v>
      </c>
      <c r="J123" s="10">
        <v>45804</v>
      </c>
      <c r="K123" s="9" t="s">
        <v>45</v>
      </c>
      <c r="L123" s="9" t="s">
        <v>25</v>
      </c>
      <c r="M123" s="9">
        <v>3819.41</v>
      </c>
    </row>
    <row r="124" spans="1:13" x14ac:dyDescent="0.35">
      <c r="A124" s="9">
        <v>2154</v>
      </c>
      <c r="B124" s="9" t="s">
        <v>34</v>
      </c>
      <c r="C124" s="9" t="s">
        <v>21</v>
      </c>
      <c r="D124" s="9" t="s">
        <v>36</v>
      </c>
      <c r="E124" s="9" t="s">
        <v>62</v>
      </c>
      <c r="F124" s="9">
        <v>0</v>
      </c>
      <c r="G124" s="9">
        <v>2963.16</v>
      </c>
      <c r="H124" s="9">
        <v>0</v>
      </c>
      <c r="I124" s="9">
        <v>0</v>
      </c>
      <c r="J124" s="10">
        <v>45748</v>
      </c>
      <c r="K124" s="9" t="s">
        <v>45</v>
      </c>
      <c r="L124" s="9" t="s">
        <v>25</v>
      </c>
      <c r="M124" s="9">
        <v>2381.85</v>
      </c>
    </row>
    <row r="125" spans="1:13" x14ac:dyDescent="0.35">
      <c r="A125" s="9">
        <v>2156</v>
      </c>
      <c r="B125" s="9" t="s">
        <v>31</v>
      </c>
      <c r="C125" s="9" t="s">
        <v>19</v>
      </c>
      <c r="D125" s="9" t="s">
        <v>42</v>
      </c>
      <c r="E125" s="9" t="s">
        <v>59</v>
      </c>
      <c r="F125" s="9">
        <v>0</v>
      </c>
      <c r="G125" s="9">
        <v>0</v>
      </c>
      <c r="H125" s="9">
        <v>0</v>
      </c>
      <c r="I125" s="9">
        <v>0</v>
      </c>
      <c r="J125" s="10">
        <v>45535</v>
      </c>
      <c r="K125" s="9" t="s">
        <v>45</v>
      </c>
      <c r="L125" s="9" t="s">
        <v>35</v>
      </c>
      <c r="M125" s="9">
        <v>-286.07</v>
      </c>
    </row>
    <row r="126" spans="1:13" x14ac:dyDescent="0.35">
      <c r="A126" s="9">
        <v>2158</v>
      </c>
      <c r="B126" s="9" t="s">
        <v>28</v>
      </c>
      <c r="C126" s="9" t="s">
        <v>20</v>
      </c>
      <c r="D126" s="9" t="s">
        <v>61</v>
      </c>
      <c r="E126" s="9" t="s">
        <v>59</v>
      </c>
      <c r="F126" s="9">
        <v>-1</v>
      </c>
      <c r="G126" s="9">
        <v>0</v>
      </c>
      <c r="H126" s="9">
        <v>0.5</v>
      </c>
      <c r="I126" s="9">
        <v>0</v>
      </c>
      <c r="J126" s="10">
        <v>45685</v>
      </c>
      <c r="K126" s="9" t="s">
        <v>45</v>
      </c>
      <c r="L126" s="9" t="s">
        <v>26</v>
      </c>
      <c r="M126" s="9">
        <v>514.79</v>
      </c>
    </row>
    <row r="127" spans="1:13" x14ac:dyDescent="0.35">
      <c r="A127" s="9">
        <v>2159</v>
      </c>
      <c r="B127" s="9" t="s">
        <v>28</v>
      </c>
      <c r="C127" s="9" t="s">
        <v>18</v>
      </c>
      <c r="D127" s="9" t="s">
        <v>38</v>
      </c>
      <c r="E127" s="9" t="s">
        <v>62</v>
      </c>
      <c r="F127" s="9">
        <v>2</v>
      </c>
      <c r="G127" s="9">
        <v>3987.65</v>
      </c>
      <c r="H127" s="9">
        <v>0</v>
      </c>
      <c r="I127" s="9">
        <v>0</v>
      </c>
      <c r="J127" s="10">
        <v>45685</v>
      </c>
      <c r="K127" s="9" t="s">
        <v>44</v>
      </c>
      <c r="L127" s="9" t="s">
        <v>29</v>
      </c>
      <c r="M127" s="9">
        <v>2781.72</v>
      </c>
    </row>
    <row r="128" spans="1:13" x14ac:dyDescent="0.35">
      <c r="A128" s="9">
        <v>2160</v>
      </c>
      <c r="B128" s="9" t="s">
        <v>34</v>
      </c>
      <c r="C128" s="9" t="s">
        <v>20</v>
      </c>
      <c r="D128" s="9" t="s">
        <v>43</v>
      </c>
      <c r="E128" s="9" t="s">
        <v>62</v>
      </c>
      <c r="F128" s="9">
        <v>0</v>
      </c>
      <c r="G128" s="9">
        <v>0</v>
      </c>
      <c r="H128" s="9">
        <v>0</v>
      </c>
      <c r="I128" s="9">
        <v>0</v>
      </c>
      <c r="J128" s="10">
        <v>45717</v>
      </c>
      <c r="K128" s="9" t="s">
        <v>44</v>
      </c>
      <c r="L128" s="9" t="s">
        <v>26</v>
      </c>
      <c r="M128" s="9">
        <v>3744.91</v>
      </c>
    </row>
    <row r="129" spans="1:13" x14ac:dyDescent="0.35">
      <c r="A129" s="9">
        <v>2161</v>
      </c>
      <c r="B129" s="9" t="s">
        <v>34</v>
      </c>
      <c r="C129" s="9" t="s">
        <v>21</v>
      </c>
      <c r="D129" s="9" t="s">
        <v>64</v>
      </c>
      <c r="E129" s="9" t="s">
        <v>59</v>
      </c>
      <c r="F129" s="9">
        <v>0</v>
      </c>
      <c r="G129" s="9">
        <v>5119.41</v>
      </c>
      <c r="H129" s="9">
        <v>0.8</v>
      </c>
      <c r="I129" s="9">
        <v>0</v>
      </c>
      <c r="J129" s="10">
        <v>45717</v>
      </c>
      <c r="K129" s="9" t="s">
        <v>45</v>
      </c>
      <c r="L129" s="9" t="s">
        <v>35</v>
      </c>
      <c r="M129" s="9">
        <v>1956.8</v>
      </c>
    </row>
    <row r="130" spans="1:13" x14ac:dyDescent="0.35">
      <c r="A130" s="9">
        <v>2162</v>
      </c>
      <c r="B130" s="9" t="s">
        <v>31</v>
      </c>
      <c r="C130" s="9" t="s">
        <v>21</v>
      </c>
      <c r="D130" s="9" t="s">
        <v>36</v>
      </c>
      <c r="E130" s="9" t="s">
        <v>59</v>
      </c>
      <c r="F130" s="9">
        <v>0</v>
      </c>
      <c r="G130" s="9">
        <v>7662.11</v>
      </c>
      <c r="H130" s="9">
        <v>0</v>
      </c>
      <c r="I130" s="9">
        <v>0</v>
      </c>
      <c r="J130" s="10">
        <v>45717</v>
      </c>
      <c r="K130" s="9" t="s">
        <v>45</v>
      </c>
      <c r="L130" s="9" t="s">
        <v>26</v>
      </c>
      <c r="M130" s="9">
        <v>2398.5500000000002</v>
      </c>
    </row>
    <row r="131" spans="1:13" x14ac:dyDescent="0.35">
      <c r="A131" s="9">
        <v>2163</v>
      </c>
      <c r="B131" s="9" t="s">
        <v>31</v>
      </c>
      <c r="C131" s="9" t="s">
        <v>21</v>
      </c>
      <c r="D131" s="9" t="s">
        <v>71</v>
      </c>
      <c r="E131" s="9" t="s">
        <v>59</v>
      </c>
      <c r="F131" s="9">
        <v>0</v>
      </c>
      <c r="G131" s="9">
        <v>0</v>
      </c>
      <c r="H131" s="9">
        <v>1.24</v>
      </c>
      <c r="I131" s="9">
        <v>0</v>
      </c>
      <c r="J131" s="10">
        <v>45722</v>
      </c>
      <c r="K131" s="9" t="s">
        <v>44</v>
      </c>
      <c r="L131" s="9" t="s">
        <v>32</v>
      </c>
      <c r="M131" s="9">
        <v>3344.98</v>
      </c>
    </row>
    <row r="132" spans="1:13" x14ac:dyDescent="0.35">
      <c r="A132" s="9">
        <v>2164</v>
      </c>
      <c r="B132" s="9" t="s">
        <v>28</v>
      </c>
      <c r="C132" s="9" t="s">
        <v>19</v>
      </c>
      <c r="D132" s="9" t="s">
        <v>63</v>
      </c>
      <c r="E132" s="9" t="s">
        <v>59</v>
      </c>
      <c r="F132" s="9">
        <v>0</v>
      </c>
      <c r="G132" s="9">
        <v>0</v>
      </c>
      <c r="H132" s="9">
        <v>0.95</v>
      </c>
      <c r="I132" s="9">
        <v>0</v>
      </c>
      <c r="J132" s="10">
        <v>45588</v>
      </c>
      <c r="K132" s="9" t="s">
        <v>45</v>
      </c>
      <c r="L132" s="9" t="s">
        <v>35</v>
      </c>
      <c r="M132" s="9">
        <v>-872.9</v>
      </c>
    </row>
    <row r="133" spans="1:13" x14ac:dyDescent="0.35">
      <c r="A133" s="9">
        <v>2165</v>
      </c>
      <c r="B133" s="9" t="s">
        <v>34</v>
      </c>
      <c r="C133" s="9" t="s">
        <v>18</v>
      </c>
      <c r="D133" s="9" t="s">
        <v>37</v>
      </c>
      <c r="E133" s="9" t="s">
        <v>60</v>
      </c>
      <c r="F133" s="9">
        <v>4</v>
      </c>
      <c r="G133" s="9">
        <v>4577.6499999999996</v>
      </c>
      <c r="H133" s="9">
        <v>0</v>
      </c>
      <c r="I133" s="9">
        <v>0</v>
      </c>
      <c r="J133" s="10">
        <v>45607</v>
      </c>
      <c r="K133" s="9" t="s">
        <v>44</v>
      </c>
      <c r="L133" s="9" t="s">
        <v>27</v>
      </c>
      <c r="M133" s="9">
        <v>2460.19</v>
      </c>
    </row>
    <row r="134" spans="1:13" x14ac:dyDescent="0.35">
      <c r="A134" s="9">
        <v>2166</v>
      </c>
      <c r="B134" s="9" t="s">
        <v>28</v>
      </c>
      <c r="C134" s="9" t="s">
        <v>21</v>
      </c>
      <c r="D134" s="9" t="s">
        <v>40</v>
      </c>
      <c r="E134" s="9" t="s">
        <v>59</v>
      </c>
      <c r="F134" s="9">
        <v>0</v>
      </c>
      <c r="G134" s="9">
        <v>7312.38</v>
      </c>
      <c r="H134" s="9">
        <v>0</v>
      </c>
      <c r="I134" s="9">
        <v>0</v>
      </c>
      <c r="J134" s="10">
        <v>45689</v>
      </c>
      <c r="K134" s="9" t="s">
        <v>45</v>
      </c>
      <c r="L134" s="9" t="s">
        <v>26</v>
      </c>
      <c r="M134" s="9">
        <v>3364.05</v>
      </c>
    </row>
    <row r="135" spans="1:13" x14ac:dyDescent="0.35">
      <c r="A135" s="9">
        <v>2167</v>
      </c>
      <c r="B135" s="9" t="s">
        <v>31</v>
      </c>
      <c r="C135" s="9" t="s">
        <v>20</v>
      </c>
      <c r="D135" s="9" t="s">
        <v>61</v>
      </c>
      <c r="E135" s="9" t="s">
        <v>62</v>
      </c>
      <c r="F135" s="9">
        <v>3</v>
      </c>
      <c r="G135" s="9">
        <v>3055.79</v>
      </c>
      <c r="H135" s="9">
        <v>0</v>
      </c>
      <c r="I135" s="9">
        <v>0</v>
      </c>
      <c r="J135" s="10">
        <v>45689</v>
      </c>
      <c r="K135" s="9" t="s">
        <v>44</v>
      </c>
      <c r="L135" s="9" t="s">
        <v>26</v>
      </c>
      <c r="M135" s="9">
        <v>1259.58</v>
      </c>
    </row>
    <row r="136" spans="1:13" x14ac:dyDescent="0.35">
      <c r="A136" s="9">
        <v>2170</v>
      </c>
      <c r="B136" s="9" t="s">
        <v>34</v>
      </c>
      <c r="C136" s="9" t="s">
        <v>21</v>
      </c>
      <c r="D136" s="9" t="s">
        <v>40</v>
      </c>
      <c r="E136" s="9" t="s">
        <v>59</v>
      </c>
      <c r="F136" s="9">
        <v>0</v>
      </c>
      <c r="G136" s="9">
        <v>0</v>
      </c>
      <c r="H136" s="9">
        <v>0</v>
      </c>
      <c r="I136" s="9">
        <v>0</v>
      </c>
      <c r="J136" s="10">
        <v>45836</v>
      </c>
      <c r="K136" s="9" t="s">
        <v>45</v>
      </c>
      <c r="L136" s="9" t="s">
        <v>27</v>
      </c>
      <c r="M136" s="9">
        <v>3218.82</v>
      </c>
    </row>
    <row r="137" spans="1:13" x14ac:dyDescent="0.35">
      <c r="A137" s="9">
        <v>2022</v>
      </c>
      <c r="B137" s="9" t="s">
        <v>28</v>
      </c>
      <c r="C137" s="9" t="s">
        <v>21</v>
      </c>
      <c r="D137" s="9" t="s">
        <v>40</v>
      </c>
      <c r="E137" s="9" t="s">
        <v>60</v>
      </c>
      <c r="F137" s="9">
        <v>0</v>
      </c>
      <c r="G137" s="9">
        <v>9378.52</v>
      </c>
      <c r="H137" s="9">
        <v>1.06</v>
      </c>
      <c r="I137" s="9">
        <v>0</v>
      </c>
      <c r="J137" s="10">
        <v>45228</v>
      </c>
      <c r="K137" s="9" t="s">
        <v>44</v>
      </c>
      <c r="L137" s="9" t="s">
        <v>26</v>
      </c>
      <c r="M137" s="9">
        <v>128.91999999999999</v>
      </c>
    </row>
    <row r="138" spans="1:13" x14ac:dyDescent="0.35">
      <c r="A138" s="9">
        <v>2172</v>
      </c>
      <c r="B138" s="9" t="s">
        <v>28</v>
      </c>
      <c r="C138" s="9" t="s">
        <v>18</v>
      </c>
      <c r="D138" s="9" t="s">
        <v>38</v>
      </c>
      <c r="E138" s="9" t="s">
        <v>59</v>
      </c>
      <c r="F138" s="9">
        <v>0</v>
      </c>
      <c r="G138" s="9">
        <v>7988.99</v>
      </c>
      <c r="H138" s="9">
        <v>1.2</v>
      </c>
      <c r="I138" s="9">
        <v>0</v>
      </c>
      <c r="J138" s="10">
        <v>45643</v>
      </c>
      <c r="K138" s="9" t="s">
        <v>45</v>
      </c>
      <c r="L138" s="9" t="s">
        <v>25</v>
      </c>
      <c r="M138" s="9">
        <v>-909.86</v>
      </c>
    </row>
    <row r="139" spans="1:13" x14ac:dyDescent="0.35">
      <c r="A139" s="9">
        <v>2173</v>
      </c>
      <c r="B139" s="9" t="s">
        <v>31</v>
      </c>
      <c r="C139" s="9" t="s">
        <v>20</v>
      </c>
      <c r="D139" s="9" t="s">
        <v>66</v>
      </c>
      <c r="E139" s="9" t="s">
        <v>60</v>
      </c>
      <c r="F139" s="9">
        <v>-1</v>
      </c>
      <c r="G139" s="9">
        <v>6620.78</v>
      </c>
      <c r="H139" s="9">
        <v>0</v>
      </c>
      <c r="I139" s="9">
        <v>0</v>
      </c>
      <c r="J139" s="10">
        <v>45745</v>
      </c>
      <c r="K139" s="9" t="s">
        <v>45</v>
      </c>
      <c r="L139" s="9" t="s">
        <v>25</v>
      </c>
      <c r="M139" s="9">
        <v>3770.03</v>
      </c>
    </row>
    <row r="140" spans="1:13" x14ac:dyDescent="0.35">
      <c r="A140" s="9">
        <v>2174</v>
      </c>
      <c r="B140" s="9" t="s">
        <v>28</v>
      </c>
      <c r="C140" s="9" t="s">
        <v>19</v>
      </c>
      <c r="D140" s="9" t="s">
        <v>69</v>
      </c>
      <c r="E140" s="9" t="s">
        <v>60</v>
      </c>
      <c r="F140" s="9">
        <v>0</v>
      </c>
      <c r="G140" s="9">
        <v>3883.92</v>
      </c>
      <c r="H140" s="9">
        <v>0</v>
      </c>
      <c r="I140" s="9">
        <v>0</v>
      </c>
      <c r="J140" s="10">
        <v>45745</v>
      </c>
      <c r="K140" s="9" t="s">
        <v>44</v>
      </c>
      <c r="L140" s="9" t="s">
        <v>35</v>
      </c>
      <c r="M140" s="9">
        <v>428.5</v>
      </c>
    </row>
    <row r="141" spans="1:13" x14ac:dyDescent="0.35">
      <c r="A141" s="9">
        <v>2177</v>
      </c>
      <c r="B141" s="9" t="s">
        <v>28</v>
      </c>
      <c r="C141" s="9" t="s">
        <v>21</v>
      </c>
      <c r="D141" s="9" t="s">
        <v>64</v>
      </c>
      <c r="E141" s="9" t="s">
        <v>62</v>
      </c>
      <c r="F141" s="9">
        <v>0</v>
      </c>
      <c r="G141" s="9">
        <v>0</v>
      </c>
      <c r="H141" s="9">
        <v>0</v>
      </c>
      <c r="I141" s="9">
        <v>0</v>
      </c>
      <c r="J141" s="10">
        <v>45835</v>
      </c>
      <c r="K141" s="9" t="s">
        <v>44</v>
      </c>
      <c r="L141" s="9" t="s">
        <v>26</v>
      </c>
      <c r="M141" s="9">
        <v>885.37</v>
      </c>
    </row>
    <row r="142" spans="1:13" x14ac:dyDescent="0.35">
      <c r="A142" s="9">
        <v>2179</v>
      </c>
      <c r="B142" s="9" t="s">
        <v>28</v>
      </c>
      <c r="C142" s="9" t="s">
        <v>18</v>
      </c>
      <c r="D142" s="9" t="s">
        <v>38</v>
      </c>
      <c r="E142" s="9" t="s">
        <v>59</v>
      </c>
      <c r="F142" s="9">
        <v>3</v>
      </c>
      <c r="G142" s="9">
        <v>0</v>
      </c>
      <c r="H142" s="9">
        <v>0</v>
      </c>
      <c r="I142" s="9">
        <v>0</v>
      </c>
      <c r="J142" s="10">
        <v>45317</v>
      </c>
      <c r="K142" s="9" t="s">
        <v>44</v>
      </c>
      <c r="L142" s="9" t="s">
        <v>35</v>
      </c>
      <c r="M142" s="9">
        <v>3135.92</v>
      </c>
    </row>
    <row r="143" spans="1:13" x14ac:dyDescent="0.35">
      <c r="A143" s="9">
        <v>2180</v>
      </c>
      <c r="B143" s="9" t="s">
        <v>28</v>
      </c>
      <c r="C143" s="9" t="s">
        <v>22</v>
      </c>
      <c r="D143" s="9" t="s">
        <v>30</v>
      </c>
      <c r="E143" s="9" t="s">
        <v>62</v>
      </c>
      <c r="F143" s="9">
        <v>0</v>
      </c>
      <c r="G143" s="9">
        <v>0</v>
      </c>
      <c r="H143" s="9">
        <v>0</v>
      </c>
      <c r="I143" s="9">
        <v>0</v>
      </c>
      <c r="J143" s="10">
        <v>45427</v>
      </c>
      <c r="K143" s="9" t="s">
        <v>45</v>
      </c>
      <c r="L143" s="9" t="s">
        <v>35</v>
      </c>
      <c r="M143" s="9">
        <v>2189.84</v>
      </c>
    </row>
    <row r="144" spans="1:13" x14ac:dyDescent="0.35">
      <c r="A144" s="9">
        <v>2181</v>
      </c>
      <c r="B144" s="9" t="s">
        <v>28</v>
      </c>
      <c r="C144" s="9" t="s">
        <v>21</v>
      </c>
      <c r="D144" s="9" t="s">
        <v>40</v>
      </c>
      <c r="E144" s="9" t="s">
        <v>62</v>
      </c>
      <c r="F144" s="9">
        <v>2</v>
      </c>
      <c r="G144" s="9">
        <v>0</v>
      </c>
      <c r="H144" s="9">
        <v>0</v>
      </c>
      <c r="I144" s="9">
        <v>0</v>
      </c>
      <c r="J144" s="10">
        <v>45663</v>
      </c>
      <c r="K144" s="9" t="s">
        <v>44</v>
      </c>
      <c r="L144" s="9" t="s">
        <v>29</v>
      </c>
      <c r="M144" s="9">
        <v>419.58</v>
      </c>
    </row>
    <row r="145" spans="1:13" x14ac:dyDescent="0.35">
      <c r="A145" s="9">
        <v>2182</v>
      </c>
      <c r="B145" s="9" t="s">
        <v>34</v>
      </c>
      <c r="C145" s="9" t="s">
        <v>22</v>
      </c>
      <c r="D145" s="9" t="s">
        <v>68</v>
      </c>
      <c r="E145" s="9" t="s">
        <v>59</v>
      </c>
      <c r="F145" s="9">
        <v>0</v>
      </c>
      <c r="G145" s="9">
        <v>7214.55</v>
      </c>
      <c r="H145" s="9">
        <v>0</v>
      </c>
      <c r="I145" s="9">
        <v>0</v>
      </c>
      <c r="J145" s="10">
        <v>45663</v>
      </c>
      <c r="K145" s="9" t="s">
        <v>45</v>
      </c>
      <c r="L145" s="9" t="s">
        <v>26</v>
      </c>
      <c r="M145" s="9">
        <v>-662.77</v>
      </c>
    </row>
    <row r="146" spans="1:13" x14ac:dyDescent="0.35">
      <c r="A146" s="9">
        <v>2183</v>
      </c>
      <c r="B146" s="9" t="s">
        <v>34</v>
      </c>
      <c r="C146" s="9" t="s">
        <v>21</v>
      </c>
      <c r="D146" s="9" t="s">
        <v>64</v>
      </c>
      <c r="E146" s="9" t="s">
        <v>59</v>
      </c>
      <c r="F146" s="9">
        <v>0</v>
      </c>
      <c r="G146" s="9">
        <v>5389.56</v>
      </c>
      <c r="H146" s="9">
        <v>0</v>
      </c>
      <c r="I146" s="9">
        <v>0</v>
      </c>
      <c r="J146" s="10">
        <v>45663</v>
      </c>
      <c r="K146" s="9" t="s">
        <v>45</v>
      </c>
      <c r="L146" s="9" t="s">
        <v>35</v>
      </c>
      <c r="M146" s="9">
        <v>2927.93</v>
      </c>
    </row>
    <row r="147" spans="1:13" x14ac:dyDescent="0.35">
      <c r="A147" s="9">
        <v>2184</v>
      </c>
      <c r="B147" s="9" t="s">
        <v>31</v>
      </c>
      <c r="C147" s="9" t="s">
        <v>19</v>
      </c>
      <c r="D147" s="9" t="s">
        <v>63</v>
      </c>
      <c r="E147" s="9" t="s">
        <v>62</v>
      </c>
      <c r="F147" s="9">
        <v>4</v>
      </c>
      <c r="G147" s="9">
        <v>0</v>
      </c>
      <c r="H147" s="9">
        <v>0</v>
      </c>
      <c r="I147" s="9">
        <v>0</v>
      </c>
      <c r="J147" s="10">
        <v>45663</v>
      </c>
      <c r="K147" s="9" t="s">
        <v>44</v>
      </c>
      <c r="L147" s="9" t="s">
        <v>32</v>
      </c>
      <c r="M147" s="9">
        <v>1980.73</v>
      </c>
    </row>
    <row r="148" spans="1:13" x14ac:dyDescent="0.35">
      <c r="A148" s="9">
        <v>2185</v>
      </c>
      <c r="B148" s="9" t="s">
        <v>28</v>
      </c>
      <c r="C148" s="9" t="s">
        <v>18</v>
      </c>
      <c r="D148" s="9" t="s">
        <v>38</v>
      </c>
      <c r="E148" s="9" t="s">
        <v>62</v>
      </c>
      <c r="F148" s="9">
        <v>4</v>
      </c>
      <c r="G148" s="9">
        <v>4207.4399999999996</v>
      </c>
      <c r="H148" s="9">
        <v>0.59</v>
      </c>
      <c r="I148" s="9">
        <v>6900.2</v>
      </c>
      <c r="J148" s="10">
        <v>45816</v>
      </c>
      <c r="K148" s="9" t="s">
        <v>45</v>
      </c>
      <c r="L148" s="9" t="s">
        <v>27</v>
      </c>
      <c r="M148" s="9">
        <v>-615.48</v>
      </c>
    </row>
    <row r="149" spans="1:13" x14ac:dyDescent="0.35">
      <c r="A149" s="9">
        <v>2187</v>
      </c>
      <c r="B149" s="9" t="s">
        <v>31</v>
      </c>
      <c r="C149" s="9" t="s">
        <v>20</v>
      </c>
      <c r="D149" s="9" t="s">
        <v>61</v>
      </c>
      <c r="E149" s="9" t="s">
        <v>60</v>
      </c>
      <c r="F149" s="9">
        <v>0</v>
      </c>
      <c r="G149" s="9">
        <v>7795.32</v>
      </c>
      <c r="H149" s="9">
        <v>0</v>
      </c>
      <c r="I149" s="9">
        <v>0</v>
      </c>
      <c r="J149" s="10">
        <v>45605</v>
      </c>
      <c r="K149" s="9" t="s">
        <v>45</v>
      </c>
      <c r="L149" s="9" t="s">
        <v>26</v>
      </c>
      <c r="M149" s="9">
        <v>2402.9899999999998</v>
      </c>
    </row>
    <row r="150" spans="1:13" x14ac:dyDescent="0.35">
      <c r="A150" s="9">
        <v>2188</v>
      </c>
      <c r="B150" s="9" t="s">
        <v>31</v>
      </c>
      <c r="C150" s="9" t="s">
        <v>20</v>
      </c>
      <c r="D150" s="9" t="s">
        <v>61</v>
      </c>
      <c r="E150" s="9" t="s">
        <v>60</v>
      </c>
      <c r="F150" s="9">
        <v>-1</v>
      </c>
      <c r="G150" s="9">
        <v>0</v>
      </c>
      <c r="H150" s="9">
        <v>0</v>
      </c>
      <c r="I150" s="9">
        <v>0</v>
      </c>
      <c r="J150" s="10">
        <v>45605</v>
      </c>
      <c r="K150" s="9" t="s">
        <v>45</v>
      </c>
      <c r="L150" s="9" t="s">
        <v>35</v>
      </c>
      <c r="M150" s="9">
        <v>1278.03</v>
      </c>
    </row>
    <row r="151" spans="1:13" x14ac:dyDescent="0.35">
      <c r="A151" s="9">
        <v>2189</v>
      </c>
      <c r="B151" s="9" t="s">
        <v>31</v>
      </c>
      <c r="C151" s="9" t="s">
        <v>18</v>
      </c>
      <c r="D151" s="9" t="s">
        <v>37</v>
      </c>
      <c r="E151" s="9" t="s">
        <v>60</v>
      </c>
      <c r="F151" s="9">
        <v>3</v>
      </c>
      <c r="G151" s="9">
        <v>0</v>
      </c>
      <c r="H151" s="9">
        <v>0.9</v>
      </c>
      <c r="I151" s="9">
        <v>0</v>
      </c>
      <c r="J151" s="10">
        <v>45567</v>
      </c>
      <c r="K151" s="9" t="s">
        <v>45</v>
      </c>
      <c r="L151" s="9" t="s">
        <v>32</v>
      </c>
      <c r="M151" s="9">
        <v>3628.46</v>
      </c>
    </row>
    <row r="152" spans="1:13" x14ac:dyDescent="0.35">
      <c r="A152" s="9">
        <v>2190</v>
      </c>
      <c r="B152" s="9" t="s">
        <v>34</v>
      </c>
      <c r="C152" s="9" t="s">
        <v>22</v>
      </c>
      <c r="D152" s="9" t="s">
        <v>67</v>
      </c>
      <c r="E152" s="9" t="s">
        <v>60</v>
      </c>
      <c r="F152" s="9">
        <v>0</v>
      </c>
      <c r="G152" s="9">
        <v>4280.01</v>
      </c>
      <c r="H152" s="9">
        <v>0.66</v>
      </c>
      <c r="I152" s="9">
        <v>0</v>
      </c>
      <c r="J152" s="10">
        <v>45567</v>
      </c>
      <c r="K152" s="9" t="s">
        <v>45</v>
      </c>
      <c r="L152" s="9" t="s">
        <v>29</v>
      </c>
      <c r="M152" s="9">
        <v>1949.77</v>
      </c>
    </row>
    <row r="153" spans="1:13" x14ac:dyDescent="0.35">
      <c r="A153" s="9">
        <v>2191</v>
      </c>
      <c r="B153" s="9" t="s">
        <v>31</v>
      </c>
      <c r="C153" s="9" t="s">
        <v>21</v>
      </c>
      <c r="D153" s="9" t="s">
        <v>40</v>
      </c>
      <c r="E153" s="9" t="s">
        <v>59</v>
      </c>
      <c r="F153" s="9">
        <v>3</v>
      </c>
      <c r="G153" s="9">
        <v>0</v>
      </c>
      <c r="H153" s="9">
        <v>0</v>
      </c>
      <c r="I153" s="9">
        <v>0</v>
      </c>
      <c r="J153" s="10">
        <v>45563</v>
      </c>
      <c r="K153" s="9" t="s">
        <v>44</v>
      </c>
      <c r="L153" s="9" t="s">
        <v>35</v>
      </c>
      <c r="M153" s="9">
        <v>-1032.8800000000001</v>
      </c>
    </row>
    <row r="154" spans="1:13" x14ac:dyDescent="0.35">
      <c r="A154" s="9">
        <v>2192</v>
      </c>
      <c r="B154" s="9" t="s">
        <v>31</v>
      </c>
      <c r="C154" s="9" t="s">
        <v>22</v>
      </c>
      <c r="D154" s="9" t="s">
        <v>67</v>
      </c>
      <c r="E154" s="9" t="s">
        <v>62</v>
      </c>
      <c r="F154" s="9">
        <v>-1</v>
      </c>
      <c r="G154" s="9">
        <v>0</v>
      </c>
      <c r="H154" s="9">
        <v>0</v>
      </c>
      <c r="I154" s="9">
        <v>0</v>
      </c>
      <c r="J154" s="10">
        <v>45212</v>
      </c>
      <c r="K154" s="9" t="s">
        <v>44</v>
      </c>
      <c r="L154" s="9" t="s">
        <v>29</v>
      </c>
      <c r="M154" s="9">
        <v>554.91</v>
      </c>
    </row>
    <row r="155" spans="1:13" x14ac:dyDescent="0.35">
      <c r="A155" s="9">
        <v>2193</v>
      </c>
      <c r="B155" s="9" t="s">
        <v>28</v>
      </c>
      <c r="C155" s="9" t="s">
        <v>21</v>
      </c>
      <c r="D155" s="9" t="s">
        <v>64</v>
      </c>
      <c r="E155" s="9" t="s">
        <v>62</v>
      </c>
      <c r="F155" s="9">
        <v>-1</v>
      </c>
      <c r="G155" s="9">
        <v>0</v>
      </c>
      <c r="H155" s="9">
        <v>1.24</v>
      </c>
      <c r="I155" s="9">
        <v>0</v>
      </c>
      <c r="J155" s="10">
        <v>45674</v>
      </c>
      <c r="K155" s="9" t="s">
        <v>44</v>
      </c>
      <c r="L155" s="9" t="s">
        <v>29</v>
      </c>
      <c r="M155" s="9">
        <v>1803.66</v>
      </c>
    </row>
    <row r="156" spans="1:13" x14ac:dyDescent="0.35">
      <c r="A156" s="9">
        <v>2194</v>
      </c>
      <c r="B156" s="9" t="s">
        <v>31</v>
      </c>
      <c r="C156" s="9" t="s">
        <v>19</v>
      </c>
      <c r="D156" s="9" t="s">
        <v>63</v>
      </c>
      <c r="E156" s="9" t="s">
        <v>59</v>
      </c>
      <c r="F156" s="9">
        <v>0</v>
      </c>
      <c r="G156" s="9">
        <v>6196.01</v>
      </c>
      <c r="H156" s="9">
        <v>0</v>
      </c>
      <c r="I156" s="9">
        <v>0</v>
      </c>
      <c r="J156" s="10">
        <v>45592</v>
      </c>
      <c r="K156" s="9" t="s">
        <v>45</v>
      </c>
      <c r="L156" s="9" t="s">
        <v>32</v>
      </c>
      <c r="M156" s="9">
        <v>926.03</v>
      </c>
    </row>
    <row r="157" spans="1:13" x14ac:dyDescent="0.35">
      <c r="A157" s="9">
        <v>2196</v>
      </c>
      <c r="B157" s="9" t="s">
        <v>34</v>
      </c>
      <c r="C157" s="9" t="s">
        <v>19</v>
      </c>
      <c r="D157" s="9" t="s">
        <v>39</v>
      </c>
      <c r="E157" s="9" t="s">
        <v>60</v>
      </c>
      <c r="F157" s="9">
        <v>2</v>
      </c>
      <c r="G157" s="9">
        <v>2708.73</v>
      </c>
      <c r="H157" s="9">
        <v>0</v>
      </c>
      <c r="I157" s="9">
        <v>0</v>
      </c>
      <c r="J157" s="10">
        <v>45838</v>
      </c>
      <c r="K157" s="9" t="s">
        <v>45</v>
      </c>
      <c r="L157" s="9" t="s">
        <v>29</v>
      </c>
      <c r="M157" s="9">
        <v>925.63</v>
      </c>
    </row>
    <row r="158" spans="1:13" x14ac:dyDescent="0.35">
      <c r="A158" s="9">
        <v>2197</v>
      </c>
      <c r="B158" s="9" t="s">
        <v>34</v>
      </c>
      <c r="C158" s="9" t="s">
        <v>18</v>
      </c>
      <c r="D158" s="9" t="s">
        <v>38</v>
      </c>
      <c r="E158" s="9" t="s">
        <v>60</v>
      </c>
      <c r="F158" s="9">
        <v>3</v>
      </c>
      <c r="G158" s="9">
        <v>0</v>
      </c>
      <c r="H158" s="9">
        <v>0</v>
      </c>
      <c r="I158" s="9">
        <v>0</v>
      </c>
      <c r="J158" s="10">
        <v>45571</v>
      </c>
      <c r="K158" s="9" t="s">
        <v>45</v>
      </c>
      <c r="L158" s="9" t="s">
        <v>25</v>
      </c>
      <c r="M158" s="9">
        <v>-418.5</v>
      </c>
    </row>
    <row r="159" spans="1:13" x14ac:dyDescent="0.35">
      <c r="A159" s="9">
        <v>2198</v>
      </c>
      <c r="B159" s="9" t="s">
        <v>31</v>
      </c>
      <c r="C159" s="9" t="s">
        <v>18</v>
      </c>
      <c r="D159" s="9" t="s">
        <v>37</v>
      </c>
      <c r="E159" s="9" t="s">
        <v>59</v>
      </c>
      <c r="F159" s="9">
        <v>4</v>
      </c>
      <c r="G159" s="9">
        <v>0</v>
      </c>
      <c r="H159" s="9">
        <v>0.65</v>
      </c>
      <c r="I159" s="9">
        <v>0</v>
      </c>
      <c r="J159" s="10">
        <v>45662</v>
      </c>
      <c r="K159" s="9" t="s">
        <v>45</v>
      </c>
      <c r="L159" s="9" t="s">
        <v>35</v>
      </c>
      <c r="M159" s="9">
        <v>-169.33</v>
      </c>
    </row>
    <row r="160" spans="1:13" x14ac:dyDescent="0.35">
      <c r="A160" s="9">
        <v>2199</v>
      </c>
      <c r="B160" s="9" t="s">
        <v>31</v>
      </c>
      <c r="C160" s="9" t="s">
        <v>19</v>
      </c>
      <c r="D160" s="9" t="s">
        <v>39</v>
      </c>
      <c r="E160" s="9" t="s">
        <v>59</v>
      </c>
      <c r="F160" s="9">
        <v>1</v>
      </c>
      <c r="G160" s="9">
        <v>0</v>
      </c>
      <c r="H160" s="9">
        <v>0</v>
      </c>
      <c r="I160" s="9">
        <v>0</v>
      </c>
      <c r="J160" s="10">
        <v>45662</v>
      </c>
      <c r="K160" s="9" t="s">
        <v>44</v>
      </c>
      <c r="L160" s="9" t="s">
        <v>27</v>
      </c>
      <c r="M160" s="9">
        <v>389.94</v>
      </c>
    </row>
    <row r="161" spans="1:13" x14ac:dyDescent="0.35">
      <c r="A161" s="9">
        <v>2200</v>
      </c>
      <c r="B161" s="9" t="s">
        <v>31</v>
      </c>
      <c r="C161" s="9" t="s">
        <v>22</v>
      </c>
      <c r="D161" s="9" t="s">
        <v>65</v>
      </c>
      <c r="E161" s="9" t="s">
        <v>59</v>
      </c>
      <c r="F161" s="9">
        <v>3</v>
      </c>
      <c r="G161" s="9">
        <v>5570.72</v>
      </c>
      <c r="H161" s="9">
        <v>0</v>
      </c>
      <c r="I161" s="9">
        <v>0</v>
      </c>
      <c r="J161" s="10">
        <v>45662</v>
      </c>
      <c r="K161" s="9" t="s">
        <v>45</v>
      </c>
      <c r="L161" s="9" t="s">
        <v>29</v>
      </c>
      <c r="M161" s="9">
        <v>1513.76</v>
      </c>
    </row>
    <row r="162" spans="1:13" x14ac:dyDescent="0.35">
      <c r="A162" s="9">
        <v>2201</v>
      </c>
      <c r="B162" s="9" t="s">
        <v>28</v>
      </c>
      <c r="C162" s="9" t="s">
        <v>18</v>
      </c>
      <c r="D162" s="9" t="s">
        <v>37</v>
      </c>
      <c r="E162" s="9" t="s">
        <v>59</v>
      </c>
      <c r="F162" s="9">
        <v>0</v>
      </c>
      <c r="G162" s="9">
        <v>0</v>
      </c>
      <c r="H162" s="9">
        <v>0</v>
      </c>
      <c r="I162" s="9">
        <v>0</v>
      </c>
      <c r="J162" s="10">
        <v>45422</v>
      </c>
      <c r="K162" s="9" t="s">
        <v>45</v>
      </c>
      <c r="L162" s="9" t="s">
        <v>26</v>
      </c>
      <c r="M162" s="9">
        <v>1403.56</v>
      </c>
    </row>
    <row r="163" spans="1:13" x14ac:dyDescent="0.35">
      <c r="A163" s="9">
        <v>2202</v>
      </c>
      <c r="B163" s="9" t="s">
        <v>31</v>
      </c>
      <c r="C163" s="9" t="s">
        <v>22</v>
      </c>
      <c r="D163" s="9" t="s">
        <v>67</v>
      </c>
      <c r="E163" s="9" t="s">
        <v>59</v>
      </c>
      <c r="F163" s="9">
        <v>-1</v>
      </c>
      <c r="G163" s="9">
        <v>7918.93</v>
      </c>
      <c r="H163" s="9">
        <v>1.06</v>
      </c>
      <c r="I163" s="9">
        <v>475.14</v>
      </c>
      <c r="J163" s="10">
        <v>45842</v>
      </c>
      <c r="K163" s="9" t="s">
        <v>44</v>
      </c>
      <c r="L163" s="9" t="s">
        <v>25</v>
      </c>
      <c r="M163" s="9">
        <v>1994.42</v>
      </c>
    </row>
    <row r="164" spans="1:13" x14ac:dyDescent="0.35">
      <c r="A164" s="9">
        <v>2203</v>
      </c>
      <c r="B164" s="9" t="s">
        <v>31</v>
      </c>
      <c r="C164" s="9" t="s">
        <v>21</v>
      </c>
      <c r="D164" s="9" t="s">
        <v>40</v>
      </c>
      <c r="E164" s="9" t="s">
        <v>59</v>
      </c>
      <c r="F164" s="9">
        <v>0</v>
      </c>
      <c r="G164" s="9">
        <v>6903.22</v>
      </c>
      <c r="H164" s="9">
        <v>0</v>
      </c>
      <c r="I164" s="9">
        <v>0</v>
      </c>
      <c r="J164" s="10">
        <v>45842</v>
      </c>
      <c r="K164" s="9" t="s">
        <v>45</v>
      </c>
      <c r="L164" s="9" t="s">
        <v>35</v>
      </c>
      <c r="M164" s="9">
        <v>1556.95</v>
      </c>
    </row>
    <row r="165" spans="1:13" x14ac:dyDescent="0.35">
      <c r="A165" s="9">
        <v>2204</v>
      </c>
      <c r="B165" s="9" t="s">
        <v>31</v>
      </c>
      <c r="C165" s="9" t="s">
        <v>22</v>
      </c>
      <c r="D165" s="9" t="s">
        <v>30</v>
      </c>
      <c r="E165" s="9" t="s">
        <v>59</v>
      </c>
      <c r="F165" s="9">
        <v>0</v>
      </c>
      <c r="G165" s="9">
        <v>7660.41</v>
      </c>
      <c r="H165" s="9">
        <v>0</v>
      </c>
      <c r="I165" s="9">
        <v>0</v>
      </c>
      <c r="J165" s="10">
        <v>45794</v>
      </c>
      <c r="K165" s="9" t="s">
        <v>45</v>
      </c>
      <c r="L165" s="9" t="s">
        <v>29</v>
      </c>
      <c r="M165" s="9">
        <v>2076.75</v>
      </c>
    </row>
    <row r="166" spans="1:13" x14ac:dyDescent="0.35">
      <c r="A166" s="9">
        <v>2205</v>
      </c>
      <c r="B166" s="9" t="s">
        <v>28</v>
      </c>
      <c r="C166" s="9" t="s">
        <v>20</v>
      </c>
      <c r="D166" s="9" t="s">
        <v>61</v>
      </c>
      <c r="E166" s="9" t="s">
        <v>62</v>
      </c>
      <c r="F166" s="9">
        <v>0</v>
      </c>
      <c r="G166" s="9">
        <v>0</v>
      </c>
      <c r="H166" s="9">
        <v>0</v>
      </c>
      <c r="I166" s="9">
        <v>0</v>
      </c>
      <c r="J166" s="10">
        <v>45771</v>
      </c>
      <c r="K166" s="9" t="s">
        <v>44</v>
      </c>
      <c r="L166" s="9" t="s">
        <v>35</v>
      </c>
      <c r="M166" s="9">
        <v>-467.52</v>
      </c>
    </row>
    <row r="167" spans="1:13" x14ac:dyDescent="0.35">
      <c r="A167" s="9">
        <v>2206</v>
      </c>
      <c r="B167" s="9" t="s">
        <v>31</v>
      </c>
      <c r="C167" s="9" t="s">
        <v>18</v>
      </c>
      <c r="D167" s="9" t="s">
        <v>33</v>
      </c>
      <c r="E167" s="9" t="s">
        <v>59</v>
      </c>
      <c r="F167" s="9">
        <v>2</v>
      </c>
      <c r="G167" s="9">
        <v>0</v>
      </c>
      <c r="H167" s="9">
        <v>0</v>
      </c>
      <c r="I167" s="9">
        <v>0</v>
      </c>
      <c r="J167" s="10">
        <v>45771</v>
      </c>
      <c r="K167" s="9" t="s">
        <v>45</v>
      </c>
      <c r="L167" s="9" t="s">
        <v>29</v>
      </c>
      <c r="M167" s="9">
        <v>-524.85</v>
      </c>
    </row>
    <row r="168" spans="1:13" x14ac:dyDescent="0.35">
      <c r="A168" s="9">
        <v>2207</v>
      </c>
      <c r="B168" s="9" t="s">
        <v>28</v>
      </c>
      <c r="C168" s="9" t="s">
        <v>20</v>
      </c>
      <c r="D168" s="9" t="s">
        <v>70</v>
      </c>
      <c r="E168" s="9" t="s">
        <v>62</v>
      </c>
      <c r="F168" s="9">
        <v>0</v>
      </c>
      <c r="G168" s="9">
        <v>0</v>
      </c>
      <c r="H168" s="9">
        <v>0</v>
      </c>
      <c r="I168" s="9">
        <v>0</v>
      </c>
      <c r="J168" s="10">
        <v>45771</v>
      </c>
      <c r="K168" s="9" t="s">
        <v>45</v>
      </c>
      <c r="L168" s="9" t="s">
        <v>32</v>
      </c>
      <c r="M168" s="9">
        <v>2101.41</v>
      </c>
    </row>
    <row r="169" spans="1:13" x14ac:dyDescent="0.35">
      <c r="A169" s="9">
        <v>2208</v>
      </c>
      <c r="B169" s="9" t="s">
        <v>28</v>
      </c>
      <c r="C169" s="9" t="s">
        <v>22</v>
      </c>
      <c r="D169" s="9" t="s">
        <v>30</v>
      </c>
      <c r="E169" s="9" t="s">
        <v>59</v>
      </c>
      <c r="F169" s="9">
        <v>0</v>
      </c>
      <c r="G169" s="9">
        <v>5172.62</v>
      </c>
      <c r="H169" s="9">
        <v>0.97</v>
      </c>
      <c r="I169" s="9">
        <v>0</v>
      </c>
      <c r="J169" s="10">
        <v>45771</v>
      </c>
      <c r="K169" s="9" t="s">
        <v>44</v>
      </c>
      <c r="L169" s="9" t="s">
        <v>32</v>
      </c>
      <c r="M169" s="9">
        <v>-1074.04</v>
      </c>
    </row>
    <row r="170" spans="1:13" x14ac:dyDescent="0.35">
      <c r="A170" s="9">
        <v>2210</v>
      </c>
      <c r="B170" s="9" t="s">
        <v>31</v>
      </c>
      <c r="C170" s="9" t="s">
        <v>21</v>
      </c>
      <c r="D170" s="9" t="s">
        <v>36</v>
      </c>
      <c r="E170" s="9" t="s">
        <v>62</v>
      </c>
      <c r="F170" s="9">
        <v>0</v>
      </c>
      <c r="G170" s="9">
        <v>0</v>
      </c>
      <c r="H170" s="9">
        <v>0</v>
      </c>
      <c r="I170" s="9">
        <v>0</v>
      </c>
      <c r="J170" s="10">
        <v>45513</v>
      </c>
      <c r="K170" s="9" t="s">
        <v>44</v>
      </c>
      <c r="L170" s="9" t="s">
        <v>27</v>
      </c>
      <c r="M170" s="9">
        <v>701.02</v>
      </c>
    </row>
    <row r="171" spans="1:13" x14ac:dyDescent="0.35">
      <c r="A171" s="9">
        <v>2212</v>
      </c>
      <c r="B171" s="9" t="s">
        <v>28</v>
      </c>
      <c r="C171" s="9" t="s">
        <v>21</v>
      </c>
      <c r="D171" s="9" t="s">
        <v>36</v>
      </c>
      <c r="E171" s="9" t="s">
        <v>60</v>
      </c>
      <c r="F171" s="9">
        <v>0</v>
      </c>
      <c r="G171" s="9">
        <v>7670.82</v>
      </c>
      <c r="H171" s="9">
        <v>0</v>
      </c>
      <c r="I171" s="9">
        <v>0</v>
      </c>
      <c r="J171" s="10">
        <v>45558</v>
      </c>
      <c r="K171" s="9" t="s">
        <v>45</v>
      </c>
      <c r="L171" s="9" t="s">
        <v>27</v>
      </c>
      <c r="M171" s="9">
        <v>-87.95</v>
      </c>
    </row>
    <row r="172" spans="1:13" x14ac:dyDescent="0.35">
      <c r="A172" s="9">
        <v>2213</v>
      </c>
      <c r="B172" s="9" t="s">
        <v>28</v>
      </c>
      <c r="C172" s="9" t="s">
        <v>20</v>
      </c>
      <c r="D172" s="9" t="s">
        <v>43</v>
      </c>
      <c r="E172" s="9" t="s">
        <v>59</v>
      </c>
      <c r="F172" s="9">
        <v>0</v>
      </c>
      <c r="G172" s="9">
        <v>5714.92</v>
      </c>
      <c r="H172" s="9">
        <v>0</v>
      </c>
      <c r="I172" s="9">
        <v>0</v>
      </c>
      <c r="J172" s="10">
        <v>45558</v>
      </c>
      <c r="K172" s="9" t="s">
        <v>45</v>
      </c>
      <c r="L172" s="9" t="s">
        <v>29</v>
      </c>
      <c r="M172" s="9">
        <v>3741.14</v>
      </c>
    </row>
    <row r="173" spans="1:13" x14ac:dyDescent="0.35">
      <c r="A173" s="9">
        <v>2214</v>
      </c>
      <c r="B173" s="9" t="s">
        <v>31</v>
      </c>
      <c r="C173" s="9" t="s">
        <v>22</v>
      </c>
      <c r="D173" s="9" t="s">
        <v>30</v>
      </c>
      <c r="E173" s="9" t="s">
        <v>62</v>
      </c>
      <c r="F173" s="9">
        <v>2</v>
      </c>
      <c r="G173" s="9">
        <v>5016.03</v>
      </c>
      <c r="H173" s="9">
        <v>0</v>
      </c>
      <c r="I173" s="9">
        <v>0</v>
      </c>
      <c r="J173" s="10">
        <v>45558</v>
      </c>
      <c r="K173" s="9" t="s">
        <v>44</v>
      </c>
      <c r="L173" s="9" t="s">
        <v>26</v>
      </c>
      <c r="M173" s="9">
        <v>1446</v>
      </c>
    </row>
    <row r="174" spans="1:13" x14ac:dyDescent="0.35">
      <c r="A174" s="9">
        <v>2215</v>
      </c>
      <c r="B174" s="9" t="s">
        <v>31</v>
      </c>
      <c r="C174" s="9" t="s">
        <v>22</v>
      </c>
      <c r="D174" s="9" t="s">
        <v>68</v>
      </c>
      <c r="E174" s="9" t="s">
        <v>62</v>
      </c>
      <c r="F174" s="9">
        <v>3</v>
      </c>
      <c r="G174" s="9">
        <v>0</v>
      </c>
      <c r="H174" s="9">
        <v>0.36</v>
      </c>
      <c r="I174" s="9">
        <v>0</v>
      </c>
      <c r="J174" s="10">
        <v>45642</v>
      </c>
      <c r="K174" s="9" t="s">
        <v>45</v>
      </c>
      <c r="L174" s="9" t="s">
        <v>27</v>
      </c>
      <c r="M174" s="9">
        <v>3254.06</v>
      </c>
    </row>
    <row r="175" spans="1:13" x14ac:dyDescent="0.35">
      <c r="A175" s="9">
        <v>2216</v>
      </c>
      <c r="B175" s="9" t="s">
        <v>28</v>
      </c>
      <c r="C175" s="9" t="s">
        <v>21</v>
      </c>
      <c r="D175" s="9" t="s">
        <v>40</v>
      </c>
      <c r="E175" s="9" t="s">
        <v>59</v>
      </c>
      <c r="F175" s="9">
        <v>1</v>
      </c>
      <c r="G175" s="9">
        <v>3111.62</v>
      </c>
      <c r="H175" s="9">
        <v>0</v>
      </c>
      <c r="I175" s="9">
        <v>0</v>
      </c>
      <c r="J175" s="10">
        <v>45642</v>
      </c>
      <c r="K175" s="9" t="s">
        <v>45</v>
      </c>
      <c r="L175" s="9" t="s">
        <v>32</v>
      </c>
      <c r="M175" s="9">
        <v>2617.56</v>
      </c>
    </row>
    <row r="176" spans="1:13" x14ac:dyDescent="0.35">
      <c r="A176" s="9">
        <v>2217</v>
      </c>
      <c r="B176" s="9" t="s">
        <v>28</v>
      </c>
      <c r="C176" s="9" t="s">
        <v>21</v>
      </c>
      <c r="D176" s="9" t="s">
        <v>64</v>
      </c>
      <c r="E176" s="9" t="s">
        <v>60</v>
      </c>
      <c r="F176" s="9">
        <v>0</v>
      </c>
      <c r="G176" s="9">
        <v>0</v>
      </c>
      <c r="H176" s="9">
        <v>0</v>
      </c>
      <c r="I176" s="9">
        <v>0</v>
      </c>
      <c r="J176" s="10">
        <v>45762</v>
      </c>
      <c r="K176" s="9" t="s">
        <v>44</v>
      </c>
      <c r="L176" s="9" t="s">
        <v>29</v>
      </c>
      <c r="M176" s="9">
        <v>2190.84</v>
      </c>
    </row>
    <row r="177" spans="1:13" x14ac:dyDescent="0.35">
      <c r="A177" s="9">
        <v>2218</v>
      </c>
      <c r="B177" s="9" t="s">
        <v>34</v>
      </c>
      <c r="C177" s="9" t="s">
        <v>19</v>
      </c>
      <c r="D177" s="9" t="s">
        <v>39</v>
      </c>
      <c r="E177" s="9" t="s">
        <v>59</v>
      </c>
      <c r="F177" s="9">
        <v>2</v>
      </c>
      <c r="G177" s="9">
        <v>0</v>
      </c>
      <c r="H177" s="9">
        <v>0</v>
      </c>
      <c r="I177" s="9">
        <v>0</v>
      </c>
      <c r="J177" s="10">
        <v>45762</v>
      </c>
      <c r="K177" s="9" t="s">
        <v>45</v>
      </c>
      <c r="L177" s="9" t="s">
        <v>25</v>
      </c>
      <c r="M177" s="9">
        <v>1440.02</v>
      </c>
    </row>
    <row r="178" spans="1:13" x14ac:dyDescent="0.35">
      <c r="A178" s="9">
        <v>2219</v>
      </c>
      <c r="B178" s="9" t="s">
        <v>28</v>
      </c>
      <c r="C178" s="9" t="s">
        <v>22</v>
      </c>
      <c r="D178" s="9" t="s">
        <v>65</v>
      </c>
      <c r="E178" s="9" t="s">
        <v>59</v>
      </c>
      <c r="F178" s="9">
        <v>-1</v>
      </c>
      <c r="G178" s="9">
        <v>0</v>
      </c>
      <c r="H178" s="9">
        <v>1.06</v>
      </c>
      <c r="I178" s="9">
        <v>0</v>
      </c>
      <c r="J178" s="10">
        <v>45762</v>
      </c>
      <c r="K178" s="9" t="s">
        <v>45</v>
      </c>
      <c r="L178" s="9" t="s">
        <v>25</v>
      </c>
      <c r="M178" s="9">
        <v>3305.72</v>
      </c>
    </row>
    <row r="179" spans="1:13" x14ac:dyDescent="0.35">
      <c r="A179" s="9">
        <v>2220</v>
      </c>
      <c r="B179" s="9" t="s">
        <v>34</v>
      </c>
      <c r="C179" s="9" t="s">
        <v>18</v>
      </c>
      <c r="D179" s="9" t="s">
        <v>37</v>
      </c>
      <c r="E179" s="9" t="s">
        <v>59</v>
      </c>
      <c r="F179" s="9">
        <v>0</v>
      </c>
      <c r="G179" s="9">
        <v>0</v>
      </c>
      <c r="H179" s="9">
        <v>0</v>
      </c>
      <c r="I179" s="9">
        <v>0</v>
      </c>
      <c r="J179" s="10">
        <v>45544</v>
      </c>
      <c r="K179" s="9" t="s">
        <v>45</v>
      </c>
      <c r="L179" s="9" t="s">
        <v>27</v>
      </c>
      <c r="M179" s="9">
        <v>890.14</v>
      </c>
    </row>
    <row r="180" spans="1:13" x14ac:dyDescent="0.35">
      <c r="A180" s="9">
        <v>2221</v>
      </c>
      <c r="B180" s="9" t="s">
        <v>34</v>
      </c>
      <c r="C180" s="9" t="s">
        <v>21</v>
      </c>
      <c r="D180" s="9" t="s">
        <v>64</v>
      </c>
      <c r="E180" s="9" t="s">
        <v>60</v>
      </c>
      <c r="F180" s="9">
        <v>2</v>
      </c>
      <c r="G180" s="9">
        <v>3375.97</v>
      </c>
      <c r="H180" s="9">
        <v>0</v>
      </c>
      <c r="I180" s="9">
        <v>0</v>
      </c>
      <c r="J180" s="10">
        <v>45297</v>
      </c>
      <c r="K180" s="9" t="s">
        <v>44</v>
      </c>
      <c r="L180" s="9" t="s">
        <v>26</v>
      </c>
      <c r="M180" s="9">
        <v>-297.05</v>
      </c>
    </row>
    <row r="181" spans="1:13" x14ac:dyDescent="0.35">
      <c r="A181" s="9">
        <v>2222</v>
      </c>
      <c r="B181" s="9" t="s">
        <v>31</v>
      </c>
      <c r="C181" s="9" t="s">
        <v>18</v>
      </c>
      <c r="D181" s="9" t="s">
        <v>38</v>
      </c>
      <c r="E181" s="9" t="s">
        <v>62</v>
      </c>
      <c r="F181" s="9">
        <v>2</v>
      </c>
      <c r="G181" s="9">
        <v>8897.19</v>
      </c>
      <c r="H181" s="9">
        <v>0.11</v>
      </c>
      <c r="I181" s="9">
        <v>15837</v>
      </c>
      <c r="J181" s="10">
        <v>45647</v>
      </c>
      <c r="K181" s="9" t="s">
        <v>44</v>
      </c>
      <c r="L181" s="9" t="s">
        <v>26</v>
      </c>
      <c r="M181" s="9">
        <v>2821.69</v>
      </c>
    </row>
    <row r="182" spans="1:13" x14ac:dyDescent="0.35">
      <c r="A182" s="9">
        <v>2223</v>
      </c>
      <c r="B182" s="9" t="s">
        <v>34</v>
      </c>
      <c r="C182" s="9" t="s">
        <v>18</v>
      </c>
      <c r="D182" s="9" t="s">
        <v>33</v>
      </c>
      <c r="E182" s="9" t="s">
        <v>59</v>
      </c>
      <c r="F182" s="9">
        <v>-1</v>
      </c>
      <c r="G182" s="9">
        <v>9180.15</v>
      </c>
      <c r="H182" s="9">
        <v>0</v>
      </c>
      <c r="I182" s="9">
        <v>0</v>
      </c>
      <c r="J182" s="10">
        <v>45703</v>
      </c>
      <c r="K182" s="9" t="s">
        <v>45</v>
      </c>
      <c r="L182" s="9" t="s">
        <v>27</v>
      </c>
      <c r="M182" s="9">
        <v>799.28</v>
      </c>
    </row>
    <row r="183" spans="1:13" x14ac:dyDescent="0.35">
      <c r="A183" s="9">
        <v>2225</v>
      </c>
      <c r="B183" s="9" t="s">
        <v>34</v>
      </c>
      <c r="C183" s="9" t="s">
        <v>22</v>
      </c>
      <c r="D183" s="9" t="s">
        <v>67</v>
      </c>
      <c r="E183" s="9" t="s">
        <v>59</v>
      </c>
      <c r="F183" s="9">
        <v>0</v>
      </c>
      <c r="G183" s="9">
        <v>0</v>
      </c>
      <c r="H183" s="9">
        <v>0</v>
      </c>
      <c r="I183" s="9">
        <v>0</v>
      </c>
      <c r="J183" s="10">
        <v>45703</v>
      </c>
      <c r="K183" s="9" t="s">
        <v>44</v>
      </c>
      <c r="L183" s="9" t="s">
        <v>32</v>
      </c>
      <c r="M183" s="9">
        <v>1136.6300000000001</v>
      </c>
    </row>
    <row r="184" spans="1:13" x14ac:dyDescent="0.35">
      <c r="A184" s="9">
        <v>2021</v>
      </c>
      <c r="B184" s="9" t="s">
        <v>31</v>
      </c>
      <c r="C184" s="9" t="s">
        <v>20</v>
      </c>
      <c r="D184" s="9" t="s">
        <v>61</v>
      </c>
      <c r="E184" s="9" t="s">
        <v>62</v>
      </c>
      <c r="F184" s="9">
        <v>0</v>
      </c>
      <c r="G184" s="9">
        <v>2180.71</v>
      </c>
      <c r="H184" s="9">
        <v>0.82</v>
      </c>
      <c r="I184" s="9">
        <v>0</v>
      </c>
      <c r="J184" s="10">
        <v>45703</v>
      </c>
      <c r="K184" s="9" t="s">
        <v>44</v>
      </c>
      <c r="L184" s="9" t="s">
        <v>32</v>
      </c>
      <c r="M184" s="9">
        <v>2277.63</v>
      </c>
    </row>
    <row r="185" spans="1:13" x14ac:dyDescent="0.35">
      <c r="A185" s="9">
        <v>2229</v>
      </c>
      <c r="B185" s="9" t="s">
        <v>31</v>
      </c>
      <c r="C185" s="9" t="s">
        <v>20</v>
      </c>
      <c r="D185" s="9" t="s">
        <v>43</v>
      </c>
      <c r="E185" s="9" t="s">
        <v>62</v>
      </c>
      <c r="F185" s="9">
        <v>0</v>
      </c>
      <c r="G185" s="9">
        <v>7143.23</v>
      </c>
      <c r="H185" s="9">
        <v>0</v>
      </c>
      <c r="I185" s="9">
        <v>0</v>
      </c>
      <c r="J185" s="10">
        <v>45742</v>
      </c>
      <c r="K185" s="9" t="s">
        <v>44</v>
      </c>
      <c r="L185" s="9" t="s">
        <v>26</v>
      </c>
      <c r="M185" s="9">
        <v>3284.36</v>
      </c>
    </row>
    <row r="186" spans="1:13" x14ac:dyDescent="0.35">
      <c r="A186" s="9">
        <v>2230</v>
      </c>
      <c r="B186" s="9" t="s">
        <v>34</v>
      </c>
      <c r="C186" s="9" t="s">
        <v>21</v>
      </c>
      <c r="D186" s="9" t="s">
        <v>71</v>
      </c>
      <c r="E186" s="9" t="s">
        <v>59</v>
      </c>
      <c r="F186" s="9">
        <v>0</v>
      </c>
      <c r="G186" s="9">
        <v>0</v>
      </c>
      <c r="H186" s="9">
        <v>0</v>
      </c>
      <c r="I186" s="9">
        <v>0</v>
      </c>
      <c r="J186" s="10">
        <v>45742</v>
      </c>
      <c r="K186" s="9" t="s">
        <v>45</v>
      </c>
      <c r="L186" s="9" t="s">
        <v>25</v>
      </c>
      <c r="M186" s="9">
        <v>781.56</v>
      </c>
    </row>
    <row r="187" spans="1:13" x14ac:dyDescent="0.35">
      <c r="A187" s="9">
        <v>2231</v>
      </c>
      <c r="B187" s="9" t="s">
        <v>34</v>
      </c>
      <c r="C187" s="9" t="s">
        <v>18</v>
      </c>
      <c r="D187" s="9" t="s">
        <v>33</v>
      </c>
      <c r="E187" s="9" t="s">
        <v>59</v>
      </c>
      <c r="F187" s="9">
        <v>0</v>
      </c>
      <c r="G187" s="9">
        <v>0</v>
      </c>
      <c r="H187" s="9">
        <v>1.05</v>
      </c>
      <c r="I187" s="9">
        <v>0</v>
      </c>
      <c r="J187" s="10">
        <v>45661</v>
      </c>
      <c r="K187" s="9" t="s">
        <v>45</v>
      </c>
      <c r="L187" s="9" t="s">
        <v>25</v>
      </c>
      <c r="M187" s="9">
        <v>-39.479999999999997</v>
      </c>
    </row>
    <row r="188" spans="1:13" x14ac:dyDescent="0.35">
      <c r="A188" s="9">
        <v>2232</v>
      </c>
      <c r="B188" s="9" t="s">
        <v>28</v>
      </c>
      <c r="C188" s="9" t="s">
        <v>20</v>
      </c>
      <c r="D188" s="9" t="s">
        <v>66</v>
      </c>
      <c r="E188" s="9" t="s">
        <v>62</v>
      </c>
      <c r="F188" s="9">
        <v>0</v>
      </c>
      <c r="G188" s="9">
        <v>2149.2800000000002</v>
      </c>
      <c r="H188" s="9">
        <v>0.32</v>
      </c>
      <c r="I188" s="9">
        <v>0</v>
      </c>
      <c r="J188" s="10">
        <v>45613</v>
      </c>
      <c r="K188" s="9" t="s">
        <v>45</v>
      </c>
      <c r="L188" s="9" t="s">
        <v>27</v>
      </c>
      <c r="M188" s="9">
        <v>2409.87</v>
      </c>
    </row>
    <row r="189" spans="1:13" x14ac:dyDescent="0.35">
      <c r="A189" s="9">
        <v>2233</v>
      </c>
      <c r="B189" s="9" t="s">
        <v>31</v>
      </c>
      <c r="C189" s="9" t="s">
        <v>21</v>
      </c>
      <c r="D189" s="9" t="s">
        <v>40</v>
      </c>
      <c r="E189" s="9" t="s">
        <v>62</v>
      </c>
      <c r="F189" s="9">
        <v>0</v>
      </c>
      <c r="G189" s="9">
        <v>0</v>
      </c>
      <c r="H189" s="9">
        <v>0</v>
      </c>
      <c r="I189" s="9">
        <v>0</v>
      </c>
      <c r="J189" s="10">
        <v>45613</v>
      </c>
      <c r="K189" s="9" t="s">
        <v>45</v>
      </c>
      <c r="L189" s="9" t="s">
        <v>27</v>
      </c>
      <c r="M189" s="9">
        <v>2398.0700000000002</v>
      </c>
    </row>
    <row r="190" spans="1:13" x14ac:dyDescent="0.35">
      <c r="A190" s="9">
        <v>2042</v>
      </c>
      <c r="B190" s="9" t="s">
        <v>31</v>
      </c>
      <c r="C190" s="9" t="s">
        <v>22</v>
      </c>
      <c r="D190" s="9" t="s">
        <v>67</v>
      </c>
      <c r="E190" s="9" t="s">
        <v>59</v>
      </c>
      <c r="F190" s="9">
        <v>1</v>
      </c>
      <c r="G190" s="9">
        <v>5254.47</v>
      </c>
      <c r="H190" s="9">
        <v>0</v>
      </c>
      <c r="I190" s="9">
        <v>0</v>
      </c>
      <c r="J190" s="10">
        <v>45714</v>
      </c>
      <c r="K190" s="9" t="s">
        <v>44</v>
      </c>
      <c r="L190" s="9" t="s">
        <v>25</v>
      </c>
      <c r="M190" s="9">
        <v>2459.63</v>
      </c>
    </row>
    <row r="191" spans="1:13" x14ac:dyDescent="0.35">
      <c r="A191" s="9">
        <v>2236</v>
      </c>
      <c r="B191" s="9" t="s">
        <v>31</v>
      </c>
      <c r="C191" s="9" t="s">
        <v>19</v>
      </c>
      <c r="D191" s="9" t="s">
        <v>63</v>
      </c>
      <c r="E191" s="9" t="s">
        <v>59</v>
      </c>
      <c r="F191" s="9">
        <v>0</v>
      </c>
      <c r="G191" s="9">
        <v>0</v>
      </c>
      <c r="H191" s="9">
        <v>0</v>
      </c>
      <c r="I191" s="9">
        <v>0</v>
      </c>
      <c r="J191" s="10">
        <v>45714</v>
      </c>
      <c r="K191" s="9" t="s">
        <v>45</v>
      </c>
      <c r="L191" s="9" t="s">
        <v>29</v>
      </c>
      <c r="M191" s="9">
        <v>880.62</v>
      </c>
    </row>
    <row r="192" spans="1:13" x14ac:dyDescent="0.35">
      <c r="A192" s="9">
        <v>2237</v>
      </c>
      <c r="B192" s="9" t="s">
        <v>34</v>
      </c>
      <c r="C192" s="9" t="s">
        <v>18</v>
      </c>
      <c r="D192" s="9" t="s">
        <v>41</v>
      </c>
      <c r="E192" s="9" t="s">
        <v>59</v>
      </c>
      <c r="F192" s="9">
        <v>0</v>
      </c>
      <c r="G192" s="9">
        <v>5089.88</v>
      </c>
      <c r="H192" s="9">
        <v>0</v>
      </c>
      <c r="I192" s="9">
        <v>0</v>
      </c>
      <c r="J192" s="10">
        <v>45834</v>
      </c>
      <c r="K192" s="9" t="s">
        <v>45</v>
      </c>
      <c r="L192" s="9" t="s">
        <v>26</v>
      </c>
      <c r="M192" s="9">
        <v>-238.18</v>
      </c>
    </row>
    <row r="193" spans="1:13" x14ac:dyDescent="0.35">
      <c r="A193" s="9">
        <v>2239</v>
      </c>
      <c r="B193" s="9" t="s">
        <v>31</v>
      </c>
      <c r="C193" s="9" t="s">
        <v>18</v>
      </c>
      <c r="D193" s="9" t="s">
        <v>37</v>
      </c>
      <c r="E193" s="9" t="s">
        <v>62</v>
      </c>
      <c r="F193" s="9">
        <v>0</v>
      </c>
      <c r="G193" s="9">
        <v>0</v>
      </c>
      <c r="H193" s="9">
        <v>0</v>
      </c>
      <c r="I193" s="9">
        <v>0</v>
      </c>
      <c r="J193" s="10">
        <v>45508</v>
      </c>
      <c r="K193" s="9" t="s">
        <v>45</v>
      </c>
      <c r="L193" s="9" t="s">
        <v>27</v>
      </c>
      <c r="M193" s="9">
        <v>1750.71</v>
      </c>
    </row>
    <row r="194" spans="1:13" x14ac:dyDescent="0.35">
      <c r="A194" s="9">
        <v>2240</v>
      </c>
      <c r="B194" s="9" t="s">
        <v>34</v>
      </c>
      <c r="C194" s="9" t="s">
        <v>22</v>
      </c>
      <c r="D194" s="9" t="s">
        <v>65</v>
      </c>
      <c r="E194" s="9" t="s">
        <v>59</v>
      </c>
      <c r="F194" s="9">
        <v>0</v>
      </c>
      <c r="G194" s="9">
        <v>9520.5</v>
      </c>
      <c r="H194" s="9">
        <v>0.48</v>
      </c>
      <c r="I194" s="9">
        <v>0</v>
      </c>
      <c r="J194" s="10">
        <v>45679</v>
      </c>
      <c r="K194" s="9" t="s">
        <v>44</v>
      </c>
      <c r="L194" s="9" t="s">
        <v>27</v>
      </c>
      <c r="M194" s="9">
        <v>-928.85</v>
      </c>
    </row>
    <row r="195" spans="1:13" x14ac:dyDescent="0.35">
      <c r="A195" s="9">
        <v>2241</v>
      </c>
      <c r="B195" s="9" t="s">
        <v>28</v>
      </c>
      <c r="C195" s="9" t="s">
        <v>19</v>
      </c>
      <c r="D195" s="9" t="s">
        <v>42</v>
      </c>
      <c r="E195" s="9" t="s">
        <v>59</v>
      </c>
      <c r="F195" s="9">
        <v>0</v>
      </c>
      <c r="G195" s="9">
        <v>9662.0400000000009</v>
      </c>
      <c r="H195" s="9">
        <v>0</v>
      </c>
      <c r="I195" s="9">
        <v>0</v>
      </c>
      <c r="J195" s="10">
        <v>45707</v>
      </c>
      <c r="K195" s="9" t="s">
        <v>45</v>
      </c>
      <c r="L195" s="9" t="s">
        <v>32</v>
      </c>
      <c r="M195" s="9">
        <v>-233.74</v>
      </c>
    </row>
    <row r="196" spans="1:13" x14ac:dyDescent="0.35">
      <c r="A196" s="9">
        <v>2243</v>
      </c>
      <c r="B196" s="9" t="s">
        <v>31</v>
      </c>
      <c r="C196" s="9" t="s">
        <v>21</v>
      </c>
      <c r="D196" s="9" t="s">
        <v>36</v>
      </c>
      <c r="E196" s="9" t="s">
        <v>60</v>
      </c>
      <c r="F196" s="9">
        <v>0</v>
      </c>
      <c r="G196" s="9">
        <v>9747.58</v>
      </c>
      <c r="H196" s="9">
        <v>0</v>
      </c>
      <c r="I196" s="9">
        <v>0</v>
      </c>
      <c r="J196" s="10">
        <v>45603</v>
      </c>
      <c r="K196" s="9" t="s">
        <v>44</v>
      </c>
      <c r="L196" s="9" t="s">
        <v>29</v>
      </c>
      <c r="M196" s="9">
        <v>266.31</v>
      </c>
    </row>
    <row r="197" spans="1:13" x14ac:dyDescent="0.35">
      <c r="A197" s="9">
        <v>2244</v>
      </c>
      <c r="B197" s="9" t="s">
        <v>34</v>
      </c>
      <c r="C197" s="9" t="s">
        <v>18</v>
      </c>
      <c r="D197" s="9" t="s">
        <v>41</v>
      </c>
      <c r="E197" s="9" t="s">
        <v>60</v>
      </c>
      <c r="F197" s="9">
        <v>2</v>
      </c>
      <c r="G197" s="9">
        <v>0</v>
      </c>
      <c r="H197" s="9">
        <v>0</v>
      </c>
      <c r="I197" s="9">
        <v>0</v>
      </c>
      <c r="J197" s="10">
        <v>45603</v>
      </c>
      <c r="K197" s="9" t="s">
        <v>45</v>
      </c>
      <c r="L197" s="9" t="s">
        <v>29</v>
      </c>
      <c r="M197" s="9">
        <v>1904.11</v>
      </c>
    </row>
    <row r="198" spans="1:13" x14ac:dyDescent="0.35">
      <c r="A198" s="9">
        <v>2246</v>
      </c>
      <c r="B198" s="9" t="s">
        <v>34</v>
      </c>
      <c r="C198" s="9" t="s">
        <v>22</v>
      </c>
      <c r="D198" s="9" t="s">
        <v>30</v>
      </c>
      <c r="E198" s="9" t="s">
        <v>60</v>
      </c>
      <c r="F198" s="9">
        <v>-1</v>
      </c>
      <c r="G198" s="9">
        <v>7806.98</v>
      </c>
      <c r="H198" s="9">
        <v>0</v>
      </c>
      <c r="I198" s="9">
        <v>0</v>
      </c>
      <c r="J198" s="10">
        <v>45567</v>
      </c>
      <c r="K198" s="9" t="s">
        <v>45</v>
      </c>
      <c r="L198" s="9" t="s">
        <v>32</v>
      </c>
      <c r="M198" s="9">
        <v>-943.35</v>
      </c>
    </row>
    <row r="199" spans="1:13" x14ac:dyDescent="0.35">
      <c r="A199" s="9">
        <v>2248</v>
      </c>
      <c r="B199" s="9" t="s">
        <v>31</v>
      </c>
      <c r="C199" s="9" t="s">
        <v>18</v>
      </c>
      <c r="D199" s="9" t="s">
        <v>41</v>
      </c>
      <c r="E199" s="9" t="s">
        <v>59</v>
      </c>
      <c r="F199" s="9">
        <v>4</v>
      </c>
      <c r="G199" s="9">
        <v>8249.9599999999991</v>
      </c>
      <c r="H199" s="9">
        <v>0.24</v>
      </c>
      <c r="I199" s="9">
        <v>25079.88</v>
      </c>
      <c r="J199" s="10">
        <v>45307</v>
      </c>
      <c r="K199" s="9" t="s">
        <v>45</v>
      </c>
      <c r="L199" s="9" t="s">
        <v>25</v>
      </c>
      <c r="M199" s="9">
        <v>1625.14</v>
      </c>
    </row>
    <row r="200" spans="1:13" x14ac:dyDescent="0.35">
      <c r="A200" s="9">
        <v>2249</v>
      </c>
      <c r="B200" s="9" t="s">
        <v>31</v>
      </c>
      <c r="C200" s="9" t="s">
        <v>18</v>
      </c>
      <c r="D200" s="9" t="s">
        <v>33</v>
      </c>
      <c r="E200" s="9" t="s">
        <v>59</v>
      </c>
      <c r="F200" s="9">
        <v>0</v>
      </c>
      <c r="G200" s="9">
        <v>7730.77</v>
      </c>
      <c r="H200" s="9">
        <v>0</v>
      </c>
      <c r="I200" s="9">
        <v>0</v>
      </c>
      <c r="J200" s="10">
        <v>45440</v>
      </c>
      <c r="K200" s="9" t="s">
        <v>45</v>
      </c>
      <c r="L200" s="9" t="s">
        <v>29</v>
      </c>
      <c r="M200" s="9">
        <v>-692.94</v>
      </c>
    </row>
    <row r="201" spans="1:13" x14ac:dyDescent="0.35">
      <c r="A201" s="9">
        <v>2250</v>
      </c>
      <c r="B201" s="9" t="s">
        <v>31</v>
      </c>
      <c r="C201" s="9" t="s">
        <v>22</v>
      </c>
      <c r="D201" s="9" t="s">
        <v>67</v>
      </c>
      <c r="E201" s="9" t="s">
        <v>62</v>
      </c>
      <c r="F201" s="9">
        <v>0</v>
      </c>
      <c r="G201" s="9">
        <v>0</v>
      </c>
      <c r="H201" s="9">
        <v>0</v>
      </c>
      <c r="I201" s="9">
        <v>0</v>
      </c>
      <c r="J201" s="10">
        <v>45566</v>
      </c>
      <c r="K201" s="9" t="s">
        <v>44</v>
      </c>
      <c r="L201" s="9" t="s">
        <v>35</v>
      </c>
      <c r="M201" s="9">
        <v>821.13</v>
      </c>
    </row>
    <row r="202" spans="1:13" x14ac:dyDescent="0.35">
      <c r="A202" s="9">
        <v>2252</v>
      </c>
      <c r="B202" s="9" t="s">
        <v>28</v>
      </c>
      <c r="C202" s="9" t="s">
        <v>20</v>
      </c>
      <c r="D202" s="9" t="s">
        <v>66</v>
      </c>
      <c r="E202" s="9" t="s">
        <v>60</v>
      </c>
      <c r="F202" s="9">
        <v>0</v>
      </c>
      <c r="G202" s="9">
        <v>0</v>
      </c>
      <c r="H202" s="9">
        <v>0</v>
      </c>
      <c r="I202" s="9">
        <v>0</v>
      </c>
      <c r="J202" s="10">
        <v>45566</v>
      </c>
      <c r="K202" s="9" t="s">
        <v>44</v>
      </c>
      <c r="L202" s="9" t="s">
        <v>29</v>
      </c>
      <c r="M202" s="9">
        <v>934.87</v>
      </c>
    </row>
    <row r="203" spans="1:13" x14ac:dyDescent="0.35">
      <c r="A203" s="9">
        <v>2253</v>
      </c>
      <c r="B203" s="9" t="s">
        <v>31</v>
      </c>
      <c r="C203" s="9" t="s">
        <v>18</v>
      </c>
      <c r="D203" s="9" t="s">
        <v>33</v>
      </c>
      <c r="E203" s="9" t="s">
        <v>59</v>
      </c>
      <c r="F203" s="9">
        <v>0</v>
      </c>
      <c r="G203" s="9">
        <v>0</v>
      </c>
      <c r="H203" s="9">
        <v>0</v>
      </c>
      <c r="I203" s="9">
        <v>0</v>
      </c>
      <c r="J203" s="10">
        <v>45795</v>
      </c>
      <c r="K203" s="9" t="s">
        <v>45</v>
      </c>
      <c r="L203" s="9" t="s">
        <v>25</v>
      </c>
      <c r="M203" s="9">
        <v>1516.72</v>
      </c>
    </row>
    <row r="204" spans="1:13" x14ac:dyDescent="0.35">
      <c r="A204" s="9">
        <v>2254</v>
      </c>
      <c r="B204" s="9" t="s">
        <v>28</v>
      </c>
      <c r="C204" s="9" t="s">
        <v>22</v>
      </c>
      <c r="D204" s="9" t="s">
        <v>30</v>
      </c>
      <c r="E204" s="9" t="s">
        <v>59</v>
      </c>
      <c r="F204" s="9">
        <v>0</v>
      </c>
      <c r="G204" s="9">
        <v>0</v>
      </c>
      <c r="H204" s="9">
        <v>0.89</v>
      </c>
      <c r="I204" s="9">
        <v>0</v>
      </c>
      <c r="J204" s="10">
        <v>45771</v>
      </c>
      <c r="K204" s="9" t="s">
        <v>45</v>
      </c>
      <c r="L204" s="9" t="s">
        <v>32</v>
      </c>
      <c r="M204" s="9">
        <v>1642</v>
      </c>
    </row>
    <row r="205" spans="1:13" x14ac:dyDescent="0.35">
      <c r="A205" s="9">
        <v>2255</v>
      </c>
      <c r="B205" s="9" t="s">
        <v>34</v>
      </c>
      <c r="C205" s="9" t="s">
        <v>22</v>
      </c>
      <c r="D205" s="9" t="s">
        <v>30</v>
      </c>
      <c r="E205" s="9" t="s">
        <v>62</v>
      </c>
      <c r="F205" s="9">
        <v>0</v>
      </c>
      <c r="G205" s="9">
        <v>2222.5500000000002</v>
      </c>
      <c r="H205" s="9">
        <v>0.84</v>
      </c>
      <c r="I205" s="9">
        <v>0</v>
      </c>
      <c r="J205" s="10">
        <v>45753</v>
      </c>
      <c r="K205" s="9" t="s">
        <v>44</v>
      </c>
      <c r="L205" s="9" t="s">
        <v>26</v>
      </c>
      <c r="M205" s="9">
        <v>586.55999999999995</v>
      </c>
    </row>
    <row r="206" spans="1:13" x14ac:dyDescent="0.35">
      <c r="A206" s="9">
        <v>2257</v>
      </c>
      <c r="B206" s="9" t="s">
        <v>31</v>
      </c>
      <c r="C206" s="9" t="s">
        <v>22</v>
      </c>
      <c r="D206" s="9" t="s">
        <v>67</v>
      </c>
      <c r="E206" s="9" t="s">
        <v>62</v>
      </c>
      <c r="F206" s="9">
        <v>1</v>
      </c>
      <c r="G206" s="9">
        <v>0</v>
      </c>
      <c r="H206" s="9">
        <v>0</v>
      </c>
      <c r="I206" s="9">
        <v>0</v>
      </c>
      <c r="J206" s="10">
        <v>45697</v>
      </c>
      <c r="K206" s="9" t="s">
        <v>45</v>
      </c>
      <c r="L206" s="9" t="s">
        <v>26</v>
      </c>
      <c r="M206" s="9">
        <v>-365.42</v>
      </c>
    </row>
    <row r="207" spans="1:13" x14ac:dyDescent="0.35">
      <c r="A207" s="9">
        <v>2258</v>
      </c>
      <c r="B207" s="9" t="s">
        <v>28</v>
      </c>
      <c r="C207" s="9" t="s">
        <v>21</v>
      </c>
      <c r="D207" s="9" t="s">
        <v>71</v>
      </c>
      <c r="E207" s="9" t="s">
        <v>60</v>
      </c>
      <c r="F207" s="9">
        <v>0</v>
      </c>
      <c r="G207" s="9">
        <v>0</v>
      </c>
      <c r="H207" s="9">
        <v>0.39</v>
      </c>
      <c r="I207" s="9">
        <v>0</v>
      </c>
      <c r="J207" s="10">
        <v>45251</v>
      </c>
      <c r="K207" s="9" t="s">
        <v>45</v>
      </c>
      <c r="L207" s="9" t="s">
        <v>26</v>
      </c>
      <c r="M207" s="9">
        <v>2824.7</v>
      </c>
    </row>
    <row r="208" spans="1:13" x14ac:dyDescent="0.35">
      <c r="A208" s="9">
        <v>2259</v>
      </c>
      <c r="B208" s="9" t="s">
        <v>28</v>
      </c>
      <c r="C208" s="9" t="s">
        <v>19</v>
      </c>
      <c r="D208" s="9" t="s">
        <v>63</v>
      </c>
      <c r="E208" s="9" t="s">
        <v>59</v>
      </c>
      <c r="F208" s="9">
        <v>0</v>
      </c>
      <c r="G208" s="9">
        <v>0</v>
      </c>
      <c r="H208" s="9">
        <v>0</v>
      </c>
      <c r="I208" s="9">
        <v>0</v>
      </c>
      <c r="J208" s="10">
        <v>45585</v>
      </c>
      <c r="K208" s="9" t="s">
        <v>44</v>
      </c>
      <c r="L208" s="9" t="s">
        <v>29</v>
      </c>
      <c r="M208" s="9">
        <v>2323.89</v>
      </c>
    </row>
    <row r="209" spans="1:13" x14ac:dyDescent="0.35">
      <c r="A209" s="9">
        <v>2260</v>
      </c>
      <c r="B209" s="9" t="s">
        <v>28</v>
      </c>
      <c r="C209" s="9" t="s">
        <v>21</v>
      </c>
      <c r="D209" s="9" t="s">
        <v>71</v>
      </c>
      <c r="E209" s="9" t="s">
        <v>59</v>
      </c>
      <c r="F209" s="9">
        <v>2</v>
      </c>
      <c r="G209" s="9">
        <v>0</v>
      </c>
      <c r="H209" s="9">
        <v>0</v>
      </c>
      <c r="I209" s="9">
        <v>0</v>
      </c>
      <c r="J209" s="10">
        <v>45638</v>
      </c>
      <c r="K209" s="9" t="s">
        <v>44</v>
      </c>
      <c r="L209" s="9" t="s">
        <v>35</v>
      </c>
      <c r="M209" s="9">
        <v>-352.18</v>
      </c>
    </row>
    <row r="210" spans="1:13" x14ac:dyDescent="0.35">
      <c r="A210" s="9">
        <v>2262</v>
      </c>
      <c r="B210" s="9" t="s">
        <v>28</v>
      </c>
      <c r="C210" s="9" t="s">
        <v>20</v>
      </c>
      <c r="D210" s="9" t="s">
        <v>70</v>
      </c>
      <c r="E210" s="9" t="s">
        <v>60</v>
      </c>
      <c r="F210" s="9">
        <v>0</v>
      </c>
      <c r="G210" s="9">
        <v>0</v>
      </c>
      <c r="H210" s="9">
        <v>0</v>
      </c>
      <c r="I210" s="9">
        <v>0</v>
      </c>
      <c r="J210" s="10">
        <v>45550</v>
      </c>
      <c r="K210" s="9" t="s">
        <v>44</v>
      </c>
      <c r="L210" s="9" t="s">
        <v>35</v>
      </c>
      <c r="M210" s="9">
        <v>3146.93</v>
      </c>
    </row>
    <row r="211" spans="1:13" x14ac:dyDescent="0.35">
      <c r="A211" s="9">
        <v>2263</v>
      </c>
      <c r="B211" s="9" t="s">
        <v>28</v>
      </c>
      <c r="C211" s="9" t="s">
        <v>19</v>
      </c>
      <c r="D211" s="9" t="s">
        <v>39</v>
      </c>
      <c r="E211" s="9" t="s">
        <v>59</v>
      </c>
      <c r="F211" s="9">
        <v>0</v>
      </c>
      <c r="G211" s="9">
        <v>5172.1400000000003</v>
      </c>
      <c r="H211" s="9">
        <v>0</v>
      </c>
      <c r="I211" s="9">
        <v>0</v>
      </c>
      <c r="J211" s="10">
        <v>45573</v>
      </c>
      <c r="K211" s="9" t="s">
        <v>45</v>
      </c>
      <c r="L211" s="9" t="s">
        <v>27</v>
      </c>
      <c r="M211" s="9">
        <v>2510.5500000000002</v>
      </c>
    </row>
    <row r="212" spans="1:13" x14ac:dyDescent="0.35">
      <c r="A212" s="9">
        <v>2265</v>
      </c>
      <c r="B212" s="9" t="s">
        <v>28</v>
      </c>
      <c r="C212" s="9" t="s">
        <v>19</v>
      </c>
      <c r="D212" s="9" t="s">
        <v>39</v>
      </c>
      <c r="E212" s="9" t="s">
        <v>59</v>
      </c>
      <c r="F212" s="9">
        <v>0</v>
      </c>
      <c r="G212" s="9">
        <v>2422.9699999999998</v>
      </c>
      <c r="H212" s="9">
        <v>0</v>
      </c>
      <c r="I212" s="9">
        <v>0</v>
      </c>
      <c r="J212" s="10">
        <v>45619</v>
      </c>
      <c r="K212" s="9" t="s">
        <v>44</v>
      </c>
      <c r="L212" s="9" t="s">
        <v>29</v>
      </c>
      <c r="M212" s="9">
        <v>-67.739999999999995</v>
      </c>
    </row>
    <row r="213" spans="1:13" x14ac:dyDescent="0.35">
      <c r="A213" s="9">
        <v>2266</v>
      </c>
      <c r="B213" s="9" t="s">
        <v>28</v>
      </c>
      <c r="C213" s="9" t="s">
        <v>22</v>
      </c>
      <c r="D213" s="9" t="s">
        <v>30</v>
      </c>
      <c r="E213" s="9" t="s">
        <v>60</v>
      </c>
      <c r="F213" s="9">
        <v>0</v>
      </c>
      <c r="G213" s="9">
        <v>0</v>
      </c>
      <c r="H213" s="9">
        <v>0</v>
      </c>
      <c r="I213" s="9">
        <v>0</v>
      </c>
      <c r="J213" s="10">
        <v>45857</v>
      </c>
      <c r="K213" s="9" t="s">
        <v>44</v>
      </c>
      <c r="L213" s="9" t="s">
        <v>27</v>
      </c>
      <c r="M213" s="9">
        <v>3475.59</v>
      </c>
    </row>
    <row r="214" spans="1:13" x14ac:dyDescent="0.35">
      <c r="A214" s="9">
        <v>2267</v>
      </c>
      <c r="B214" s="9" t="s">
        <v>28</v>
      </c>
      <c r="C214" s="9" t="s">
        <v>20</v>
      </c>
      <c r="D214" s="9" t="s">
        <v>43</v>
      </c>
      <c r="E214" s="9" t="s">
        <v>59</v>
      </c>
      <c r="F214" s="9">
        <v>-1</v>
      </c>
      <c r="G214" s="9">
        <v>3075.72</v>
      </c>
      <c r="H214" s="9">
        <v>0</v>
      </c>
      <c r="I214" s="9">
        <v>0</v>
      </c>
      <c r="J214" s="10">
        <v>45646</v>
      </c>
      <c r="K214" s="9" t="s">
        <v>44</v>
      </c>
      <c r="L214" s="9" t="s">
        <v>27</v>
      </c>
      <c r="M214" s="9">
        <v>238.78</v>
      </c>
    </row>
    <row r="215" spans="1:13" x14ac:dyDescent="0.35">
      <c r="A215" s="9">
        <v>2268</v>
      </c>
      <c r="B215" s="9" t="s">
        <v>31</v>
      </c>
      <c r="C215" s="9" t="s">
        <v>19</v>
      </c>
      <c r="D215" s="9" t="s">
        <v>63</v>
      </c>
      <c r="E215" s="9" t="s">
        <v>59</v>
      </c>
      <c r="F215" s="9">
        <v>3</v>
      </c>
      <c r="G215" s="9">
        <v>7330.81</v>
      </c>
      <c r="H215" s="9">
        <v>0</v>
      </c>
      <c r="I215" s="9">
        <v>0</v>
      </c>
      <c r="J215" s="10">
        <v>45246</v>
      </c>
      <c r="K215" s="9" t="s">
        <v>45</v>
      </c>
      <c r="L215" s="9" t="s">
        <v>27</v>
      </c>
      <c r="M215" s="9">
        <v>518.71</v>
      </c>
    </row>
    <row r="216" spans="1:13" x14ac:dyDescent="0.35">
      <c r="A216" s="9">
        <v>2269</v>
      </c>
      <c r="B216" s="9" t="s">
        <v>28</v>
      </c>
      <c r="C216" s="9" t="s">
        <v>18</v>
      </c>
      <c r="D216" s="9" t="s">
        <v>38</v>
      </c>
      <c r="E216" s="9" t="s">
        <v>59</v>
      </c>
      <c r="F216" s="9">
        <v>4</v>
      </c>
      <c r="G216" s="9">
        <v>6424.32</v>
      </c>
      <c r="H216" s="9">
        <v>0</v>
      </c>
      <c r="I216" s="9">
        <v>0</v>
      </c>
      <c r="J216" s="10">
        <v>45487</v>
      </c>
      <c r="K216" s="9" t="s">
        <v>44</v>
      </c>
      <c r="L216" s="9" t="s">
        <v>26</v>
      </c>
      <c r="M216" s="9">
        <v>-405.26</v>
      </c>
    </row>
    <row r="217" spans="1:13" x14ac:dyDescent="0.35">
      <c r="A217" s="9">
        <v>2270</v>
      </c>
      <c r="B217" s="9" t="s">
        <v>31</v>
      </c>
      <c r="C217" s="9" t="s">
        <v>20</v>
      </c>
      <c r="D217" s="9" t="s">
        <v>61</v>
      </c>
      <c r="E217" s="9" t="s">
        <v>62</v>
      </c>
      <c r="F217" s="9">
        <v>1</v>
      </c>
      <c r="G217" s="9">
        <v>0</v>
      </c>
      <c r="H217" s="9">
        <v>1.03</v>
      </c>
      <c r="I217" s="9">
        <v>0</v>
      </c>
      <c r="J217" s="10">
        <v>45814</v>
      </c>
      <c r="K217" s="9" t="s">
        <v>44</v>
      </c>
      <c r="L217" s="9" t="s">
        <v>35</v>
      </c>
      <c r="M217" s="9">
        <v>3088.25</v>
      </c>
    </row>
    <row r="218" spans="1:13" x14ac:dyDescent="0.35">
      <c r="A218" s="9">
        <v>2271</v>
      </c>
      <c r="B218" s="9" t="s">
        <v>34</v>
      </c>
      <c r="C218" s="9" t="s">
        <v>21</v>
      </c>
      <c r="D218" s="9" t="s">
        <v>64</v>
      </c>
      <c r="E218" s="9" t="s">
        <v>59</v>
      </c>
      <c r="F218" s="9">
        <v>0</v>
      </c>
      <c r="G218" s="9">
        <v>5116.58</v>
      </c>
      <c r="H218" s="9">
        <v>7.0000000000000007E-2</v>
      </c>
      <c r="I218" s="9">
        <v>0</v>
      </c>
      <c r="J218" s="10">
        <v>45415</v>
      </c>
      <c r="K218" s="9" t="s">
        <v>44</v>
      </c>
      <c r="L218" s="9" t="s">
        <v>29</v>
      </c>
      <c r="M218" s="9">
        <v>1293.94</v>
      </c>
    </row>
    <row r="219" spans="1:13" x14ac:dyDescent="0.35">
      <c r="A219" s="9">
        <v>2038</v>
      </c>
      <c r="B219" s="9" t="s">
        <v>28</v>
      </c>
      <c r="C219" s="9" t="s">
        <v>18</v>
      </c>
      <c r="D219" s="9" t="s">
        <v>38</v>
      </c>
      <c r="E219" s="9" t="s">
        <v>62</v>
      </c>
      <c r="F219" s="9">
        <v>1</v>
      </c>
      <c r="G219" s="9">
        <v>7338.57</v>
      </c>
      <c r="H219" s="9">
        <v>0</v>
      </c>
      <c r="I219" s="9">
        <v>0</v>
      </c>
      <c r="J219" s="10">
        <v>45586</v>
      </c>
      <c r="K219" s="9" t="s">
        <v>44</v>
      </c>
      <c r="L219" s="9" t="s">
        <v>29</v>
      </c>
      <c r="M219" s="9">
        <v>3680.24</v>
      </c>
    </row>
    <row r="220" spans="1:13" x14ac:dyDescent="0.35">
      <c r="A220" s="9">
        <v>2273</v>
      </c>
      <c r="B220" s="9" t="s">
        <v>34</v>
      </c>
      <c r="C220" s="9" t="s">
        <v>20</v>
      </c>
      <c r="D220" s="9" t="s">
        <v>66</v>
      </c>
      <c r="E220" s="9" t="s">
        <v>59</v>
      </c>
      <c r="F220" s="9">
        <v>-1</v>
      </c>
      <c r="G220" s="9">
        <v>4004.36</v>
      </c>
      <c r="H220" s="9">
        <v>0</v>
      </c>
      <c r="I220" s="9">
        <v>0</v>
      </c>
      <c r="J220" s="10">
        <v>45321</v>
      </c>
      <c r="K220" s="9" t="s">
        <v>45</v>
      </c>
      <c r="L220" s="9" t="s">
        <v>27</v>
      </c>
      <c r="M220" s="9">
        <v>-614.66</v>
      </c>
    </row>
    <row r="221" spans="1:13" x14ac:dyDescent="0.35">
      <c r="A221" s="9">
        <v>2274</v>
      </c>
      <c r="B221" s="9" t="s">
        <v>28</v>
      </c>
      <c r="C221" s="9" t="s">
        <v>18</v>
      </c>
      <c r="D221" s="9" t="s">
        <v>41</v>
      </c>
      <c r="E221" s="9" t="s">
        <v>59</v>
      </c>
      <c r="F221" s="9">
        <v>4</v>
      </c>
      <c r="G221" s="9">
        <v>0</v>
      </c>
      <c r="H221" s="9">
        <v>0.45</v>
      </c>
      <c r="I221" s="9">
        <v>0</v>
      </c>
      <c r="J221" s="10">
        <v>45821</v>
      </c>
      <c r="K221" s="9" t="s">
        <v>45</v>
      </c>
      <c r="L221" s="9" t="s">
        <v>25</v>
      </c>
      <c r="M221" s="9">
        <v>2561.89</v>
      </c>
    </row>
    <row r="222" spans="1:13" x14ac:dyDescent="0.35">
      <c r="A222" s="9">
        <v>2275</v>
      </c>
      <c r="B222" s="9" t="s">
        <v>34</v>
      </c>
      <c r="C222" s="9" t="s">
        <v>20</v>
      </c>
      <c r="D222" s="9" t="s">
        <v>70</v>
      </c>
      <c r="E222" s="9" t="s">
        <v>59</v>
      </c>
      <c r="F222" s="9">
        <v>-1</v>
      </c>
      <c r="G222" s="9">
        <v>0</v>
      </c>
      <c r="H222" s="9">
        <v>0</v>
      </c>
      <c r="I222" s="9">
        <v>0</v>
      </c>
      <c r="J222" s="10">
        <v>45841</v>
      </c>
      <c r="K222" s="9" t="s">
        <v>45</v>
      </c>
      <c r="L222" s="9" t="s">
        <v>35</v>
      </c>
      <c r="M222" s="9">
        <v>-783.71</v>
      </c>
    </row>
    <row r="223" spans="1:13" x14ac:dyDescent="0.35">
      <c r="A223" s="9">
        <v>2276</v>
      </c>
      <c r="B223" s="9" t="s">
        <v>34</v>
      </c>
      <c r="C223" s="9" t="s">
        <v>21</v>
      </c>
      <c r="D223" s="9" t="s">
        <v>40</v>
      </c>
      <c r="E223" s="9" t="s">
        <v>60</v>
      </c>
      <c r="F223" s="9">
        <v>-1</v>
      </c>
      <c r="G223" s="9">
        <v>6066.5</v>
      </c>
      <c r="H223" s="9">
        <v>0</v>
      </c>
      <c r="I223" s="9">
        <v>0</v>
      </c>
      <c r="J223" s="10">
        <v>45167</v>
      </c>
      <c r="K223" s="9" t="s">
        <v>44</v>
      </c>
      <c r="L223" s="9" t="s">
        <v>27</v>
      </c>
      <c r="M223" s="9">
        <v>1181.8699999999999</v>
      </c>
    </row>
    <row r="224" spans="1:13" x14ac:dyDescent="0.35">
      <c r="A224" s="9">
        <v>2277</v>
      </c>
      <c r="B224" s="9" t="s">
        <v>34</v>
      </c>
      <c r="C224" s="9" t="s">
        <v>22</v>
      </c>
      <c r="D224" s="9" t="s">
        <v>30</v>
      </c>
      <c r="E224" s="9" t="s">
        <v>59</v>
      </c>
      <c r="F224" s="9">
        <v>0</v>
      </c>
      <c r="G224" s="9">
        <v>3682.84</v>
      </c>
      <c r="H224" s="9">
        <v>0</v>
      </c>
      <c r="I224" s="9">
        <v>0</v>
      </c>
      <c r="J224" s="10">
        <v>45654</v>
      </c>
      <c r="K224" s="9" t="s">
        <v>45</v>
      </c>
      <c r="L224" s="9" t="s">
        <v>32</v>
      </c>
      <c r="M224" s="9">
        <v>3967.77</v>
      </c>
    </row>
    <row r="225" spans="1:13" x14ac:dyDescent="0.35">
      <c r="A225" s="9">
        <v>2278</v>
      </c>
      <c r="B225" s="9" t="s">
        <v>31</v>
      </c>
      <c r="C225" s="9" t="s">
        <v>18</v>
      </c>
      <c r="D225" s="9" t="s">
        <v>37</v>
      </c>
      <c r="E225" s="9" t="s">
        <v>59</v>
      </c>
      <c r="F225" s="9">
        <v>0</v>
      </c>
      <c r="G225" s="9">
        <v>0</v>
      </c>
      <c r="H225" s="9">
        <v>1.22</v>
      </c>
      <c r="I225" s="9">
        <v>0</v>
      </c>
      <c r="J225" s="10">
        <v>45723</v>
      </c>
      <c r="K225" s="9" t="s">
        <v>44</v>
      </c>
      <c r="L225" s="9" t="s">
        <v>35</v>
      </c>
      <c r="M225" s="9">
        <v>3638.15</v>
      </c>
    </row>
    <row r="226" spans="1:13" x14ac:dyDescent="0.35">
      <c r="A226" s="9">
        <v>2279</v>
      </c>
      <c r="B226" s="9" t="s">
        <v>28</v>
      </c>
      <c r="C226" s="9" t="s">
        <v>21</v>
      </c>
      <c r="D226" s="9" t="s">
        <v>36</v>
      </c>
      <c r="E226" s="9" t="s">
        <v>59</v>
      </c>
      <c r="F226" s="9">
        <v>0</v>
      </c>
      <c r="G226" s="9">
        <v>0</v>
      </c>
      <c r="H226" s="9">
        <v>0</v>
      </c>
      <c r="I226" s="9">
        <v>0</v>
      </c>
      <c r="J226" s="10">
        <v>45507</v>
      </c>
      <c r="K226" s="9" t="s">
        <v>44</v>
      </c>
      <c r="L226" s="9" t="s">
        <v>26</v>
      </c>
      <c r="M226" s="9">
        <v>766.72</v>
      </c>
    </row>
    <row r="227" spans="1:13" x14ac:dyDescent="0.35">
      <c r="A227" s="9">
        <v>2280</v>
      </c>
      <c r="B227" s="9" t="s">
        <v>28</v>
      </c>
      <c r="C227" s="9" t="s">
        <v>19</v>
      </c>
      <c r="D227" s="9" t="s">
        <v>63</v>
      </c>
      <c r="E227" s="9" t="s">
        <v>59</v>
      </c>
      <c r="F227" s="9">
        <v>-1</v>
      </c>
      <c r="G227" s="9">
        <v>0</v>
      </c>
      <c r="H227" s="9">
        <v>0</v>
      </c>
      <c r="I227" s="9">
        <v>0</v>
      </c>
      <c r="J227" s="10">
        <v>45701</v>
      </c>
      <c r="K227" s="9" t="s">
        <v>45</v>
      </c>
      <c r="L227" s="9" t="s">
        <v>29</v>
      </c>
      <c r="M227" s="9">
        <v>3069.57</v>
      </c>
    </row>
    <row r="228" spans="1:13" x14ac:dyDescent="0.35">
      <c r="A228" s="9">
        <v>2281</v>
      </c>
      <c r="B228" s="9" t="s">
        <v>34</v>
      </c>
      <c r="C228" s="9" t="s">
        <v>21</v>
      </c>
      <c r="D228" s="9" t="s">
        <v>64</v>
      </c>
      <c r="E228" s="9" t="s">
        <v>59</v>
      </c>
      <c r="F228" s="9">
        <v>2</v>
      </c>
      <c r="G228" s="9">
        <v>0</v>
      </c>
      <c r="H228" s="9">
        <v>0</v>
      </c>
      <c r="I228" s="9">
        <v>0</v>
      </c>
      <c r="J228" s="10">
        <v>45851</v>
      </c>
      <c r="K228" s="9" t="s">
        <v>44</v>
      </c>
      <c r="L228" s="9" t="s">
        <v>27</v>
      </c>
      <c r="M228" s="9">
        <v>1753.48</v>
      </c>
    </row>
    <row r="229" spans="1:13" x14ac:dyDescent="0.35">
      <c r="A229" s="9">
        <v>2283</v>
      </c>
      <c r="B229" s="9" t="s">
        <v>31</v>
      </c>
      <c r="C229" s="9" t="s">
        <v>19</v>
      </c>
      <c r="D229" s="9" t="s">
        <v>63</v>
      </c>
      <c r="E229" s="9" t="s">
        <v>59</v>
      </c>
      <c r="F229" s="9">
        <v>1</v>
      </c>
      <c r="G229" s="9">
        <v>0</v>
      </c>
      <c r="H229" s="9">
        <v>0</v>
      </c>
      <c r="I229" s="9">
        <v>0</v>
      </c>
      <c r="J229" s="10">
        <v>45525</v>
      </c>
      <c r="K229" s="9" t="s">
        <v>44</v>
      </c>
      <c r="L229" s="9" t="s">
        <v>29</v>
      </c>
      <c r="M229" s="9">
        <v>468.59</v>
      </c>
    </row>
    <row r="230" spans="1:13" x14ac:dyDescent="0.35">
      <c r="A230" s="9">
        <v>2284</v>
      </c>
      <c r="B230" s="9" t="s">
        <v>34</v>
      </c>
      <c r="C230" s="9" t="s">
        <v>19</v>
      </c>
      <c r="D230" s="9" t="s">
        <v>63</v>
      </c>
      <c r="E230" s="9" t="s">
        <v>59</v>
      </c>
      <c r="F230" s="9">
        <v>0</v>
      </c>
      <c r="G230" s="9">
        <v>0</v>
      </c>
      <c r="H230" s="9">
        <v>0.53</v>
      </c>
      <c r="I230" s="9">
        <v>0</v>
      </c>
      <c r="J230" s="10">
        <v>45573</v>
      </c>
      <c r="K230" s="9" t="s">
        <v>45</v>
      </c>
      <c r="L230" s="9" t="s">
        <v>27</v>
      </c>
      <c r="M230" s="9">
        <v>1370.01</v>
      </c>
    </row>
    <row r="231" spans="1:13" x14ac:dyDescent="0.35">
      <c r="A231" s="9">
        <v>2285</v>
      </c>
      <c r="B231" s="9" t="s">
        <v>28</v>
      </c>
      <c r="C231" s="9" t="s">
        <v>22</v>
      </c>
      <c r="D231" s="9" t="s">
        <v>30</v>
      </c>
      <c r="E231" s="9" t="s">
        <v>60</v>
      </c>
      <c r="F231" s="9">
        <v>-1</v>
      </c>
      <c r="G231" s="9">
        <v>0</v>
      </c>
      <c r="H231" s="9">
        <v>0</v>
      </c>
      <c r="I231" s="9">
        <v>0</v>
      </c>
      <c r="J231" s="10">
        <v>45573</v>
      </c>
      <c r="K231" s="9" t="s">
        <v>44</v>
      </c>
      <c r="L231" s="9" t="s">
        <v>29</v>
      </c>
      <c r="M231" s="9">
        <v>2211.71</v>
      </c>
    </row>
    <row r="232" spans="1:13" x14ac:dyDescent="0.35">
      <c r="A232" s="9">
        <v>2287</v>
      </c>
      <c r="B232" s="9" t="s">
        <v>28</v>
      </c>
      <c r="C232" s="9" t="s">
        <v>20</v>
      </c>
      <c r="D232" s="9" t="s">
        <v>61</v>
      </c>
      <c r="E232" s="9" t="s">
        <v>59</v>
      </c>
      <c r="F232" s="9">
        <v>3</v>
      </c>
      <c r="G232" s="9">
        <v>0</v>
      </c>
      <c r="H232" s="9">
        <v>0</v>
      </c>
      <c r="I232" s="9">
        <v>0</v>
      </c>
      <c r="J232" s="10">
        <v>45573</v>
      </c>
      <c r="K232" s="9" t="s">
        <v>45</v>
      </c>
      <c r="L232" s="9" t="s">
        <v>26</v>
      </c>
      <c r="M232" s="9">
        <v>-650.67999999999995</v>
      </c>
    </row>
    <row r="233" spans="1:13" x14ac:dyDescent="0.35">
      <c r="A233" s="9">
        <v>2289</v>
      </c>
      <c r="B233" s="9" t="s">
        <v>28</v>
      </c>
      <c r="C233" s="9" t="s">
        <v>20</v>
      </c>
      <c r="D233" s="9" t="s">
        <v>43</v>
      </c>
      <c r="E233" s="9" t="s">
        <v>60</v>
      </c>
      <c r="F233" s="9">
        <v>0</v>
      </c>
      <c r="G233" s="9">
        <v>0</v>
      </c>
      <c r="H233" s="9">
        <v>0.51</v>
      </c>
      <c r="I233" s="9">
        <v>0</v>
      </c>
      <c r="J233" s="10">
        <v>45573</v>
      </c>
      <c r="K233" s="9" t="s">
        <v>44</v>
      </c>
      <c r="L233" s="9" t="s">
        <v>26</v>
      </c>
      <c r="M233" s="9">
        <v>3161.45</v>
      </c>
    </row>
    <row r="234" spans="1:13" x14ac:dyDescent="0.35">
      <c r="A234" s="9">
        <v>2290</v>
      </c>
      <c r="B234" s="9" t="s">
        <v>28</v>
      </c>
      <c r="C234" s="9" t="s">
        <v>18</v>
      </c>
      <c r="D234" s="9" t="s">
        <v>33</v>
      </c>
      <c r="E234" s="9" t="s">
        <v>60</v>
      </c>
      <c r="F234" s="9">
        <v>0</v>
      </c>
      <c r="G234" s="9">
        <v>0</v>
      </c>
      <c r="H234" s="9">
        <v>0</v>
      </c>
      <c r="I234" s="9">
        <v>0</v>
      </c>
      <c r="J234" s="10">
        <v>45585</v>
      </c>
      <c r="K234" s="9" t="s">
        <v>45</v>
      </c>
      <c r="L234" s="9" t="s">
        <v>27</v>
      </c>
      <c r="M234" s="9">
        <v>546.66</v>
      </c>
    </row>
    <row r="235" spans="1:13" x14ac:dyDescent="0.35">
      <c r="A235" s="9">
        <v>2291</v>
      </c>
      <c r="B235" s="9" t="s">
        <v>28</v>
      </c>
      <c r="C235" s="9" t="s">
        <v>22</v>
      </c>
      <c r="D235" s="9" t="s">
        <v>30</v>
      </c>
      <c r="E235" s="9" t="s">
        <v>60</v>
      </c>
      <c r="F235" s="9">
        <v>-1</v>
      </c>
      <c r="G235" s="9">
        <v>0</v>
      </c>
      <c r="H235" s="9">
        <v>0</v>
      </c>
      <c r="I235" s="9">
        <v>0</v>
      </c>
      <c r="J235" s="10">
        <v>45585</v>
      </c>
      <c r="K235" s="9" t="s">
        <v>44</v>
      </c>
      <c r="L235" s="9" t="s">
        <v>35</v>
      </c>
      <c r="M235" s="9">
        <v>2729.23</v>
      </c>
    </row>
    <row r="236" spans="1:13" x14ac:dyDescent="0.35">
      <c r="A236" s="9">
        <v>2292</v>
      </c>
      <c r="B236" s="9" t="s">
        <v>28</v>
      </c>
      <c r="C236" s="9" t="s">
        <v>20</v>
      </c>
      <c r="D236" s="9" t="s">
        <v>66</v>
      </c>
      <c r="E236" s="9" t="s">
        <v>59</v>
      </c>
      <c r="F236" s="9">
        <v>2</v>
      </c>
      <c r="G236" s="9">
        <v>0</v>
      </c>
      <c r="H236" s="9">
        <v>1.1000000000000001</v>
      </c>
      <c r="I236" s="9">
        <v>0</v>
      </c>
      <c r="J236" s="10">
        <v>45601</v>
      </c>
      <c r="K236" s="9" t="s">
        <v>45</v>
      </c>
      <c r="L236" s="9" t="s">
        <v>27</v>
      </c>
      <c r="M236" s="9">
        <v>1192.5</v>
      </c>
    </row>
    <row r="237" spans="1:13" x14ac:dyDescent="0.35">
      <c r="A237" s="9">
        <v>2293</v>
      </c>
      <c r="B237" s="9" t="s">
        <v>28</v>
      </c>
      <c r="C237" s="9" t="s">
        <v>22</v>
      </c>
      <c r="D237" s="9" t="s">
        <v>65</v>
      </c>
      <c r="E237" s="9" t="s">
        <v>62</v>
      </c>
      <c r="F237" s="9">
        <v>3</v>
      </c>
      <c r="G237" s="9">
        <v>0</v>
      </c>
      <c r="H237" s="9">
        <v>0</v>
      </c>
      <c r="I237" s="9">
        <v>0</v>
      </c>
      <c r="J237" s="10">
        <v>45790</v>
      </c>
      <c r="K237" s="9" t="s">
        <v>44</v>
      </c>
      <c r="L237" s="9" t="s">
        <v>26</v>
      </c>
      <c r="M237" s="9">
        <v>2525.87</v>
      </c>
    </row>
    <row r="238" spans="1:13" x14ac:dyDescent="0.35">
      <c r="A238" s="9">
        <v>2297</v>
      </c>
      <c r="B238" s="9" t="s">
        <v>34</v>
      </c>
      <c r="C238" s="9" t="s">
        <v>22</v>
      </c>
      <c r="D238" s="9" t="s">
        <v>30</v>
      </c>
      <c r="E238" s="9" t="s">
        <v>59</v>
      </c>
      <c r="F238" s="9">
        <v>0</v>
      </c>
      <c r="G238" s="9">
        <v>6356.31</v>
      </c>
      <c r="H238" s="9">
        <v>0.74</v>
      </c>
      <c r="I238" s="9">
        <v>0</v>
      </c>
      <c r="J238" s="10">
        <v>45657</v>
      </c>
      <c r="K238" s="9" t="s">
        <v>45</v>
      </c>
      <c r="L238" s="9" t="s">
        <v>35</v>
      </c>
      <c r="M238" s="9">
        <v>454.97</v>
      </c>
    </row>
    <row r="239" spans="1:13" x14ac:dyDescent="0.35">
      <c r="A239" s="9">
        <v>2300</v>
      </c>
      <c r="B239" s="9" t="s">
        <v>31</v>
      </c>
      <c r="C239" s="9" t="s">
        <v>22</v>
      </c>
      <c r="D239" s="9" t="s">
        <v>65</v>
      </c>
      <c r="E239" s="9" t="s">
        <v>60</v>
      </c>
      <c r="F239" s="9">
        <v>3</v>
      </c>
      <c r="G239" s="9">
        <v>6331.64</v>
      </c>
      <c r="H239" s="9">
        <v>0.78</v>
      </c>
      <c r="I239" s="9">
        <v>4178.88</v>
      </c>
      <c r="J239" s="10">
        <v>45521</v>
      </c>
      <c r="K239" s="9" t="s">
        <v>44</v>
      </c>
      <c r="L239" s="9" t="s">
        <v>29</v>
      </c>
      <c r="M239" s="9">
        <v>3380.28</v>
      </c>
    </row>
    <row r="240" spans="1:13" x14ac:dyDescent="0.35">
      <c r="A240" s="9">
        <v>2301</v>
      </c>
      <c r="B240" s="9" t="s">
        <v>31</v>
      </c>
      <c r="C240" s="9" t="s">
        <v>19</v>
      </c>
      <c r="D240" s="9" t="s">
        <v>63</v>
      </c>
      <c r="E240" s="9" t="s">
        <v>62</v>
      </c>
      <c r="F240" s="9">
        <v>0</v>
      </c>
      <c r="G240" s="9">
        <v>7982.2</v>
      </c>
      <c r="H240" s="9">
        <v>0</v>
      </c>
      <c r="I240" s="9">
        <v>0</v>
      </c>
      <c r="J240" s="10">
        <v>45655</v>
      </c>
      <c r="K240" s="9" t="s">
        <v>45</v>
      </c>
      <c r="L240" s="9" t="s">
        <v>35</v>
      </c>
      <c r="M240" s="9">
        <v>-505.58</v>
      </c>
    </row>
    <row r="241" spans="1:13" x14ac:dyDescent="0.35">
      <c r="A241" s="9">
        <v>2302</v>
      </c>
      <c r="B241" s="9" t="s">
        <v>28</v>
      </c>
      <c r="C241" s="9" t="s">
        <v>20</v>
      </c>
      <c r="D241" s="9" t="s">
        <v>43</v>
      </c>
      <c r="E241" s="9" t="s">
        <v>62</v>
      </c>
      <c r="F241" s="9">
        <v>0</v>
      </c>
      <c r="G241" s="9">
        <v>0</v>
      </c>
      <c r="H241" s="9">
        <v>0</v>
      </c>
      <c r="I241" s="9">
        <v>0</v>
      </c>
      <c r="J241" s="10">
        <v>45715</v>
      </c>
      <c r="K241" s="9" t="s">
        <v>44</v>
      </c>
      <c r="L241" s="9" t="s">
        <v>32</v>
      </c>
      <c r="M241" s="9">
        <v>1489.99</v>
      </c>
    </row>
    <row r="242" spans="1:13" x14ac:dyDescent="0.35">
      <c r="A242" s="9">
        <v>2303</v>
      </c>
      <c r="B242" s="9" t="s">
        <v>34</v>
      </c>
      <c r="C242" s="9" t="s">
        <v>20</v>
      </c>
      <c r="D242" s="9" t="s">
        <v>66</v>
      </c>
      <c r="E242" s="9" t="s">
        <v>60</v>
      </c>
      <c r="F242" s="9">
        <v>2</v>
      </c>
      <c r="G242" s="9">
        <v>2504.09</v>
      </c>
      <c r="H242" s="9">
        <v>0</v>
      </c>
      <c r="I242" s="9">
        <v>0</v>
      </c>
      <c r="J242" s="10">
        <v>45650</v>
      </c>
      <c r="K242" s="9" t="s">
        <v>44</v>
      </c>
      <c r="L242" s="9" t="s">
        <v>32</v>
      </c>
      <c r="M242" s="9">
        <v>2971.55</v>
      </c>
    </row>
    <row r="243" spans="1:13" x14ac:dyDescent="0.35">
      <c r="A243" s="9">
        <v>2304</v>
      </c>
      <c r="B243" s="9" t="s">
        <v>31</v>
      </c>
      <c r="C243" s="9" t="s">
        <v>18</v>
      </c>
      <c r="D243" s="9" t="s">
        <v>33</v>
      </c>
      <c r="E243" s="9" t="s">
        <v>59</v>
      </c>
      <c r="F243" s="9">
        <v>0</v>
      </c>
      <c r="G243" s="9">
        <v>0</v>
      </c>
      <c r="H243" s="9">
        <v>0</v>
      </c>
      <c r="I243" s="9">
        <v>0</v>
      </c>
      <c r="J243" s="10">
        <v>45624</v>
      </c>
      <c r="K243" s="9" t="s">
        <v>45</v>
      </c>
      <c r="L243" s="9" t="s">
        <v>32</v>
      </c>
      <c r="M243" s="9">
        <v>2055.87</v>
      </c>
    </row>
    <row r="244" spans="1:13" x14ac:dyDescent="0.35">
      <c r="A244" s="9">
        <v>2305</v>
      </c>
      <c r="B244" s="9" t="s">
        <v>34</v>
      </c>
      <c r="C244" s="9" t="s">
        <v>20</v>
      </c>
      <c r="D244" s="9" t="s">
        <v>70</v>
      </c>
      <c r="E244" s="9" t="s">
        <v>60</v>
      </c>
      <c r="F244" s="9">
        <v>0</v>
      </c>
      <c r="G244" s="9">
        <v>4803.7</v>
      </c>
      <c r="H244" s="9">
        <v>0.08</v>
      </c>
      <c r="I244" s="9">
        <v>0</v>
      </c>
      <c r="J244" s="10">
        <v>45624</v>
      </c>
      <c r="K244" s="9" t="s">
        <v>44</v>
      </c>
      <c r="L244" s="9" t="s">
        <v>26</v>
      </c>
      <c r="M244" s="9">
        <v>2794.61</v>
      </c>
    </row>
    <row r="245" spans="1:13" x14ac:dyDescent="0.35">
      <c r="A245" s="9">
        <v>2307</v>
      </c>
      <c r="B245" s="9" t="s">
        <v>28</v>
      </c>
      <c r="C245" s="9" t="s">
        <v>20</v>
      </c>
      <c r="D245" s="9" t="s">
        <v>66</v>
      </c>
      <c r="E245" s="9" t="s">
        <v>62</v>
      </c>
      <c r="F245" s="9">
        <v>2</v>
      </c>
      <c r="G245" s="9">
        <v>9369.1</v>
      </c>
      <c r="H245" s="9">
        <v>0</v>
      </c>
      <c r="I245" s="9">
        <v>0</v>
      </c>
      <c r="J245" s="10">
        <v>45826</v>
      </c>
      <c r="K245" s="9" t="s">
        <v>44</v>
      </c>
      <c r="L245" s="9" t="s">
        <v>27</v>
      </c>
      <c r="M245" s="9">
        <v>2390.6999999999998</v>
      </c>
    </row>
    <row r="246" spans="1:13" x14ac:dyDescent="0.35">
      <c r="A246" s="9">
        <v>2004</v>
      </c>
      <c r="B246" s="9" t="s">
        <v>34</v>
      </c>
      <c r="C246" s="9" t="s">
        <v>21</v>
      </c>
      <c r="D246" s="9" t="s">
        <v>71</v>
      </c>
      <c r="E246" s="9" t="s">
        <v>59</v>
      </c>
      <c r="F246" s="9">
        <v>0</v>
      </c>
      <c r="G246" s="9">
        <v>0</v>
      </c>
      <c r="H246" s="9">
        <v>0.6</v>
      </c>
      <c r="I246" s="9">
        <v>0</v>
      </c>
      <c r="J246" s="10">
        <v>45711</v>
      </c>
      <c r="K246" s="9" t="s">
        <v>44</v>
      </c>
      <c r="L246" s="9" t="s">
        <v>25</v>
      </c>
      <c r="M246" s="9">
        <v>-276.83</v>
      </c>
    </row>
    <row r="247" spans="1:13" x14ac:dyDescent="0.35">
      <c r="A247" s="9">
        <v>2310</v>
      </c>
      <c r="B247" s="9" t="s">
        <v>31</v>
      </c>
      <c r="C247" s="9" t="s">
        <v>20</v>
      </c>
      <c r="D247" s="9" t="s">
        <v>43</v>
      </c>
      <c r="E247" s="9" t="s">
        <v>62</v>
      </c>
      <c r="F247" s="9">
        <v>0</v>
      </c>
      <c r="G247" s="9">
        <v>0</v>
      </c>
      <c r="H247" s="9">
        <v>0</v>
      </c>
      <c r="I247" s="9">
        <v>0</v>
      </c>
      <c r="J247" s="10">
        <v>45692</v>
      </c>
      <c r="K247" s="9" t="s">
        <v>45</v>
      </c>
      <c r="L247" s="9" t="s">
        <v>27</v>
      </c>
      <c r="M247" s="9">
        <v>-1061.45</v>
      </c>
    </row>
    <row r="248" spans="1:13" x14ac:dyDescent="0.35">
      <c r="A248" s="9">
        <v>2026</v>
      </c>
      <c r="B248" s="9" t="s">
        <v>28</v>
      </c>
      <c r="C248" s="9" t="s">
        <v>18</v>
      </c>
      <c r="D248" s="9" t="s">
        <v>33</v>
      </c>
      <c r="E248" s="9" t="s">
        <v>59</v>
      </c>
      <c r="F248" s="9">
        <v>4</v>
      </c>
      <c r="G248" s="9">
        <v>0</v>
      </c>
      <c r="H248" s="9">
        <v>0.26</v>
      </c>
      <c r="I248" s="9">
        <v>0</v>
      </c>
      <c r="J248" s="10">
        <v>45560</v>
      </c>
      <c r="K248" s="9" t="s">
        <v>45</v>
      </c>
      <c r="L248" s="9" t="s">
        <v>29</v>
      </c>
      <c r="M248" s="9">
        <v>495.62</v>
      </c>
    </row>
    <row r="249" spans="1:13" x14ac:dyDescent="0.35">
      <c r="A249" s="9">
        <v>2313</v>
      </c>
      <c r="B249" s="9" t="s">
        <v>28</v>
      </c>
      <c r="C249" s="9" t="s">
        <v>18</v>
      </c>
      <c r="D249" s="9" t="s">
        <v>37</v>
      </c>
      <c r="E249" s="9" t="s">
        <v>59</v>
      </c>
      <c r="F249" s="9">
        <v>0</v>
      </c>
      <c r="G249" s="9">
        <v>0</v>
      </c>
      <c r="H249" s="9">
        <v>0</v>
      </c>
      <c r="I249" s="9">
        <v>0</v>
      </c>
      <c r="J249" s="10">
        <v>45560</v>
      </c>
      <c r="K249" s="9" t="s">
        <v>45</v>
      </c>
      <c r="L249" s="9" t="s">
        <v>29</v>
      </c>
      <c r="M249" s="9">
        <v>480.74</v>
      </c>
    </row>
    <row r="250" spans="1:13" x14ac:dyDescent="0.35">
      <c r="A250" s="9">
        <v>2314</v>
      </c>
      <c r="B250" s="9" t="s">
        <v>28</v>
      </c>
      <c r="C250" s="9" t="s">
        <v>19</v>
      </c>
      <c r="D250" s="9" t="s">
        <v>63</v>
      </c>
      <c r="E250" s="9" t="s">
        <v>59</v>
      </c>
      <c r="F250" s="9">
        <v>2</v>
      </c>
      <c r="G250" s="9">
        <v>0</v>
      </c>
      <c r="H250" s="9">
        <v>0.86</v>
      </c>
      <c r="I250" s="9">
        <v>0</v>
      </c>
      <c r="J250" s="10">
        <v>45635</v>
      </c>
      <c r="K250" s="9" t="s">
        <v>44</v>
      </c>
      <c r="L250" s="9" t="s">
        <v>26</v>
      </c>
      <c r="M250" s="9">
        <v>1505.11</v>
      </c>
    </row>
    <row r="251" spans="1:13" x14ac:dyDescent="0.35">
      <c r="A251" s="9">
        <v>2315</v>
      </c>
      <c r="B251" s="9" t="s">
        <v>31</v>
      </c>
      <c r="C251" s="9" t="s">
        <v>22</v>
      </c>
      <c r="D251" s="9" t="s">
        <v>67</v>
      </c>
      <c r="E251" s="9" t="s">
        <v>59</v>
      </c>
      <c r="F251" s="9">
        <v>0</v>
      </c>
      <c r="G251" s="9">
        <v>9149.8799999999992</v>
      </c>
      <c r="H251" s="9">
        <v>0.71</v>
      </c>
      <c r="I251" s="9">
        <v>0</v>
      </c>
      <c r="J251" s="10">
        <v>45608</v>
      </c>
      <c r="K251" s="9" t="s">
        <v>44</v>
      </c>
      <c r="L251" s="9" t="s">
        <v>32</v>
      </c>
      <c r="M251" s="9">
        <v>143.06</v>
      </c>
    </row>
    <row r="252" spans="1:13" x14ac:dyDescent="0.35">
      <c r="A252" s="9">
        <v>2316</v>
      </c>
      <c r="B252" s="9" t="s">
        <v>31</v>
      </c>
      <c r="C252" s="9" t="s">
        <v>19</v>
      </c>
      <c r="D252" s="9" t="s">
        <v>69</v>
      </c>
      <c r="E252" s="9" t="s">
        <v>59</v>
      </c>
      <c r="F252" s="9">
        <v>1</v>
      </c>
      <c r="G252" s="9">
        <v>0</v>
      </c>
      <c r="H252" s="9">
        <v>0.39</v>
      </c>
      <c r="I252" s="9">
        <v>0</v>
      </c>
      <c r="J252" s="10">
        <v>45608</v>
      </c>
      <c r="K252" s="9" t="s">
        <v>44</v>
      </c>
      <c r="L252" s="9" t="s">
        <v>29</v>
      </c>
      <c r="M252" s="9">
        <v>3862.6</v>
      </c>
    </row>
    <row r="253" spans="1:13" x14ac:dyDescent="0.35">
      <c r="A253" s="9">
        <v>2317</v>
      </c>
      <c r="B253" s="9" t="s">
        <v>31</v>
      </c>
      <c r="C253" s="9" t="s">
        <v>18</v>
      </c>
      <c r="D253" s="9" t="s">
        <v>33</v>
      </c>
      <c r="E253" s="9" t="s">
        <v>59</v>
      </c>
      <c r="F253" s="9">
        <v>0</v>
      </c>
      <c r="G253" s="9">
        <v>9695.44</v>
      </c>
      <c r="H253" s="9">
        <v>1.06</v>
      </c>
      <c r="I253" s="9">
        <v>0</v>
      </c>
      <c r="J253" s="10">
        <v>45548</v>
      </c>
      <c r="K253" s="9" t="s">
        <v>45</v>
      </c>
      <c r="L253" s="9" t="s">
        <v>27</v>
      </c>
      <c r="M253" s="9">
        <v>32.450000000000003</v>
      </c>
    </row>
    <row r="254" spans="1:13" x14ac:dyDescent="0.35">
      <c r="A254" s="9">
        <v>2318</v>
      </c>
      <c r="B254" s="9" t="s">
        <v>31</v>
      </c>
      <c r="C254" s="9" t="s">
        <v>19</v>
      </c>
      <c r="D254" s="9" t="s">
        <v>69</v>
      </c>
      <c r="E254" s="9" t="s">
        <v>59</v>
      </c>
      <c r="F254" s="9">
        <v>2</v>
      </c>
      <c r="G254" s="9">
        <v>0</v>
      </c>
      <c r="H254" s="9">
        <v>0.25</v>
      </c>
      <c r="I254" s="9">
        <v>0</v>
      </c>
      <c r="J254" s="10">
        <v>45751</v>
      </c>
      <c r="K254" s="9" t="s">
        <v>44</v>
      </c>
      <c r="L254" s="9" t="s">
        <v>29</v>
      </c>
      <c r="M254" s="9">
        <v>1894.17</v>
      </c>
    </row>
    <row r="255" spans="1:13" x14ac:dyDescent="0.35">
      <c r="A255" s="9">
        <v>2319</v>
      </c>
      <c r="B255" s="9" t="s">
        <v>28</v>
      </c>
      <c r="C255" s="9" t="s">
        <v>22</v>
      </c>
      <c r="D255" s="9" t="s">
        <v>67</v>
      </c>
      <c r="E255" s="9" t="s">
        <v>60</v>
      </c>
      <c r="F255" s="9">
        <v>-1</v>
      </c>
      <c r="G255" s="9">
        <v>5649.99</v>
      </c>
      <c r="H255" s="9">
        <v>0</v>
      </c>
      <c r="I255" s="9">
        <v>0</v>
      </c>
      <c r="J255" s="10">
        <v>45837</v>
      </c>
      <c r="K255" s="9" t="s">
        <v>45</v>
      </c>
      <c r="L255" s="9" t="s">
        <v>29</v>
      </c>
      <c r="M255" s="9">
        <v>2141.6799999999998</v>
      </c>
    </row>
    <row r="256" spans="1:13" x14ac:dyDescent="0.35">
      <c r="A256" s="9">
        <v>2320</v>
      </c>
      <c r="B256" s="9" t="s">
        <v>34</v>
      </c>
      <c r="C256" s="9" t="s">
        <v>20</v>
      </c>
      <c r="D256" s="9" t="s">
        <v>70</v>
      </c>
      <c r="E256" s="9" t="s">
        <v>62</v>
      </c>
      <c r="F256" s="9">
        <v>0</v>
      </c>
      <c r="G256" s="9">
        <v>4033.28</v>
      </c>
      <c r="H256" s="9">
        <v>0</v>
      </c>
      <c r="I256" s="9">
        <v>0</v>
      </c>
      <c r="J256" s="10">
        <v>45680</v>
      </c>
      <c r="K256" s="9" t="s">
        <v>44</v>
      </c>
      <c r="L256" s="9" t="s">
        <v>32</v>
      </c>
      <c r="M256" s="9">
        <v>1265.74</v>
      </c>
    </row>
    <row r="257" spans="1:13" x14ac:dyDescent="0.35">
      <c r="A257" s="9">
        <v>2321</v>
      </c>
      <c r="B257" s="9" t="s">
        <v>31</v>
      </c>
      <c r="C257" s="9" t="s">
        <v>21</v>
      </c>
      <c r="D257" s="9" t="s">
        <v>71</v>
      </c>
      <c r="E257" s="9" t="s">
        <v>59</v>
      </c>
      <c r="F257" s="9">
        <v>0</v>
      </c>
      <c r="G257" s="9">
        <v>0</v>
      </c>
      <c r="H257" s="9">
        <v>0</v>
      </c>
      <c r="I257" s="9">
        <v>0</v>
      </c>
      <c r="J257" s="10">
        <v>45453</v>
      </c>
      <c r="K257" s="9" t="s">
        <v>45</v>
      </c>
      <c r="L257" s="9" t="s">
        <v>26</v>
      </c>
      <c r="M257" s="9">
        <v>-362.47</v>
      </c>
    </row>
    <row r="258" spans="1:13" x14ac:dyDescent="0.35">
      <c r="A258" s="9">
        <v>2322</v>
      </c>
      <c r="B258" s="9" t="s">
        <v>28</v>
      </c>
      <c r="C258" s="9" t="s">
        <v>20</v>
      </c>
      <c r="D258" s="9" t="s">
        <v>70</v>
      </c>
      <c r="E258" s="9" t="s">
        <v>60</v>
      </c>
      <c r="F258" s="9">
        <v>0</v>
      </c>
      <c r="G258" s="9">
        <v>8016.24</v>
      </c>
      <c r="H258" s="9">
        <v>0</v>
      </c>
      <c r="I258" s="9">
        <v>0</v>
      </c>
      <c r="J258" s="10">
        <v>45754</v>
      </c>
      <c r="K258" s="9" t="s">
        <v>44</v>
      </c>
      <c r="L258" s="9" t="s">
        <v>29</v>
      </c>
      <c r="M258" s="9">
        <v>1333.86</v>
      </c>
    </row>
    <row r="259" spans="1:13" x14ac:dyDescent="0.35">
      <c r="A259" s="9">
        <v>2324</v>
      </c>
      <c r="B259" s="9" t="s">
        <v>28</v>
      </c>
      <c r="C259" s="9" t="s">
        <v>19</v>
      </c>
      <c r="D259" s="9" t="s">
        <v>63</v>
      </c>
      <c r="E259" s="9" t="s">
        <v>59</v>
      </c>
      <c r="F259" s="9">
        <v>0</v>
      </c>
      <c r="G259" s="9">
        <v>0</v>
      </c>
      <c r="H259" s="9">
        <v>0.21</v>
      </c>
      <c r="I259" s="9">
        <v>0</v>
      </c>
      <c r="J259" s="10">
        <v>45715</v>
      </c>
      <c r="K259" s="9" t="s">
        <v>45</v>
      </c>
      <c r="L259" s="9" t="s">
        <v>27</v>
      </c>
      <c r="M259" s="9">
        <v>2640.1</v>
      </c>
    </row>
    <row r="260" spans="1:13" x14ac:dyDescent="0.35">
      <c r="A260" s="9">
        <v>2325</v>
      </c>
      <c r="B260" s="9" t="s">
        <v>31</v>
      </c>
      <c r="C260" s="9" t="s">
        <v>22</v>
      </c>
      <c r="D260" s="9" t="s">
        <v>68</v>
      </c>
      <c r="E260" s="9" t="s">
        <v>59</v>
      </c>
      <c r="F260" s="9">
        <v>0</v>
      </c>
      <c r="G260" s="9">
        <v>8031.83</v>
      </c>
      <c r="H260" s="9">
        <v>0.56000000000000005</v>
      </c>
      <c r="I260" s="9">
        <v>0</v>
      </c>
      <c r="J260" s="10">
        <v>45795</v>
      </c>
      <c r="K260" s="9" t="s">
        <v>45</v>
      </c>
      <c r="L260" s="9" t="s">
        <v>27</v>
      </c>
      <c r="M260" s="9">
        <v>3954.38</v>
      </c>
    </row>
    <row r="261" spans="1:13" x14ac:dyDescent="0.35">
      <c r="A261" s="9">
        <v>2326</v>
      </c>
      <c r="B261" s="9" t="s">
        <v>28</v>
      </c>
      <c r="C261" s="9" t="s">
        <v>21</v>
      </c>
      <c r="D261" s="9" t="s">
        <v>71</v>
      </c>
      <c r="E261" s="9" t="s">
        <v>62</v>
      </c>
      <c r="F261" s="9">
        <v>4</v>
      </c>
      <c r="G261" s="9">
        <v>9936.94</v>
      </c>
      <c r="H261" s="9">
        <v>0</v>
      </c>
      <c r="I261" s="9">
        <v>0</v>
      </c>
      <c r="J261" s="10">
        <v>45636</v>
      </c>
      <c r="K261" s="9" t="s">
        <v>44</v>
      </c>
      <c r="L261" s="9" t="s">
        <v>27</v>
      </c>
      <c r="M261" s="9">
        <v>2047.65</v>
      </c>
    </row>
    <row r="262" spans="1:13" x14ac:dyDescent="0.35">
      <c r="A262" s="9">
        <v>2327</v>
      </c>
      <c r="B262" s="9" t="s">
        <v>31</v>
      </c>
      <c r="C262" s="9" t="s">
        <v>18</v>
      </c>
      <c r="D262" s="9" t="s">
        <v>33</v>
      </c>
      <c r="E262" s="9" t="s">
        <v>62</v>
      </c>
      <c r="F262" s="9">
        <v>4</v>
      </c>
      <c r="G262" s="9">
        <v>6640.67</v>
      </c>
      <c r="H262" s="9">
        <v>0</v>
      </c>
      <c r="I262" s="9">
        <v>0</v>
      </c>
      <c r="J262" s="10">
        <v>45737</v>
      </c>
      <c r="K262" s="9" t="s">
        <v>44</v>
      </c>
      <c r="L262" s="9" t="s">
        <v>29</v>
      </c>
      <c r="M262" s="9">
        <v>3402.41</v>
      </c>
    </row>
    <row r="263" spans="1:13" x14ac:dyDescent="0.35">
      <c r="A263" s="9">
        <v>2328</v>
      </c>
      <c r="B263" s="9" t="s">
        <v>31</v>
      </c>
      <c r="C263" s="9" t="s">
        <v>21</v>
      </c>
      <c r="D263" s="9" t="s">
        <v>64</v>
      </c>
      <c r="E263" s="9" t="s">
        <v>59</v>
      </c>
      <c r="F263" s="9">
        <v>2</v>
      </c>
      <c r="G263" s="9">
        <v>6449.46</v>
      </c>
      <c r="H263" s="9">
        <v>0.28999999999999998</v>
      </c>
      <c r="I263" s="9">
        <v>9158.23</v>
      </c>
      <c r="J263" s="10">
        <v>45605</v>
      </c>
      <c r="K263" s="9" t="s">
        <v>45</v>
      </c>
      <c r="L263" s="9" t="s">
        <v>26</v>
      </c>
      <c r="M263" s="9">
        <v>39.69</v>
      </c>
    </row>
    <row r="264" spans="1:13" x14ac:dyDescent="0.35">
      <c r="A264" s="9">
        <v>2329</v>
      </c>
      <c r="B264" s="9" t="s">
        <v>31</v>
      </c>
      <c r="C264" s="9" t="s">
        <v>22</v>
      </c>
      <c r="D264" s="9" t="s">
        <v>67</v>
      </c>
      <c r="E264" s="9" t="s">
        <v>60</v>
      </c>
      <c r="F264" s="9">
        <v>4</v>
      </c>
      <c r="G264" s="9">
        <v>4981.26</v>
      </c>
      <c r="H264" s="9">
        <v>0</v>
      </c>
      <c r="I264" s="9">
        <v>0</v>
      </c>
      <c r="J264" s="10">
        <v>45813</v>
      </c>
      <c r="K264" s="9" t="s">
        <v>45</v>
      </c>
      <c r="L264" s="9" t="s">
        <v>26</v>
      </c>
      <c r="M264" s="9">
        <v>1833.07</v>
      </c>
    </row>
    <row r="265" spans="1:13" x14ac:dyDescent="0.35">
      <c r="A265" s="9">
        <v>2330</v>
      </c>
      <c r="B265" s="9" t="s">
        <v>28</v>
      </c>
      <c r="C265" s="9" t="s">
        <v>18</v>
      </c>
      <c r="D265" s="9" t="s">
        <v>33</v>
      </c>
      <c r="E265" s="9" t="s">
        <v>62</v>
      </c>
      <c r="F265" s="9">
        <v>0</v>
      </c>
      <c r="G265" s="9">
        <v>0</v>
      </c>
      <c r="H265" s="9">
        <v>0.06</v>
      </c>
      <c r="I265" s="9">
        <v>0</v>
      </c>
      <c r="J265" s="10">
        <v>45587</v>
      </c>
      <c r="K265" s="9" t="s">
        <v>45</v>
      </c>
      <c r="L265" s="9" t="s">
        <v>26</v>
      </c>
      <c r="M265" s="9">
        <v>-648.08000000000004</v>
      </c>
    </row>
    <row r="266" spans="1:13" x14ac:dyDescent="0.35">
      <c r="A266" s="9">
        <v>2331</v>
      </c>
      <c r="B266" s="9" t="s">
        <v>34</v>
      </c>
      <c r="C266" s="9" t="s">
        <v>22</v>
      </c>
      <c r="D266" s="9" t="s">
        <v>67</v>
      </c>
      <c r="E266" s="9" t="s">
        <v>60</v>
      </c>
      <c r="F266" s="9">
        <v>0</v>
      </c>
      <c r="G266" s="9">
        <v>9023.07</v>
      </c>
      <c r="H266" s="9">
        <v>0</v>
      </c>
      <c r="I266" s="9">
        <v>0</v>
      </c>
      <c r="J266" s="10">
        <v>45619</v>
      </c>
      <c r="K266" s="9" t="s">
        <v>44</v>
      </c>
      <c r="L266" s="9" t="s">
        <v>26</v>
      </c>
      <c r="M266" s="9">
        <v>-304.92</v>
      </c>
    </row>
    <row r="267" spans="1:13" x14ac:dyDescent="0.35">
      <c r="A267" s="9">
        <v>2334</v>
      </c>
      <c r="B267" s="9" t="s">
        <v>28</v>
      </c>
      <c r="C267" s="9" t="s">
        <v>18</v>
      </c>
      <c r="D267" s="9" t="s">
        <v>37</v>
      </c>
      <c r="E267" s="9" t="s">
        <v>60</v>
      </c>
      <c r="F267" s="9">
        <v>4</v>
      </c>
      <c r="G267" s="9">
        <v>0</v>
      </c>
      <c r="H267" s="9">
        <v>0.82</v>
      </c>
      <c r="I267" s="9">
        <v>0</v>
      </c>
      <c r="J267" s="10">
        <v>45449</v>
      </c>
      <c r="K267" s="9" t="s">
        <v>44</v>
      </c>
      <c r="L267" s="9" t="s">
        <v>26</v>
      </c>
      <c r="M267" s="9">
        <v>-80.25</v>
      </c>
    </row>
    <row r="268" spans="1:13" x14ac:dyDescent="0.35">
      <c r="A268" s="9">
        <v>2335</v>
      </c>
      <c r="B268" s="9" t="s">
        <v>28</v>
      </c>
      <c r="C268" s="9" t="s">
        <v>20</v>
      </c>
      <c r="D268" s="9" t="s">
        <v>66</v>
      </c>
      <c r="E268" s="9" t="s">
        <v>62</v>
      </c>
      <c r="F268" s="9">
        <v>0</v>
      </c>
      <c r="G268" s="9">
        <v>5620.64</v>
      </c>
      <c r="H268" s="9">
        <v>0</v>
      </c>
      <c r="I268" s="9">
        <v>0</v>
      </c>
      <c r="J268" s="10">
        <v>45296</v>
      </c>
      <c r="K268" s="9" t="s">
        <v>45</v>
      </c>
      <c r="L268" s="9" t="s">
        <v>26</v>
      </c>
      <c r="M268" s="9">
        <v>217.22</v>
      </c>
    </row>
    <row r="269" spans="1:13" x14ac:dyDescent="0.35">
      <c r="A269" s="9">
        <v>2336</v>
      </c>
      <c r="B269" s="9" t="s">
        <v>34</v>
      </c>
      <c r="C269" s="9" t="s">
        <v>19</v>
      </c>
      <c r="D269" s="9" t="s">
        <v>63</v>
      </c>
      <c r="E269" s="9" t="s">
        <v>59</v>
      </c>
      <c r="F269" s="9">
        <v>4</v>
      </c>
      <c r="G269" s="9">
        <v>8482.43</v>
      </c>
      <c r="H269" s="9">
        <v>0</v>
      </c>
      <c r="I269" s="9">
        <v>0</v>
      </c>
      <c r="J269" s="10">
        <v>45221</v>
      </c>
      <c r="K269" s="9" t="s">
        <v>45</v>
      </c>
      <c r="L269" s="9" t="s">
        <v>35</v>
      </c>
      <c r="M269" s="9">
        <v>3854.71</v>
      </c>
    </row>
    <row r="270" spans="1:13" x14ac:dyDescent="0.35">
      <c r="A270" s="9">
        <v>2338</v>
      </c>
      <c r="B270" s="9" t="s">
        <v>28</v>
      </c>
      <c r="C270" s="9" t="s">
        <v>19</v>
      </c>
      <c r="D270" s="9" t="s">
        <v>39</v>
      </c>
      <c r="E270" s="9" t="s">
        <v>62</v>
      </c>
      <c r="F270" s="9">
        <v>0</v>
      </c>
      <c r="G270" s="9">
        <v>0</v>
      </c>
      <c r="H270" s="9">
        <v>0</v>
      </c>
      <c r="I270" s="9">
        <v>0</v>
      </c>
      <c r="J270" s="10">
        <v>45221</v>
      </c>
      <c r="K270" s="9" t="s">
        <v>44</v>
      </c>
      <c r="L270" s="9" t="s">
        <v>29</v>
      </c>
      <c r="M270" s="9">
        <v>3529.93</v>
      </c>
    </row>
    <row r="271" spans="1:13" x14ac:dyDescent="0.35">
      <c r="A271" s="9">
        <v>2339</v>
      </c>
      <c r="B271" s="9" t="s">
        <v>28</v>
      </c>
      <c r="C271" s="9" t="s">
        <v>22</v>
      </c>
      <c r="D271" s="9" t="s">
        <v>30</v>
      </c>
      <c r="E271" s="9" t="s">
        <v>60</v>
      </c>
      <c r="F271" s="9">
        <v>4</v>
      </c>
      <c r="G271" s="9">
        <v>0</v>
      </c>
      <c r="H271" s="9">
        <v>0</v>
      </c>
      <c r="I271" s="9">
        <v>0</v>
      </c>
      <c r="J271" s="10">
        <v>45221</v>
      </c>
      <c r="K271" s="9" t="s">
        <v>44</v>
      </c>
      <c r="L271" s="9" t="s">
        <v>27</v>
      </c>
      <c r="M271" s="9">
        <v>3196.02</v>
      </c>
    </row>
    <row r="272" spans="1:13" x14ac:dyDescent="0.35">
      <c r="A272" s="9">
        <v>2340</v>
      </c>
      <c r="B272" s="9" t="s">
        <v>28</v>
      </c>
      <c r="C272" s="9" t="s">
        <v>20</v>
      </c>
      <c r="D272" s="9" t="s">
        <v>66</v>
      </c>
      <c r="E272" s="9" t="s">
        <v>59</v>
      </c>
      <c r="F272" s="9">
        <v>3</v>
      </c>
      <c r="G272" s="9">
        <v>0</v>
      </c>
      <c r="H272" s="9">
        <v>0.91</v>
      </c>
      <c r="I272" s="9">
        <v>0</v>
      </c>
      <c r="J272" s="10">
        <v>45511</v>
      </c>
      <c r="K272" s="9" t="s">
        <v>45</v>
      </c>
      <c r="L272" s="9" t="s">
        <v>26</v>
      </c>
      <c r="M272" s="9">
        <v>-425.99</v>
      </c>
    </row>
    <row r="273" spans="1:13" x14ac:dyDescent="0.35">
      <c r="A273" s="9">
        <v>2341</v>
      </c>
      <c r="B273" s="9" t="s">
        <v>28</v>
      </c>
      <c r="C273" s="9" t="s">
        <v>21</v>
      </c>
      <c r="D273" s="9" t="s">
        <v>64</v>
      </c>
      <c r="E273" s="9" t="s">
        <v>59</v>
      </c>
      <c r="F273" s="9">
        <v>0</v>
      </c>
      <c r="G273" s="9">
        <v>0</v>
      </c>
      <c r="H273" s="9">
        <v>0</v>
      </c>
      <c r="I273" s="9">
        <v>0</v>
      </c>
      <c r="J273" s="10">
        <v>45769</v>
      </c>
      <c r="K273" s="9" t="s">
        <v>45</v>
      </c>
      <c r="L273" s="9" t="s">
        <v>32</v>
      </c>
      <c r="M273" s="9">
        <v>-280.18</v>
      </c>
    </row>
    <row r="274" spans="1:13" x14ac:dyDescent="0.35">
      <c r="A274" s="9">
        <v>2342</v>
      </c>
      <c r="B274" s="9" t="s">
        <v>28</v>
      </c>
      <c r="C274" s="9" t="s">
        <v>18</v>
      </c>
      <c r="D274" s="9" t="s">
        <v>41</v>
      </c>
      <c r="E274" s="9" t="s">
        <v>62</v>
      </c>
      <c r="F274" s="9">
        <v>0</v>
      </c>
      <c r="G274" s="9">
        <v>0</v>
      </c>
      <c r="H274" s="9">
        <v>0</v>
      </c>
      <c r="I274" s="9">
        <v>0</v>
      </c>
      <c r="J274" s="10">
        <v>45523</v>
      </c>
      <c r="K274" s="9" t="s">
        <v>44</v>
      </c>
      <c r="L274" s="9" t="s">
        <v>27</v>
      </c>
      <c r="M274" s="9">
        <v>3463.09</v>
      </c>
    </row>
    <row r="275" spans="1:13" x14ac:dyDescent="0.35">
      <c r="A275" s="9">
        <v>2344</v>
      </c>
      <c r="B275" s="9" t="s">
        <v>34</v>
      </c>
      <c r="C275" s="9" t="s">
        <v>18</v>
      </c>
      <c r="D275" s="9" t="s">
        <v>38</v>
      </c>
      <c r="E275" s="9" t="s">
        <v>59</v>
      </c>
      <c r="F275" s="9">
        <v>-1</v>
      </c>
      <c r="G275" s="9">
        <v>0</v>
      </c>
      <c r="H275" s="9">
        <v>0.65</v>
      </c>
      <c r="I275" s="9">
        <v>0</v>
      </c>
      <c r="J275" s="10">
        <v>45828</v>
      </c>
      <c r="K275" s="9" t="s">
        <v>45</v>
      </c>
      <c r="L275" s="9" t="s">
        <v>27</v>
      </c>
      <c r="M275" s="9">
        <v>938.88</v>
      </c>
    </row>
    <row r="276" spans="1:13" x14ac:dyDescent="0.35">
      <c r="A276" s="9">
        <v>2346</v>
      </c>
      <c r="B276" s="9" t="s">
        <v>31</v>
      </c>
      <c r="C276" s="9" t="s">
        <v>19</v>
      </c>
      <c r="D276" s="9" t="s">
        <v>69</v>
      </c>
      <c r="E276" s="9" t="s">
        <v>59</v>
      </c>
      <c r="F276" s="9">
        <v>0</v>
      </c>
      <c r="G276" s="9">
        <v>6320.59</v>
      </c>
      <c r="H276" s="9">
        <v>0.93</v>
      </c>
      <c r="I276" s="9">
        <v>0</v>
      </c>
      <c r="J276" s="10">
        <v>45828</v>
      </c>
      <c r="K276" s="9" t="s">
        <v>44</v>
      </c>
      <c r="L276" s="9" t="s">
        <v>26</v>
      </c>
      <c r="M276" s="9">
        <v>324.45</v>
      </c>
    </row>
    <row r="277" spans="1:13" x14ac:dyDescent="0.35">
      <c r="A277" s="9">
        <v>2347</v>
      </c>
      <c r="B277" s="9" t="s">
        <v>31</v>
      </c>
      <c r="C277" s="9" t="s">
        <v>18</v>
      </c>
      <c r="D277" s="9" t="s">
        <v>33</v>
      </c>
      <c r="E277" s="9" t="s">
        <v>60</v>
      </c>
      <c r="F277" s="9">
        <v>0</v>
      </c>
      <c r="G277" s="9">
        <v>9653.35</v>
      </c>
      <c r="H277" s="9">
        <v>0</v>
      </c>
      <c r="I277" s="9">
        <v>0</v>
      </c>
      <c r="J277" s="10">
        <v>45556</v>
      </c>
      <c r="K277" s="9" t="s">
        <v>44</v>
      </c>
      <c r="L277" s="9" t="s">
        <v>25</v>
      </c>
      <c r="M277" s="9">
        <v>3511.89</v>
      </c>
    </row>
    <row r="278" spans="1:13" x14ac:dyDescent="0.35">
      <c r="A278" s="9">
        <v>2348</v>
      </c>
      <c r="B278" s="9" t="s">
        <v>34</v>
      </c>
      <c r="C278" s="9" t="s">
        <v>18</v>
      </c>
      <c r="D278" s="9" t="s">
        <v>41</v>
      </c>
      <c r="E278" s="9" t="s">
        <v>62</v>
      </c>
      <c r="F278" s="9">
        <v>0</v>
      </c>
      <c r="G278" s="9">
        <v>6591.41</v>
      </c>
      <c r="H278" s="9">
        <v>0</v>
      </c>
      <c r="I278" s="9">
        <v>0</v>
      </c>
      <c r="J278" s="10">
        <v>45776</v>
      </c>
      <c r="K278" s="9" t="s">
        <v>44</v>
      </c>
      <c r="L278" s="9" t="s">
        <v>29</v>
      </c>
      <c r="M278" s="9">
        <v>2604.6799999999998</v>
      </c>
    </row>
    <row r="279" spans="1:13" x14ac:dyDescent="0.35">
      <c r="A279" s="9">
        <v>2349</v>
      </c>
      <c r="B279" s="9" t="s">
        <v>34</v>
      </c>
      <c r="C279" s="9" t="s">
        <v>19</v>
      </c>
      <c r="D279" s="9" t="s">
        <v>42</v>
      </c>
      <c r="E279" s="9" t="s">
        <v>59</v>
      </c>
      <c r="F279" s="9">
        <v>3</v>
      </c>
      <c r="G279" s="9">
        <v>0</v>
      </c>
      <c r="H279" s="9">
        <v>0</v>
      </c>
      <c r="I279" s="9">
        <v>0</v>
      </c>
      <c r="J279" s="10">
        <v>45224</v>
      </c>
      <c r="K279" s="9" t="s">
        <v>45</v>
      </c>
      <c r="L279" s="9" t="s">
        <v>29</v>
      </c>
      <c r="M279" s="9">
        <v>-902.62</v>
      </c>
    </row>
    <row r="280" spans="1:13" x14ac:dyDescent="0.35">
      <c r="A280" s="9">
        <v>2351</v>
      </c>
      <c r="B280" s="9" t="s">
        <v>31</v>
      </c>
      <c r="C280" s="9" t="s">
        <v>22</v>
      </c>
      <c r="D280" s="9" t="s">
        <v>30</v>
      </c>
      <c r="E280" s="9" t="s">
        <v>59</v>
      </c>
      <c r="F280" s="9">
        <v>3</v>
      </c>
      <c r="G280" s="9">
        <v>4179.34</v>
      </c>
      <c r="H280" s="9">
        <v>0</v>
      </c>
      <c r="I280" s="9">
        <v>0</v>
      </c>
      <c r="J280" s="10">
        <v>45502</v>
      </c>
      <c r="K280" s="9" t="s">
        <v>44</v>
      </c>
      <c r="L280" s="9" t="s">
        <v>35</v>
      </c>
      <c r="M280" s="9">
        <v>2363.69</v>
      </c>
    </row>
    <row r="281" spans="1:13" x14ac:dyDescent="0.35">
      <c r="A281" s="9">
        <v>2352</v>
      </c>
      <c r="B281" s="9" t="s">
        <v>31</v>
      </c>
      <c r="C281" s="9" t="s">
        <v>22</v>
      </c>
      <c r="D281" s="9" t="s">
        <v>30</v>
      </c>
      <c r="E281" s="9" t="s">
        <v>59</v>
      </c>
      <c r="F281" s="9">
        <v>0</v>
      </c>
      <c r="G281" s="9">
        <v>0</v>
      </c>
      <c r="H281" s="9">
        <v>0</v>
      </c>
      <c r="I281" s="9">
        <v>0</v>
      </c>
      <c r="J281" s="10">
        <v>45740</v>
      </c>
      <c r="K281" s="9" t="s">
        <v>45</v>
      </c>
      <c r="L281" s="9" t="s">
        <v>25</v>
      </c>
      <c r="M281" s="9">
        <v>599.21</v>
      </c>
    </row>
    <row r="282" spans="1:13" x14ac:dyDescent="0.35">
      <c r="A282" s="9">
        <v>2353</v>
      </c>
      <c r="B282" s="9" t="s">
        <v>34</v>
      </c>
      <c r="C282" s="9" t="s">
        <v>18</v>
      </c>
      <c r="D282" s="9" t="s">
        <v>38</v>
      </c>
      <c r="E282" s="9" t="s">
        <v>59</v>
      </c>
      <c r="F282" s="9">
        <v>0</v>
      </c>
      <c r="G282" s="9">
        <v>0</v>
      </c>
      <c r="H282" s="9">
        <v>0.22</v>
      </c>
      <c r="I282" s="9">
        <v>0</v>
      </c>
      <c r="J282" s="10">
        <v>45568</v>
      </c>
      <c r="K282" s="9" t="s">
        <v>44</v>
      </c>
      <c r="L282" s="9" t="s">
        <v>25</v>
      </c>
      <c r="M282" s="9">
        <v>818.35</v>
      </c>
    </row>
    <row r="283" spans="1:13" x14ac:dyDescent="0.35">
      <c r="A283" s="9">
        <v>2354</v>
      </c>
      <c r="B283" s="9" t="s">
        <v>31</v>
      </c>
      <c r="C283" s="9" t="s">
        <v>22</v>
      </c>
      <c r="D283" s="9" t="s">
        <v>67</v>
      </c>
      <c r="E283" s="9" t="s">
        <v>60</v>
      </c>
      <c r="F283" s="9">
        <v>0</v>
      </c>
      <c r="G283" s="9">
        <v>0</v>
      </c>
      <c r="H283" s="9">
        <v>0</v>
      </c>
      <c r="I283" s="9">
        <v>0</v>
      </c>
      <c r="J283" s="10">
        <v>45541</v>
      </c>
      <c r="K283" s="9" t="s">
        <v>45</v>
      </c>
      <c r="L283" s="9" t="s">
        <v>32</v>
      </c>
      <c r="M283" s="9">
        <v>1445.09</v>
      </c>
    </row>
    <row r="284" spans="1:13" x14ac:dyDescent="0.35">
      <c r="A284" s="9">
        <v>2355</v>
      </c>
      <c r="B284" s="9" t="s">
        <v>28</v>
      </c>
      <c r="C284" s="9" t="s">
        <v>21</v>
      </c>
      <c r="D284" s="9" t="s">
        <v>64</v>
      </c>
      <c r="E284" s="9" t="s">
        <v>60</v>
      </c>
      <c r="F284" s="9">
        <v>1</v>
      </c>
      <c r="G284" s="9">
        <v>0</v>
      </c>
      <c r="H284" s="9">
        <v>0</v>
      </c>
      <c r="I284" s="9">
        <v>0</v>
      </c>
      <c r="J284" s="10">
        <v>45499</v>
      </c>
      <c r="K284" s="9" t="s">
        <v>44</v>
      </c>
      <c r="L284" s="9" t="s">
        <v>25</v>
      </c>
      <c r="M284" s="9">
        <v>-887.83</v>
      </c>
    </row>
    <row r="285" spans="1:13" x14ac:dyDescent="0.35">
      <c r="A285" s="9">
        <v>2356</v>
      </c>
      <c r="B285" s="9" t="s">
        <v>31</v>
      </c>
      <c r="C285" s="9" t="s">
        <v>22</v>
      </c>
      <c r="D285" s="9" t="s">
        <v>65</v>
      </c>
      <c r="E285" s="9" t="s">
        <v>60</v>
      </c>
      <c r="F285" s="9">
        <v>0</v>
      </c>
      <c r="G285" s="9">
        <v>0</v>
      </c>
      <c r="H285" s="9">
        <v>0</v>
      </c>
      <c r="I285" s="9">
        <v>0</v>
      </c>
      <c r="J285" s="10">
        <v>45705</v>
      </c>
      <c r="K285" s="9" t="s">
        <v>44</v>
      </c>
      <c r="L285" s="9" t="s">
        <v>35</v>
      </c>
      <c r="M285" s="9">
        <v>543.26</v>
      </c>
    </row>
    <row r="286" spans="1:13" x14ac:dyDescent="0.35">
      <c r="A286" s="9">
        <v>2357</v>
      </c>
      <c r="B286" s="9" t="s">
        <v>28</v>
      </c>
      <c r="C286" s="9" t="s">
        <v>21</v>
      </c>
      <c r="D286" s="9" t="s">
        <v>40</v>
      </c>
      <c r="E286" s="9" t="s">
        <v>59</v>
      </c>
      <c r="F286" s="9">
        <v>0</v>
      </c>
      <c r="G286" s="9">
        <v>0</v>
      </c>
      <c r="H286" s="9">
        <v>1.23</v>
      </c>
      <c r="I286" s="9">
        <v>0</v>
      </c>
      <c r="J286" s="10">
        <v>45775</v>
      </c>
      <c r="K286" s="9" t="s">
        <v>44</v>
      </c>
      <c r="L286" s="9" t="s">
        <v>25</v>
      </c>
      <c r="M286" s="9">
        <v>-1199.32</v>
      </c>
    </row>
    <row r="287" spans="1:13" x14ac:dyDescent="0.35">
      <c r="A287" s="9">
        <v>2358</v>
      </c>
      <c r="B287" s="9" t="s">
        <v>31</v>
      </c>
      <c r="C287" s="9" t="s">
        <v>22</v>
      </c>
      <c r="D287" s="9" t="s">
        <v>30</v>
      </c>
      <c r="E287" s="9" t="s">
        <v>59</v>
      </c>
      <c r="F287" s="9">
        <v>4</v>
      </c>
      <c r="G287" s="9">
        <v>0</v>
      </c>
      <c r="H287" s="9">
        <v>0</v>
      </c>
      <c r="I287" s="9">
        <v>0</v>
      </c>
      <c r="J287" s="10">
        <v>45712</v>
      </c>
      <c r="K287" s="9" t="s">
        <v>45</v>
      </c>
      <c r="L287" s="9" t="s">
        <v>35</v>
      </c>
      <c r="M287" s="9">
        <v>1819.6</v>
      </c>
    </row>
    <row r="288" spans="1:13" x14ac:dyDescent="0.35">
      <c r="A288" s="9">
        <v>2359</v>
      </c>
      <c r="B288" s="9" t="s">
        <v>31</v>
      </c>
      <c r="C288" s="9" t="s">
        <v>21</v>
      </c>
      <c r="D288" s="9" t="s">
        <v>64</v>
      </c>
      <c r="E288" s="9" t="s">
        <v>60</v>
      </c>
      <c r="F288" s="9">
        <v>-1</v>
      </c>
      <c r="G288" s="9">
        <v>9836.48</v>
      </c>
      <c r="H288" s="9">
        <v>0.34</v>
      </c>
      <c r="I288" s="9">
        <v>-6492.08</v>
      </c>
      <c r="J288" s="10">
        <v>45712</v>
      </c>
      <c r="K288" s="9" t="s">
        <v>44</v>
      </c>
      <c r="L288" s="9" t="s">
        <v>35</v>
      </c>
      <c r="M288" s="9">
        <v>-874.96</v>
      </c>
    </row>
    <row r="289" spans="1:13" x14ac:dyDescent="0.35">
      <c r="A289" s="9">
        <v>2360</v>
      </c>
      <c r="B289" s="9" t="s">
        <v>28</v>
      </c>
      <c r="C289" s="9" t="s">
        <v>18</v>
      </c>
      <c r="D289" s="9" t="s">
        <v>41</v>
      </c>
      <c r="E289" s="9" t="s">
        <v>62</v>
      </c>
      <c r="F289" s="9">
        <v>0</v>
      </c>
      <c r="G289" s="9">
        <v>0</v>
      </c>
      <c r="H289" s="9">
        <v>0.85</v>
      </c>
      <c r="I289" s="9">
        <v>0</v>
      </c>
      <c r="J289" s="10">
        <v>45633</v>
      </c>
      <c r="K289" s="9" t="s">
        <v>45</v>
      </c>
      <c r="L289" s="9" t="s">
        <v>32</v>
      </c>
      <c r="M289" s="9">
        <v>1947.5</v>
      </c>
    </row>
    <row r="290" spans="1:13" x14ac:dyDescent="0.35">
      <c r="A290" s="9">
        <v>2361</v>
      </c>
      <c r="B290" s="9" t="s">
        <v>34</v>
      </c>
      <c r="C290" s="9" t="s">
        <v>18</v>
      </c>
      <c r="D290" s="9" t="s">
        <v>33</v>
      </c>
      <c r="E290" s="9" t="s">
        <v>60</v>
      </c>
      <c r="F290" s="9">
        <v>0</v>
      </c>
      <c r="G290" s="9">
        <v>0</v>
      </c>
      <c r="H290" s="9">
        <v>1.06</v>
      </c>
      <c r="I290" s="9">
        <v>0</v>
      </c>
      <c r="J290" s="10">
        <v>45503</v>
      </c>
      <c r="K290" s="9" t="s">
        <v>44</v>
      </c>
      <c r="L290" s="9" t="s">
        <v>26</v>
      </c>
      <c r="M290" s="9">
        <v>1302.98</v>
      </c>
    </row>
    <row r="291" spans="1:13" x14ac:dyDescent="0.35">
      <c r="A291" s="9">
        <v>2362</v>
      </c>
      <c r="B291" s="9" t="s">
        <v>28</v>
      </c>
      <c r="C291" s="9" t="s">
        <v>21</v>
      </c>
      <c r="D291" s="9" t="s">
        <v>36</v>
      </c>
      <c r="E291" s="9" t="s">
        <v>62</v>
      </c>
      <c r="F291" s="9">
        <v>2</v>
      </c>
      <c r="G291" s="9">
        <v>0</v>
      </c>
      <c r="H291" s="9">
        <v>1.04</v>
      </c>
      <c r="I291" s="9">
        <v>0</v>
      </c>
      <c r="J291" s="10">
        <v>45635</v>
      </c>
      <c r="K291" s="9" t="s">
        <v>45</v>
      </c>
      <c r="L291" s="9" t="s">
        <v>25</v>
      </c>
      <c r="M291" s="9">
        <v>3817.26</v>
      </c>
    </row>
    <row r="292" spans="1:13" x14ac:dyDescent="0.35">
      <c r="A292" s="9">
        <v>2363</v>
      </c>
      <c r="B292" s="9" t="s">
        <v>34</v>
      </c>
      <c r="C292" s="9" t="s">
        <v>20</v>
      </c>
      <c r="D292" s="9" t="s">
        <v>70</v>
      </c>
      <c r="E292" s="9" t="s">
        <v>62</v>
      </c>
      <c r="F292" s="9">
        <v>0</v>
      </c>
      <c r="G292" s="9">
        <v>5419.15</v>
      </c>
      <c r="H292" s="9">
        <v>1.08</v>
      </c>
      <c r="I292" s="9">
        <v>0</v>
      </c>
      <c r="J292" s="10">
        <v>45839</v>
      </c>
      <c r="K292" s="9" t="s">
        <v>44</v>
      </c>
      <c r="L292" s="9" t="s">
        <v>32</v>
      </c>
      <c r="M292" s="9">
        <v>-597.61</v>
      </c>
    </row>
    <row r="293" spans="1:13" x14ac:dyDescent="0.35">
      <c r="A293" s="9">
        <v>2364</v>
      </c>
      <c r="B293" s="9" t="s">
        <v>28</v>
      </c>
      <c r="C293" s="9" t="s">
        <v>21</v>
      </c>
      <c r="D293" s="9" t="s">
        <v>71</v>
      </c>
      <c r="E293" s="9" t="s">
        <v>59</v>
      </c>
      <c r="F293" s="9">
        <v>0</v>
      </c>
      <c r="G293" s="9">
        <v>0</v>
      </c>
      <c r="H293" s="9">
        <v>0.27</v>
      </c>
      <c r="I293" s="9">
        <v>0</v>
      </c>
      <c r="J293" s="10">
        <v>45839</v>
      </c>
      <c r="K293" s="9" t="s">
        <v>45</v>
      </c>
      <c r="L293" s="9" t="s">
        <v>29</v>
      </c>
      <c r="M293" s="9">
        <v>1414.23</v>
      </c>
    </row>
    <row r="294" spans="1:13" x14ac:dyDescent="0.35">
      <c r="A294" s="9">
        <v>2365</v>
      </c>
      <c r="B294" s="9" t="s">
        <v>28</v>
      </c>
      <c r="C294" s="9" t="s">
        <v>20</v>
      </c>
      <c r="D294" s="9" t="s">
        <v>61</v>
      </c>
      <c r="E294" s="9" t="s">
        <v>59</v>
      </c>
      <c r="F294" s="9">
        <v>0</v>
      </c>
      <c r="G294" s="9">
        <v>0</v>
      </c>
      <c r="H294" s="9">
        <v>0</v>
      </c>
      <c r="I294" s="9">
        <v>0</v>
      </c>
      <c r="J294" s="10">
        <v>45521</v>
      </c>
      <c r="K294" s="9" t="s">
        <v>45</v>
      </c>
      <c r="L294" s="9" t="s">
        <v>32</v>
      </c>
      <c r="M294" s="9">
        <v>3555.61</v>
      </c>
    </row>
    <row r="295" spans="1:13" x14ac:dyDescent="0.35">
      <c r="A295" s="9">
        <v>2366</v>
      </c>
      <c r="B295" s="9" t="s">
        <v>34</v>
      </c>
      <c r="C295" s="9" t="s">
        <v>21</v>
      </c>
      <c r="D295" s="9" t="s">
        <v>64</v>
      </c>
      <c r="E295" s="9" t="s">
        <v>59</v>
      </c>
      <c r="F295" s="9">
        <v>0</v>
      </c>
      <c r="G295" s="9">
        <v>0</v>
      </c>
      <c r="H295" s="9">
        <v>0.63</v>
      </c>
      <c r="I295" s="9">
        <v>0</v>
      </c>
      <c r="J295" s="10">
        <v>45785</v>
      </c>
      <c r="K295" s="9" t="s">
        <v>44</v>
      </c>
      <c r="L295" s="9" t="s">
        <v>25</v>
      </c>
      <c r="M295" s="9">
        <v>3737.47</v>
      </c>
    </row>
    <row r="296" spans="1:13" x14ac:dyDescent="0.35">
      <c r="A296" s="9">
        <v>2367</v>
      </c>
      <c r="B296" s="9" t="s">
        <v>34</v>
      </c>
      <c r="C296" s="9" t="s">
        <v>21</v>
      </c>
      <c r="D296" s="9" t="s">
        <v>71</v>
      </c>
      <c r="E296" s="9" t="s">
        <v>62</v>
      </c>
      <c r="F296" s="9">
        <v>4</v>
      </c>
      <c r="G296" s="9">
        <v>6202.99</v>
      </c>
      <c r="H296" s="9">
        <v>0.84</v>
      </c>
      <c r="I296" s="9">
        <v>3969.91</v>
      </c>
      <c r="J296" s="10">
        <v>45608</v>
      </c>
      <c r="K296" s="9" t="s">
        <v>45</v>
      </c>
      <c r="L296" s="9" t="s">
        <v>25</v>
      </c>
      <c r="M296" s="9">
        <v>-202.12</v>
      </c>
    </row>
    <row r="297" spans="1:13" x14ac:dyDescent="0.35">
      <c r="A297" s="9">
        <v>2368</v>
      </c>
      <c r="B297" s="9" t="s">
        <v>28</v>
      </c>
      <c r="C297" s="9" t="s">
        <v>21</v>
      </c>
      <c r="D297" s="9" t="s">
        <v>64</v>
      </c>
      <c r="E297" s="9" t="s">
        <v>60</v>
      </c>
      <c r="F297" s="9">
        <v>0</v>
      </c>
      <c r="G297" s="9">
        <v>5582.98</v>
      </c>
      <c r="H297" s="9">
        <v>0</v>
      </c>
      <c r="I297" s="9">
        <v>0</v>
      </c>
      <c r="J297" s="10">
        <v>45142</v>
      </c>
      <c r="K297" s="9" t="s">
        <v>44</v>
      </c>
      <c r="L297" s="9" t="s">
        <v>29</v>
      </c>
      <c r="M297" s="9">
        <v>2369.2800000000002</v>
      </c>
    </row>
    <row r="298" spans="1:13" x14ac:dyDescent="0.35">
      <c r="A298" s="9">
        <v>2369</v>
      </c>
      <c r="B298" s="9" t="s">
        <v>31</v>
      </c>
      <c r="C298" s="9" t="s">
        <v>22</v>
      </c>
      <c r="D298" s="9" t="s">
        <v>30</v>
      </c>
      <c r="E298" s="9" t="s">
        <v>62</v>
      </c>
      <c r="F298" s="9">
        <v>0</v>
      </c>
      <c r="G298" s="9">
        <v>4248.21</v>
      </c>
      <c r="H298" s="9">
        <v>0.5</v>
      </c>
      <c r="I298" s="9">
        <v>0</v>
      </c>
      <c r="J298" s="10">
        <v>45849</v>
      </c>
      <c r="K298" s="9" t="s">
        <v>45</v>
      </c>
      <c r="L298" s="9" t="s">
        <v>32</v>
      </c>
      <c r="M298" s="9">
        <v>2427.86</v>
      </c>
    </row>
    <row r="299" spans="1:13" x14ac:dyDescent="0.35">
      <c r="A299" s="9">
        <v>2370</v>
      </c>
      <c r="B299" s="9" t="s">
        <v>31</v>
      </c>
      <c r="C299" s="9" t="s">
        <v>20</v>
      </c>
      <c r="D299" s="9" t="s">
        <v>70</v>
      </c>
      <c r="E299" s="9" t="s">
        <v>60</v>
      </c>
      <c r="F299" s="9">
        <v>2</v>
      </c>
      <c r="G299" s="9">
        <v>0</v>
      </c>
      <c r="H299" s="9">
        <v>0</v>
      </c>
      <c r="I299" s="9">
        <v>0</v>
      </c>
      <c r="J299" s="10">
        <v>45692</v>
      </c>
      <c r="K299" s="9" t="s">
        <v>45</v>
      </c>
      <c r="L299" s="9" t="s">
        <v>29</v>
      </c>
      <c r="M299" s="9">
        <v>867.37</v>
      </c>
    </row>
    <row r="300" spans="1:13" x14ac:dyDescent="0.35">
      <c r="A300" s="9">
        <v>2373</v>
      </c>
      <c r="B300" s="9" t="s">
        <v>28</v>
      </c>
      <c r="C300" s="9" t="s">
        <v>21</v>
      </c>
      <c r="D300" s="9" t="s">
        <v>40</v>
      </c>
      <c r="E300" s="9" t="s">
        <v>62</v>
      </c>
      <c r="F300" s="9">
        <v>0</v>
      </c>
      <c r="G300" s="9">
        <v>8637.25</v>
      </c>
      <c r="H300" s="9">
        <v>0.35</v>
      </c>
      <c r="I300" s="9">
        <v>0</v>
      </c>
      <c r="J300" s="10">
        <v>45557</v>
      </c>
      <c r="K300" s="9" t="s">
        <v>44</v>
      </c>
      <c r="L300" s="9" t="s">
        <v>27</v>
      </c>
      <c r="M300" s="9">
        <v>2738.82</v>
      </c>
    </row>
    <row r="301" spans="1:13" x14ac:dyDescent="0.35">
      <c r="A301" s="9">
        <v>2006</v>
      </c>
      <c r="B301" s="9" t="s">
        <v>28</v>
      </c>
      <c r="C301" s="9" t="s">
        <v>22</v>
      </c>
      <c r="D301" s="9" t="s">
        <v>68</v>
      </c>
      <c r="E301" s="9" t="s">
        <v>60</v>
      </c>
      <c r="F301" s="9">
        <v>-1</v>
      </c>
      <c r="G301" s="9">
        <v>8799.2199999999993</v>
      </c>
      <c r="H301" s="9">
        <v>0</v>
      </c>
      <c r="I301" s="9">
        <v>0</v>
      </c>
      <c r="J301" s="10">
        <v>45151</v>
      </c>
      <c r="K301" s="9" t="s">
        <v>44</v>
      </c>
      <c r="L301" s="9" t="s">
        <v>25</v>
      </c>
      <c r="M301" s="9">
        <v>-1109.57</v>
      </c>
    </row>
    <row r="302" spans="1:13" x14ac:dyDescent="0.35">
      <c r="A302" s="9">
        <v>2376</v>
      </c>
      <c r="B302" s="9" t="s">
        <v>31</v>
      </c>
      <c r="C302" s="9" t="s">
        <v>21</v>
      </c>
      <c r="D302" s="9" t="s">
        <v>71</v>
      </c>
      <c r="E302" s="9" t="s">
        <v>62</v>
      </c>
      <c r="F302" s="9">
        <v>0</v>
      </c>
      <c r="G302" s="9">
        <v>3718.82</v>
      </c>
      <c r="H302" s="9">
        <v>0.88</v>
      </c>
      <c r="I302" s="9">
        <v>0</v>
      </c>
      <c r="J302" s="10">
        <v>45568</v>
      </c>
      <c r="K302" s="9" t="s">
        <v>45</v>
      </c>
      <c r="L302" s="9" t="s">
        <v>29</v>
      </c>
      <c r="M302" s="9">
        <v>-234.66</v>
      </c>
    </row>
    <row r="303" spans="1:13" x14ac:dyDescent="0.35">
      <c r="A303" s="9">
        <v>2378</v>
      </c>
      <c r="B303" s="9" t="s">
        <v>28</v>
      </c>
      <c r="C303" s="9" t="s">
        <v>22</v>
      </c>
      <c r="D303" s="9" t="s">
        <v>30</v>
      </c>
      <c r="E303" s="9" t="s">
        <v>62</v>
      </c>
      <c r="F303" s="9">
        <v>-1</v>
      </c>
      <c r="G303" s="9">
        <v>0</v>
      </c>
      <c r="H303" s="9">
        <v>0</v>
      </c>
      <c r="I303" s="9">
        <v>0</v>
      </c>
      <c r="J303" s="10">
        <v>45600</v>
      </c>
      <c r="K303" s="9" t="s">
        <v>44</v>
      </c>
      <c r="L303" s="9" t="s">
        <v>26</v>
      </c>
      <c r="M303" s="9">
        <v>2107.42</v>
      </c>
    </row>
    <row r="304" spans="1:13" x14ac:dyDescent="0.35">
      <c r="A304" s="9">
        <v>2379</v>
      </c>
      <c r="B304" s="9" t="s">
        <v>31</v>
      </c>
      <c r="C304" s="9" t="s">
        <v>21</v>
      </c>
      <c r="D304" s="9" t="s">
        <v>40</v>
      </c>
      <c r="E304" s="9" t="s">
        <v>60</v>
      </c>
      <c r="F304" s="9">
        <v>4</v>
      </c>
      <c r="G304" s="9">
        <v>0</v>
      </c>
      <c r="H304" s="9">
        <v>0</v>
      </c>
      <c r="I304" s="9">
        <v>0</v>
      </c>
      <c r="J304" s="10">
        <v>45391</v>
      </c>
      <c r="K304" s="9" t="s">
        <v>45</v>
      </c>
      <c r="L304" s="9" t="s">
        <v>26</v>
      </c>
      <c r="M304" s="9">
        <v>3289.77</v>
      </c>
    </row>
    <row r="305" spans="1:13" x14ac:dyDescent="0.35">
      <c r="A305" s="9">
        <v>2380</v>
      </c>
      <c r="B305" s="9" t="s">
        <v>31</v>
      </c>
      <c r="C305" s="9" t="s">
        <v>19</v>
      </c>
      <c r="D305" s="9" t="s">
        <v>69</v>
      </c>
      <c r="E305" s="9" t="s">
        <v>59</v>
      </c>
      <c r="F305" s="9">
        <v>1</v>
      </c>
      <c r="G305" s="9">
        <v>7932.85</v>
      </c>
      <c r="H305" s="9">
        <v>0</v>
      </c>
      <c r="I305" s="9">
        <v>0</v>
      </c>
      <c r="J305" s="10">
        <v>45635</v>
      </c>
      <c r="K305" s="9" t="s">
        <v>44</v>
      </c>
      <c r="L305" s="9" t="s">
        <v>29</v>
      </c>
      <c r="M305" s="9">
        <v>2707.27</v>
      </c>
    </row>
    <row r="306" spans="1:13" x14ac:dyDescent="0.35">
      <c r="A306" s="9">
        <v>2381</v>
      </c>
      <c r="B306" s="9" t="s">
        <v>34</v>
      </c>
      <c r="C306" s="9" t="s">
        <v>21</v>
      </c>
      <c r="D306" s="9" t="s">
        <v>71</v>
      </c>
      <c r="E306" s="9" t="s">
        <v>59</v>
      </c>
      <c r="F306" s="9">
        <v>3</v>
      </c>
      <c r="G306" s="9">
        <v>4834.6499999999996</v>
      </c>
      <c r="H306" s="9">
        <v>1.02</v>
      </c>
      <c r="I306" s="9">
        <v>-290.08</v>
      </c>
      <c r="J306" s="10">
        <v>45577</v>
      </c>
      <c r="K306" s="9" t="s">
        <v>44</v>
      </c>
      <c r="L306" s="9" t="s">
        <v>35</v>
      </c>
      <c r="M306" s="9">
        <v>213.96</v>
      </c>
    </row>
    <row r="307" spans="1:13" x14ac:dyDescent="0.35">
      <c r="A307" s="9">
        <v>2382</v>
      </c>
      <c r="B307" s="9" t="s">
        <v>31</v>
      </c>
      <c r="C307" s="9" t="s">
        <v>21</v>
      </c>
      <c r="D307" s="9" t="s">
        <v>64</v>
      </c>
      <c r="E307" s="9" t="s">
        <v>60</v>
      </c>
      <c r="F307" s="9">
        <v>4</v>
      </c>
      <c r="G307" s="9">
        <v>0</v>
      </c>
      <c r="H307" s="9">
        <v>0</v>
      </c>
      <c r="I307" s="9">
        <v>0</v>
      </c>
      <c r="J307" s="10">
        <v>45360</v>
      </c>
      <c r="K307" s="9" t="s">
        <v>44</v>
      </c>
      <c r="L307" s="9" t="s">
        <v>26</v>
      </c>
      <c r="M307" s="9">
        <v>787.42</v>
      </c>
    </row>
    <row r="308" spans="1:13" x14ac:dyDescent="0.35">
      <c r="A308" s="9">
        <v>2386</v>
      </c>
      <c r="B308" s="9" t="s">
        <v>31</v>
      </c>
      <c r="C308" s="9" t="s">
        <v>22</v>
      </c>
      <c r="D308" s="9" t="s">
        <v>67</v>
      </c>
      <c r="E308" s="9" t="s">
        <v>59</v>
      </c>
      <c r="F308" s="9">
        <v>0</v>
      </c>
      <c r="G308" s="9">
        <v>2271.77</v>
      </c>
      <c r="H308" s="9">
        <v>0</v>
      </c>
      <c r="I308" s="9">
        <v>0</v>
      </c>
      <c r="J308" s="10">
        <v>45851</v>
      </c>
      <c r="K308" s="9" t="s">
        <v>45</v>
      </c>
      <c r="L308" s="9" t="s">
        <v>35</v>
      </c>
      <c r="M308" s="9">
        <v>2029.55</v>
      </c>
    </row>
    <row r="309" spans="1:13" x14ac:dyDescent="0.35">
      <c r="A309" s="9">
        <v>2388</v>
      </c>
      <c r="B309" s="9" t="s">
        <v>34</v>
      </c>
      <c r="C309" s="9" t="s">
        <v>20</v>
      </c>
      <c r="D309" s="9" t="s">
        <v>43</v>
      </c>
      <c r="E309" s="9" t="s">
        <v>60</v>
      </c>
      <c r="F309" s="9">
        <v>1</v>
      </c>
      <c r="G309" s="9">
        <v>5321.46</v>
      </c>
      <c r="H309" s="9">
        <v>0</v>
      </c>
      <c r="I309" s="9">
        <v>0</v>
      </c>
      <c r="J309" s="10">
        <v>45537</v>
      </c>
      <c r="K309" s="9" t="s">
        <v>44</v>
      </c>
      <c r="L309" s="9" t="s">
        <v>25</v>
      </c>
      <c r="M309" s="9">
        <v>2587.2600000000002</v>
      </c>
    </row>
    <row r="310" spans="1:13" x14ac:dyDescent="0.35">
      <c r="A310" s="9">
        <v>2389</v>
      </c>
      <c r="B310" s="9" t="s">
        <v>28</v>
      </c>
      <c r="C310" s="9" t="s">
        <v>22</v>
      </c>
      <c r="D310" s="9" t="s">
        <v>67</v>
      </c>
      <c r="E310" s="9" t="s">
        <v>62</v>
      </c>
      <c r="F310" s="9">
        <v>0</v>
      </c>
      <c r="G310" s="9">
        <v>7901.16</v>
      </c>
      <c r="H310" s="9">
        <v>0.77</v>
      </c>
      <c r="I310" s="9">
        <v>0</v>
      </c>
      <c r="J310" s="10">
        <v>45573</v>
      </c>
      <c r="K310" s="9" t="s">
        <v>45</v>
      </c>
      <c r="L310" s="9" t="s">
        <v>29</v>
      </c>
      <c r="M310" s="9">
        <v>-406.39</v>
      </c>
    </row>
    <row r="311" spans="1:13" x14ac:dyDescent="0.35">
      <c r="A311" s="9">
        <v>2390</v>
      </c>
      <c r="B311" s="9" t="s">
        <v>34</v>
      </c>
      <c r="C311" s="9" t="s">
        <v>21</v>
      </c>
      <c r="D311" s="9" t="s">
        <v>64</v>
      </c>
      <c r="E311" s="9" t="s">
        <v>62</v>
      </c>
      <c r="F311" s="9">
        <v>-1</v>
      </c>
      <c r="G311" s="9">
        <v>0</v>
      </c>
      <c r="H311" s="9">
        <v>0</v>
      </c>
      <c r="I311" s="9">
        <v>0</v>
      </c>
      <c r="J311" s="10">
        <v>45801</v>
      </c>
      <c r="K311" s="9" t="s">
        <v>45</v>
      </c>
      <c r="L311" s="9" t="s">
        <v>29</v>
      </c>
      <c r="M311" s="9">
        <v>496.54</v>
      </c>
    </row>
    <row r="312" spans="1:13" x14ac:dyDescent="0.35">
      <c r="A312" s="9">
        <v>2002</v>
      </c>
      <c r="B312" s="9" t="s">
        <v>28</v>
      </c>
      <c r="C312" s="9" t="s">
        <v>18</v>
      </c>
      <c r="D312" s="9" t="s">
        <v>38</v>
      </c>
      <c r="E312" s="9" t="s">
        <v>62</v>
      </c>
      <c r="F312" s="9">
        <v>4</v>
      </c>
      <c r="G312" s="9">
        <v>6820.42</v>
      </c>
      <c r="H312" s="9">
        <v>0</v>
      </c>
      <c r="I312" s="9">
        <v>0</v>
      </c>
      <c r="J312" s="10">
        <v>45568</v>
      </c>
      <c r="K312" s="9" t="s">
        <v>44</v>
      </c>
      <c r="L312" s="9" t="s">
        <v>27</v>
      </c>
      <c r="M312" s="9">
        <v>3842.85</v>
      </c>
    </row>
    <row r="313" spans="1:13" x14ac:dyDescent="0.35">
      <c r="A313" s="9">
        <v>2392</v>
      </c>
      <c r="B313" s="9" t="s">
        <v>34</v>
      </c>
      <c r="C313" s="9" t="s">
        <v>22</v>
      </c>
      <c r="D313" s="9" t="s">
        <v>68</v>
      </c>
      <c r="E313" s="9" t="s">
        <v>62</v>
      </c>
      <c r="F313" s="9">
        <v>0</v>
      </c>
      <c r="G313" s="9">
        <v>8631.0300000000007</v>
      </c>
      <c r="H313" s="9">
        <v>0</v>
      </c>
      <c r="I313" s="9">
        <v>0</v>
      </c>
      <c r="J313" s="10">
        <v>45568</v>
      </c>
      <c r="K313" s="9" t="s">
        <v>44</v>
      </c>
      <c r="L313" s="9" t="s">
        <v>25</v>
      </c>
      <c r="M313" s="9">
        <v>1356.18</v>
      </c>
    </row>
    <row r="314" spans="1:13" x14ac:dyDescent="0.35">
      <c r="A314" s="9">
        <v>2050</v>
      </c>
      <c r="B314" s="9" t="s">
        <v>34</v>
      </c>
      <c r="C314" s="9" t="s">
        <v>18</v>
      </c>
      <c r="D314" s="9" t="s">
        <v>38</v>
      </c>
      <c r="E314" s="9" t="s">
        <v>60</v>
      </c>
      <c r="F314" s="9">
        <v>0</v>
      </c>
      <c r="G314" s="9">
        <v>0</v>
      </c>
      <c r="H314" s="9">
        <v>1.19</v>
      </c>
      <c r="I314" s="9">
        <v>0</v>
      </c>
      <c r="J314" s="10">
        <v>45568</v>
      </c>
      <c r="K314" s="9" t="s">
        <v>44</v>
      </c>
      <c r="L314" s="9" t="s">
        <v>32</v>
      </c>
      <c r="M314" s="9">
        <v>4.76</v>
      </c>
    </row>
    <row r="315" spans="1:13" x14ac:dyDescent="0.35">
      <c r="A315" s="9">
        <v>2394</v>
      </c>
      <c r="B315" s="9" t="s">
        <v>34</v>
      </c>
      <c r="C315" s="9" t="s">
        <v>21</v>
      </c>
      <c r="D315" s="9" t="s">
        <v>40</v>
      </c>
      <c r="E315" s="9" t="s">
        <v>62</v>
      </c>
      <c r="F315" s="9">
        <v>0</v>
      </c>
      <c r="G315" s="9">
        <v>0</v>
      </c>
      <c r="H315" s="9">
        <v>0.2</v>
      </c>
      <c r="I315" s="9">
        <v>0</v>
      </c>
      <c r="J315" s="10">
        <v>45156</v>
      </c>
      <c r="K315" s="9" t="s">
        <v>45</v>
      </c>
      <c r="L315" s="9" t="s">
        <v>29</v>
      </c>
      <c r="M315" s="9">
        <v>-133.03</v>
      </c>
    </row>
    <row r="316" spans="1:13" x14ac:dyDescent="0.35">
      <c r="A316" s="9">
        <v>2395</v>
      </c>
      <c r="B316" s="9" t="s">
        <v>34</v>
      </c>
      <c r="C316" s="9" t="s">
        <v>19</v>
      </c>
      <c r="D316" s="9" t="s">
        <v>39</v>
      </c>
      <c r="E316" s="9" t="s">
        <v>62</v>
      </c>
      <c r="F316" s="9">
        <v>1</v>
      </c>
      <c r="G316" s="9">
        <v>0</v>
      </c>
      <c r="H316" s="9">
        <v>0</v>
      </c>
      <c r="I316" s="9">
        <v>0</v>
      </c>
      <c r="J316" s="10">
        <v>45846</v>
      </c>
      <c r="K316" s="9" t="s">
        <v>45</v>
      </c>
      <c r="L316" s="9" t="s">
        <v>35</v>
      </c>
      <c r="M316" s="9">
        <v>85</v>
      </c>
    </row>
    <row r="317" spans="1:13" x14ac:dyDescent="0.35">
      <c r="A317" s="9">
        <v>2396</v>
      </c>
      <c r="B317" s="9" t="s">
        <v>31</v>
      </c>
      <c r="C317" s="9" t="s">
        <v>22</v>
      </c>
      <c r="D317" s="9" t="s">
        <v>65</v>
      </c>
      <c r="E317" s="9" t="s">
        <v>60</v>
      </c>
      <c r="F317" s="9">
        <v>0</v>
      </c>
      <c r="G317" s="9">
        <v>5967.92</v>
      </c>
      <c r="H317" s="9">
        <v>0.03</v>
      </c>
      <c r="I317" s="9">
        <v>0</v>
      </c>
      <c r="J317" s="10">
        <v>45817</v>
      </c>
      <c r="K317" s="9" t="s">
        <v>44</v>
      </c>
      <c r="L317" s="9" t="s">
        <v>35</v>
      </c>
      <c r="M317" s="9">
        <v>859.93</v>
      </c>
    </row>
    <row r="318" spans="1:13" x14ac:dyDescent="0.35">
      <c r="A318" s="9">
        <v>2397</v>
      </c>
      <c r="B318" s="9" t="s">
        <v>31</v>
      </c>
      <c r="C318" s="9" t="s">
        <v>19</v>
      </c>
      <c r="D318" s="9" t="s">
        <v>69</v>
      </c>
      <c r="E318" s="9" t="s">
        <v>62</v>
      </c>
      <c r="F318" s="9">
        <v>0</v>
      </c>
      <c r="G318" s="9">
        <v>0</v>
      </c>
      <c r="H318" s="9">
        <v>0</v>
      </c>
      <c r="I318" s="9">
        <v>0</v>
      </c>
      <c r="J318" s="10">
        <v>45287</v>
      </c>
      <c r="K318" s="9" t="s">
        <v>44</v>
      </c>
      <c r="L318" s="9" t="s">
        <v>26</v>
      </c>
      <c r="M318" s="9">
        <v>3996.96</v>
      </c>
    </row>
    <row r="319" spans="1:13" x14ac:dyDescent="0.35">
      <c r="A319" s="9">
        <v>2398</v>
      </c>
      <c r="B319" s="9" t="s">
        <v>28</v>
      </c>
      <c r="C319" s="9" t="s">
        <v>19</v>
      </c>
      <c r="D319" s="9" t="s">
        <v>63</v>
      </c>
      <c r="E319" s="9" t="s">
        <v>60</v>
      </c>
      <c r="F319" s="9">
        <v>0</v>
      </c>
      <c r="G319" s="9">
        <v>4301.8500000000004</v>
      </c>
      <c r="H319" s="9">
        <v>0.74</v>
      </c>
      <c r="I319" s="9">
        <v>0</v>
      </c>
      <c r="J319" s="10">
        <v>45287</v>
      </c>
      <c r="K319" s="9" t="s">
        <v>44</v>
      </c>
      <c r="L319" s="9" t="s">
        <v>25</v>
      </c>
      <c r="M319" s="9">
        <v>3888.42</v>
      </c>
    </row>
    <row r="320" spans="1:13" x14ac:dyDescent="0.35">
      <c r="A320" s="9">
        <v>2399</v>
      </c>
      <c r="B320" s="9" t="s">
        <v>28</v>
      </c>
      <c r="C320" s="9" t="s">
        <v>20</v>
      </c>
      <c r="D320" s="9" t="s">
        <v>43</v>
      </c>
      <c r="E320" s="9" t="s">
        <v>60</v>
      </c>
      <c r="F320" s="9">
        <v>-1</v>
      </c>
      <c r="G320" s="9">
        <v>6188.29</v>
      </c>
      <c r="H320" s="9">
        <v>0</v>
      </c>
      <c r="I320" s="9">
        <v>0</v>
      </c>
      <c r="J320" s="10">
        <v>45511</v>
      </c>
      <c r="K320" s="9" t="s">
        <v>44</v>
      </c>
      <c r="L320" s="9" t="s">
        <v>35</v>
      </c>
      <c r="M320" s="9">
        <v>515.6</v>
      </c>
    </row>
    <row r="321" spans="1:13" x14ac:dyDescent="0.35">
      <c r="A321" s="9">
        <v>2025</v>
      </c>
      <c r="B321" s="9" t="s">
        <v>34</v>
      </c>
      <c r="C321" s="9" t="s">
        <v>18</v>
      </c>
      <c r="D321" s="9" t="s">
        <v>38</v>
      </c>
      <c r="E321" s="9" t="s">
        <v>62</v>
      </c>
      <c r="F321" s="9">
        <v>4</v>
      </c>
      <c r="G321" s="9">
        <v>6743.07</v>
      </c>
      <c r="H321" s="9">
        <v>0</v>
      </c>
      <c r="I321" s="9">
        <v>0</v>
      </c>
      <c r="J321" s="10">
        <v>45574</v>
      </c>
      <c r="K321" s="9" t="s">
        <v>45</v>
      </c>
      <c r="L321" s="9" t="s">
        <v>35</v>
      </c>
      <c r="M321" s="9">
        <v>-277.41000000000003</v>
      </c>
    </row>
    <row r="322" spans="1:13" x14ac:dyDescent="0.35">
      <c r="A322" s="9">
        <v>2403</v>
      </c>
      <c r="B322" s="9" t="s">
        <v>28</v>
      </c>
      <c r="C322" s="9" t="s">
        <v>20</v>
      </c>
      <c r="D322" s="9" t="s">
        <v>61</v>
      </c>
      <c r="E322" s="9" t="s">
        <v>62</v>
      </c>
      <c r="F322" s="9">
        <v>0</v>
      </c>
      <c r="G322" s="9">
        <v>0</v>
      </c>
      <c r="H322" s="9">
        <v>1.1299999999999999</v>
      </c>
      <c r="I322" s="9">
        <v>0</v>
      </c>
      <c r="J322" s="10">
        <v>45528</v>
      </c>
      <c r="K322" s="9" t="s">
        <v>44</v>
      </c>
      <c r="L322" s="9" t="s">
        <v>29</v>
      </c>
      <c r="M322" s="9">
        <v>1309.54</v>
      </c>
    </row>
    <row r="323" spans="1:13" x14ac:dyDescent="0.35">
      <c r="A323" s="9">
        <v>2404</v>
      </c>
      <c r="B323" s="9" t="s">
        <v>31</v>
      </c>
      <c r="C323" s="9" t="s">
        <v>21</v>
      </c>
      <c r="D323" s="9" t="s">
        <v>36</v>
      </c>
      <c r="E323" s="9" t="s">
        <v>62</v>
      </c>
      <c r="F323" s="9">
        <v>0</v>
      </c>
      <c r="G323" s="9">
        <v>0</v>
      </c>
      <c r="H323" s="9">
        <v>0.09</v>
      </c>
      <c r="I323" s="9">
        <v>0</v>
      </c>
      <c r="J323" s="10">
        <v>45316</v>
      </c>
      <c r="K323" s="9" t="s">
        <v>45</v>
      </c>
      <c r="L323" s="9" t="s">
        <v>35</v>
      </c>
      <c r="M323" s="9">
        <v>-501.36</v>
      </c>
    </row>
    <row r="324" spans="1:13" x14ac:dyDescent="0.35">
      <c r="A324" s="9">
        <v>2405</v>
      </c>
      <c r="B324" s="9" t="s">
        <v>31</v>
      </c>
      <c r="C324" s="9" t="s">
        <v>22</v>
      </c>
      <c r="D324" s="9" t="s">
        <v>67</v>
      </c>
      <c r="E324" s="9" t="s">
        <v>59</v>
      </c>
      <c r="F324" s="9">
        <v>1</v>
      </c>
      <c r="G324" s="9">
        <v>0</v>
      </c>
      <c r="H324" s="9">
        <v>0</v>
      </c>
      <c r="I324" s="9">
        <v>0</v>
      </c>
      <c r="J324" s="10">
        <v>45613</v>
      </c>
      <c r="K324" s="9" t="s">
        <v>45</v>
      </c>
      <c r="L324" s="9" t="s">
        <v>27</v>
      </c>
      <c r="M324" s="9">
        <v>69.95</v>
      </c>
    </row>
    <row r="325" spans="1:13" x14ac:dyDescent="0.35">
      <c r="A325" s="9">
        <v>2406</v>
      </c>
      <c r="B325" s="9" t="s">
        <v>31</v>
      </c>
      <c r="C325" s="9" t="s">
        <v>18</v>
      </c>
      <c r="D325" s="9" t="s">
        <v>41</v>
      </c>
      <c r="E325" s="9" t="s">
        <v>60</v>
      </c>
      <c r="F325" s="9">
        <v>4</v>
      </c>
      <c r="G325" s="9">
        <v>6458.72</v>
      </c>
      <c r="H325" s="9">
        <v>0</v>
      </c>
      <c r="I325" s="9">
        <v>0</v>
      </c>
      <c r="J325" s="10">
        <v>45186</v>
      </c>
      <c r="K325" s="9" t="s">
        <v>45</v>
      </c>
      <c r="L325" s="9" t="s">
        <v>26</v>
      </c>
      <c r="M325" s="9">
        <v>402</v>
      </c>
    </row>
    <row r="326" spans="1:13" x14ac:dyDescent="0.35">
      <c r="A326" s="9">
        <v>2407</v>
      </c>
      <c r="B326" s="9" t="s">
        <v>34</v>
      </c>
      <c r="C326" s="9" t="s">
        <v>20</v>
      </c>
      <c r="D326" s="9" t="s">
        <v>66</v>
      </c>
      <c r="E326" s="9" t="s">
        <v>59</v>
      </c>
      <c r="F326" s="9">
        <v>0</v>
      </c>
      <c r="G326" s="9">
        <v>9193.15</v>
      </c>
      <c r="H326" s="9">
        <v>0</v>
      </c>
      <c r="I326" s="9">
        <v>0</v>
      </c>
      <c r="J326" s="10">
        <v>45290</v>
      </c>
      <c r="K326" s="9" t="s">
        <v>45</v>
      </c>
      <c r="L326" s="9" t="s">
        <v>27</v>
      </c>
      <c r="M326" s="9">
        <v>521.77</v>
      </c>
    </row>
    <row r="327" spans="1:13" x14ac:dyDescent="0.35">
      <c r="A327" s="9">
        <v>2408</v>
      </c>
      <c r="B327" s="9" t="s">
        <v>31</v>
      </c>
      <c r="C327" s="9" t="s">
        <v>19</v>
      </c>
      <c r="D327" s="9" t="s">
        <v>39</v>
      </c>
      <c r="E327" s="9" t="s">
        <v>62</v>
      </c>
      <c r="F327" s="9">
        <v>1</v>
      </c>
      <c r="G327" s="9">
        <v>0</v>
      </c>
      <c r="H327" s="9">
        <v>0</v>
      </c>
      <c r="I327" s="9">
        <v>0</v>
      </c>
      <c r="J327" s="10">
        <v>45574</v>
      </c>
      <c r="K327" s="9" t="s">
        <v>44</v>
      </c>
      <c r="L327" s="9" t="s">
        <v>25</v>
      </c>
      <c r="M327" s="9">
        <v>1731.86</v>
      </c>
    </row>
    <row r="328" spans="1:13" x14ac:dyDescent="0.35">
      <c r="A328" s="9">
        <v>2409</v>
      </c>
      <c r="B328" s="9" t="s">
        <v>31</v>
      </c>
      <c r="C328" s="9" t="s">
        <v>22</v>
      </c>
      <c r="D328" s="9" t="s">
        <v>68</v>
      </c>
      <c r="E328" s="9" t="s">
        <v>59</v>
      </c>
      <c r="F328" s="9">
        <v>0</v>
      </c>
      <c r="G328" s="9">
        <v>0</v>
      </c>
      <c r="H328" s="9">
        <v>0</v>
      </c>
      <c r="I328" s="9">
        <v>0</v>
      </c>
      <c r="J328" s="10">
        <v>45676</v>
      </c>
      <c r="K328" s="9" t="s">
        <v>44</v>
      </c>
      <c r="L328" s="9" t="s">
        <v>25</v>
      </c>
      <c r="M328" s="9">
        <v>2993.72</v>
      </c>
    </row>
    <row r="329" spans="1:13" x14ac:dyDescent="0.35">
      <c r="A329" s="9">
        <v>2025</v>
      </c>
      <c r="B329" s="9" t="s">
        <v>31</v>
      </c>
      <c r="C329" s="9" t="s">
        <v>21</v>
      </c>
      <c r="D329" s="9" t="s">
        <v>36</v>
      </c>
      <c r="E329" s="9" t="s">
        <v>60</v>
      </c>
      <c r="F329" s="9">
        <v>1</v>
      </c>
      <c r="G329" s="9">
        <v>8903.17</v>
      </c>
      <c r="H329" s="9">
        <v>0</v>
      </c>
      <c r="I329" s="9">
        <v>0</v>
      </c>
      <c r="J329" s="10">
        <v>45676</v>
      </c>
      <c r="K329" s="9" t="s">
        <v>44</v>
      </c>
      <c r="L329" s="9" t="s">
        <v>27</v>
      </c>
      <c r="M329" s="9">
        <v>3808.81</v>
      </c>
    </row>
    <row r="330" spans="1:13" x14ac:dyDescent="0.35">
      <c r="A330" s="9">
        <v>2412</v>
      </c>
      <c r="B330" s="9" t="s">
        <v>34</v>
      </c>
      <c r="C330" s="9" t="s">
        <v>21</v>
      </c>
      <c r="D330" s="9" t="s">
        <v>36</v>
      </c>
      <c r="E330" s="9" t="s">
        <v>62</v>
      </c>
      <c r="F330" s="9">
        <v>1</v>
      </c>
      <c r="G330" s="9">
        <v>4920.3</v>
      </c>
      <c r="H330" s="9">
        <v>0.14000000000000001</v>
      </c>
      <c r="I330" s="9">
        <v>4231.46</v>
      </c>
      <c r="J330" s="10">
        <v>45676</v>
      </c>
      <c r="K330" s="9" t="s">
        <v>44</v>
      </c>
      <c r="L330" s="9" t="s">
        <v>26</v>
      </c>
      <c r="M330" s="9">
        <v>1135.72</v>
      </c>
    </row>
    <row r="331" spans="1:13" x14ac:dyDescent="0.35">
      <c r="A331" s="9">
        <v>2413</v>
      </c>
      <c r="B331" s="9" t="s">
        <v>31</v>
      </c>
      <c r="C331" s="9" t="s">
        <v>18</v>
      </c>
      <c r="D331" s="9" t="s">
        <v>33</v>
      </c>
      <c r="E331" s="9" t="s">
        <v>62</v>
      </c>
      <c r="F331" s="9">
        <v>3</v>
      </c>
      <c r="G331" s="9">
        <v>7005.67</v>
      </c>
      <c r="H331" s="9">
        <v>0.15</v>
      </c>
      <c r="I331" s="9">
        <v>17864.46</v>
      </c>
      <c r="J331" s="10">
        <v>45676</v>
      </c>
      <c r="K331" s="9" t="s">
        <v>44</v>
      </c>
      <c r="L331" s="9" t="s">
        <v>27</v>
      </c>
      <c r="M331" s="9">
        <v>2329.98</v>
      </c>
    </row>
    <row r="332" spans="1:13" x14ac:dyDescent="0.35">
      <c r="A332" s="9">
        <v>2414</v>
      </c>
      <c r="B332" s="9" t="s">
        <v>28</v>
      </c>
      <c r="C332" s="9" t="s">
        <v>22</v>
      </c>
      <c r="D332" s="9" t="s">
        <v>65</v>
      </c>
      <c r="E332" s="9" t="s">
        <v>62</v>
      </c>
      <c r="F332" s="9">
        <v>0</v>
      </c>
      <c r="G332" s="9">
        <v>8141.8</v>
      </c>
      <c r="H332" s="9">
        <v>0</v>
      </c>
      <c r="I332" s="9">
        <v>0</v>
      </c>
      <c r="J332" s="10">
        <v>45316</v>
      </c>
      <c r="K332" s="9" t="s">
        <v>45</v>
      </c>
      <c r="L332" s="9" t="s">
        <v>32</v>
      </c>
      <c r="M332" s="9">
        <v>-829.35</v>
      </c>
    </row>
    <row r="333" spans="1:13" x14ac:dyDescent="0.35">
      <c r="A333" s="9">
        <v>2415</v>
      </c>
      <c r="B333" s="9" t="s">
        <v>28</v>
      </c>
      <c r="C333" s="9" t="s">
        <v>20</v>
      </c>
      <c r="D333" s="9" t="s">
        <v>66</v>
      </c>
      <c r="E333" s="9" t="s">
        <v>59</v>
      </c>
      <c r="F333" s="9">
        <v>3</v>
      </c>
      <c r="G333" s="9">
        <v>6178.39</v>
      </c>
      <c r="H333" s="9">
        <v>0</v>
      </c>
      <c r="I333" s="9">
        <v>0</v>
      </c>
      <c r="J333" s="10">
        <v>45495</v>
      </c>
      <c r="K333" s="9" t="s">
        <v>44</v>
      </c>
      <c r="L333" s="9" t="s">
        <v>25</v>
      </c>
      <c r="M333" s="9">
        <v>73.75</v>
      </c>
    </row>
    <row r="334" spans="1:13" x14ac:dyDescent="0.35">
      <c r="A334" s="9">
        <v>2416</v>
      </c>
      <c r="B334" s="9" t="s">
        <v>34</v>
      </c>
      <c r="C334" s="9" t="s">
        <v>19</v>
      </c>
      <c r="D334" s="9" t="s">
        <v>63</v>
      </c>
      <c r="E334" s="9" t="s">
        <v>59</v>
      </c>
      <c r="F334" s="9">
        <v>3</v>
      </c>
      <c r="G334" s="9">
        <v>6245.23</v>
      </c>
      <c r="H334" s="9">
        <v>1.1499999999999999</v>
      </c>
      <c r="I334" s="9">
        <v>-2810.35</v>
      </c>
      <c r="J334" s="10">
        <v>45640</v>
      </c>
      <c r="K334" s="9" t="s">
        <v>44</v>
      </c>
      <c r="L334" s="9" t="s">
        <v>26</v>
      </c>
      <c r="M334" s="9">
        <v>3485.64</v>
      </c>
    </row>
    <row r="335" spans="1:13" x14ac:dyDescent="0.35">
      <c r="A335" s="9">
        <v>2418</v>
      </c>
      <c r="B335" s="9" t="s">
        <v>31</v>
      </c>
      <c r="C335" s="9" t="s">
        <v>19</v>
      </c>
      <c r="D335" s="9" t="s">
        <v>69</v>
      </c>
      <c r="E335" s="9" t="s">
        <v>62</v>
      </c>
      <c r="F335" s="9">
        <v>0</v>
      </c>
      <c r="G335" s="9">
        <v>9288.75</v>
      </c>
      <c r="H335" s="9">
        <v>0.54</v>
      </c>
      <c r="I335" s="9">
        <v>0</v>
      </c>
      <c r="J335" s="10">
        <v>45776</v>
      </c>
      <c r="K335" s="9" t="s">
        <v>44</v>
      </c>
      <c r="L335" s="9" t="s">
        <v>26</v>
      </c>
      <c r="M335" s="9">
        <v>3110.43</v>
      </c>
    </row>
    <row r="336" spans="1:13" x14ac:dyDescent="0.35">
      <c r="A336" s="9">
        <v>2419</v>
      </c>
      <c r="B336" s="9" t="s">
        <v>31</v>
      </c>
      <c r="C336" s="9" t="s">
        <v>21</v>
      </c>
      <c r="D336" s="9" t="s">
        <v>71</v>
      </c>
      <c r="E336" s="9" t="s">
        <v>60</v>
      </c>
      <c r="F336" s="9">
        <v>0</v>
      </c>
      <c r="G336" s="9">
        <v>8738.99</v>
      </c>
      <c r="H336" s="9">
        <v>0.47</v>
      </c>
      <c r="I336" s="9">
        <v>0</v>
      </c>
      <c r="J336" s="10">
        <v>45487</v>
      </c>
      <c r="K336" s="9" t="s">
        <v>45</v>
      </c>
      <c r="L336" s="9" t="s">
        <v>32</v>
      </c>
      <c r="M336" s="9">
        <v>2868.49</v>
      </c>
    </row>
    <row r="337" spans="1:13" x14ac:dyDescent="0.35">
      <c r="A337" s="9">
        <v>2420</v>
      </c>
      <c r="B337" s="9" t="s">
        <v>34</v>
      </c>
      <c r="C337" s="9" t="s">
        <v>22</v>
      </c>
      <c r="D337" s="9" t="s">
        <v>68</v>
      </c>
      <c r="E337" s="9" t="s">
        <v>59</v>
      </c>
      <c r="F337" s="9">
        <v>0</v>
      </c>
      <c r="G337" s="9">
        <v>0</v>
      </c>
      <c r="H337" s="9">
        <v>1.02</v>
      </c>
      <c r="I337" s="9">
        <v>0</v>
      </c>
      <c r="J337" s="10">
        <v>45393</v>
      </c>
      <c r="K337" s="9" t="s">
        <v>45</v>
      </c>
      <c r="L337" s="9" t="s">
        <v>32</v>
      </c>
      <c r="M337" s="9">
        <v>1664.6</v>
      </c>
    </row>
    <row r="338" spans="1:13" x14ac:dyDescent="0.35">
      <c r="A338" s="9">
        <v>2421</v>
      </c>
      <c r="B338" s="9" t="s">
        <v>28</v>
      </c>
      <c r="C338" s="9" t="s">
        <v>20</v>
      </c>
      <c r="D338" s="9" t="s">
        <v>61</v>
      </c>
      <c r="E338" s="9" t="s">
        <v>59</v>
      </c>
      <c r="F338" s="9">
        <v>2</v>
      </c>
      <c r="G338" s="9">
        <v>8136.39</v>
      </c>
      <c r="H338" s="9">
        <v>0</v>
      </c>
      <c r="I338" s="9">
        <v>0</v>
      </c>
      <c r="J338" s="10">
        <v>45726</v>
      </c>
      <c r="K338" s="9" t="s">
        <v>44</v>
      </c>
      <c r="L338" s="9" t="s">
        <v>35</v>
      </c>
      <c r="M338" s="9">
        <v>3398.15</v>
      </c>
    </row>
    <row r="339" spans="1:13" x14ac:dyDescent="0.35">
      <c r="A339" s="9">
        <v>2025</v>
      </c>
      <c r="B339" s="9" t="s">
        <v>34</v>
      </c>
      <c r="C339" s="9" t="s">
        <v>18</v>
      </c>
      <c r="D339" s="9" t="s">
        <v>33</v>
      </c>
      <c r="E339" s="9" t="s">
        <v>59</v>
      </c>
      <c r="F339" s="9">
        <v>0</v>
      </c>
      <c r="G339" s="9">
        <v>4554.97</v>
      </c>
      <c r="H339" s="9">
        <v>0</v>
      </c>
      <c r="I339" s="9">
        <v>0</v>
      </c>
      <c r="J339" s="10">
        <v>45721</v>
      </c>
      <c r="K339" s="9" t="s">
        <v>44</v>
      </c>
      <c r="L339" s="9" t="s">
        <v>32</v>
      </c>
      <c r="M339" s="9">
        <v>2802.1</v>
      </c>
    </row>
    <row r="340" spans="1:13" x14ac:dyDescent="0.35">
      <c r="A340" s="9">
        <v>2424</v>
      </c>
      <c r="B340" s="9" t="s">
        <v>28</v>
      </c>
      <c r="C340" s="9" t="s">
        <v>22</v>
      </c>
      <c r="D340" s="9" t="s">
        <v>65</v>
      </c>
      <c r="E340" s="9" t="s">
        <v>59</v>
      </c>
      <c r="F340" s="9">
        <v>0</v>
      </c>
      <c r="G340" s="9">
        <v>7634.65</v>
      </c>
      <c r="H340" s="9">
        <v>0</v>
      </c>
      <c r="I340" s="9">
        <v>0</v>
      </c>
      <c r="J340" s="10">
        <v>45721</v>
      </c>
      <c r="K340" s="9" t="s">
        <v>45</v>
      </c>
      <c r="L340" s="9" t="s">
        <v>27</v>
      </c>
      <c r="M340" s="9">
        <v>1749.8</v>
      </c>
    </row>
    <row r="341" spans="1:13" x14ac:dyDescent="0.35">
      <c r="A341" s="9">
        <v>2425</v>
      </c>
      <c r="B341" s="9" t="s">
        <v>34</v>
      </c>
      <c r="C341" s="9" t="s">
        <v>18</v>
      </c>
      <c r="D341" s="9" t="s">
        <v>38</v>
      </c>
      <c r="E341" s="9" t="s">
        <v>62</v>
      </c>
      <c r="F341" s="9">
        <v>0</v>
      </c>
      <c r="G341" s="9">
        <v>0</v>
      </c>
      <c r="H341" s="9">
        <v>0.38</v>
      </c>
      <c r="I341" s="9">
        <v>0</v>
      </c>
      <c r="J341" s="10">
        <v>45656</v>
      </c>
      <c r="K341" s="9" t="s">
        <v>45</v>
      </c>
      <c r="L341" s="9" t="s">
        <v>25</v>
      </c>
      <c r="M341" s="9">
        <v>3058.78</v>
      </c>
    </row>
    <row r="342" spans="1:13" x14ac:dyDescent="0.35">
      <c r="A342" s="9">
        <v>2426</v>
      </c>
      <c r="B342" s="9" t="s">
        <v>34</v>
      </c>
      <c r="C342" s="9" t="s">
        <v>21</v>
      </c>
      <c r="D342" s="9" t="s">
        <v>71</v>
      </c>
      <c r="E342" s="9" t="s">
        <v>59</v>
      </c>
      <c r="F342" s="9">
        <v>0</v>
      </c>
      <c r="G342" s="9">
        <v>2278.67</v>
      </c>
      <c r="H342" s="9">
        <v>0.56000000000000005</v>
      </c>
      <c r="I342" s="9">
        <v>0</v>
      </c>
      <c r="J342" s="10">
        <v>45721</v>
      </c>
      <c r="K342" s="9" t="s">
        <v>44</v>
      </c>
      <c r="L342" s="9" t="s">
        <v>35</v>
      </c>
      <c r="M342" s="9">
        <v>-72.52</v>
      </c>
    </row>
    <row r="343" spans="1:13" x14ac:dyDescent="0.35">
      <c r="A343" s="9">
        <v>2427</v>
      </c>
      <c r="B343" s="9" t="s">
        <v>31</v>
      </c>
      <c r="C343" s="9" t="s">
        <v>20</v>
      </c>
      <c r="D343" s="9" t="s">
        <v>70</v>
      </c>
      <c r="E343" s="9" t="s">
        <v>59</v>
      </c>
      <c r="F343" s="9">
        <v>0</v>
      </c>
      <c r="G343" s="9">
        <v>2904.11</v>
      </c>
      <c r="H343" s="9">
        <v>0</v>
      </c>
      <c r="I343" s="9">
        <v>0</v>
      </c>
      <c r="J343" s="10">
        <v>45821</v>
      </c>
      <c r="K343" s="9" t="s">
        <v>45</v>
      </c>
      <c r="L343" s="9" t="s">
        <v>29</v>
      </c>
      <c r="M343" s="9">
        <v>1683.98</v>
      </c>
    </row>
    <row r="344" spans="1:13" x14ac:dyDescent="0.35">
      <c r="A344" s="9">
        <v>2428</v>
      </c>
      <c r="B344" s="9" t="s">
        <v>34</v>
      </c>
      <c r="C344" s="9" t="s">
        <v>22</v>
      </c>
      <c r="D344" s="9" t="s">
        <v>67</v>
      </c>
      <c r="E344" s="9" t="s">
        <v>59</v>
      </c>
      <c r="F344" s="9">
        <v>2</v>
      </c>
      <c r="G344" s="9">
        <v>0</v>
      </c>
      <c r="H344" s="9">
        <v>0</v>
      </c>
      <c r="I344" s="9">
        <v>0</v>
      </c>
      <c r="J344" s="10">
        <v>45633</v>
      </c>
      <c r="K344" s="9" t="s">
        <v>44</v>
      </c>
      <c r="L344" s="9" t="s">
        <v>26</v>
      </c>
      <c r="M344" s="9">
        <v>427.51</v>
      </c>
    </row>
    <row r="345" spans="1:13" x14ac:dyDescent="0.35">
      <c r="A345" s="9">
        <v>2429</v>
      </c>
      <c r="B345" s="9" t="s">
        <v>34</v>
      </c>
      <c r="C345" s="9" t="s">
        <v>21</v>
      </c>
      <c r="D345" s="9" t="s">
        <v>71</v>
      </c>
      <c r="E345" s="9" t="s">
        <v>60</v>
      </c>
      <c r="F345" s="9">
        <v>0</v>
      </c>
      <c r="G345" s="9">
        <v>0</v>
      </c>
      <c r="H345" s="9">
        <v>0</v>
      </c>
      <c r="I345" s="9">
        <v>0</v>
      </c>
      <c r="J345" s="10">
        <v>45802</v>
      </c>
      <c r="K345" s="9" t="s">
        <v>45</v>
      </c>
      <c r="L345" s="9" t="s">
        <v>26</v>
      </c>
      <c r="M345" s="9">
        <v>550.48</v>
      </c>
    </row>
    <row r="346" spans="1:13" x14ac:dyDescent="0.35">
      <c r="A346" s="9">
        <v>2430</v>
      </c>
      <c r="B346" s="9" t="s">
        <v>28</v>
      </c>
      <c r="C346" s="9" t="s">
        <v>19</v>
      </c>
      <c r="D346" s="9" t="s">
        <v>42</v>
      </c>
      <c r="E346" s="9" t="s">
        <v>59</v>
      </c>
      <c r="F346" s="9">
        <v>3</v>
      </c>
      <c r="G346" s="9">
        <v>0</v>
      </c>
      <c r="H346" s="9">
        <v>0.1</v>
      </c>
      <c r="I346" s="9">
        <v>0</v>
      </c>
      <c r="J346" s="10">
        <v>45847</v>
      </c>
      <c r="K346" s="9" t="s">
        <v>45</v>
      </c>
      <c r="L346" s="9" t="s">
        <v>35</v>
      </c>
      <c r="M346" s="9">
        <v>215.3</v>
      </c>
    </row>
    <row r="347" spans="1:13" x14ac:dyDescent="0.35">
      <c r="A347" s="9">
        <v>2431</v>
      </c>
      <c r="B347" s="9" t="s">
        <v>28</v>
      </c>
      <c r="C347" s="9" t="s">
        <v>21</v>
      </c>
      <c r="D347" s="9" t="s">
        <v>36</v>
      </c>
      <c r="E347" s="9" t="s">
        <v>60</v>
      </c>
      <c r="F347" s="9">
        <v>1</v>
      </c>
      <c r="G347" s="9">
        <v>0</v>
      </c>
      <c r="H347" s="9">
        <v>0</v>
      </c>
      <c r="I347" s="9">
        <v>0</v>
      </c>
      <c r="J347" s="10">
        <v>45611</v>
      </c>
      <c r="K347" s="9" t="s">
        <v>45</v>
      </c>
      <c r="L347" s="9" t="s">
        <v>32</v>
      </c>
      <c r="M347" s="9">
        <v>1627.78</v>
      </c>
    </row>
    <row r="348" spans="1:13" x14ac:dyDescent="0.35">
      <c r="A348" s="9">
        <v>2432</v>
      </c>
      <c r="B348" s="9" t="s">
        <v>28</v>
      </c>
      <c r="C348" s="9" t="s">
        <v>22</v>
      </c>
      <c r="D348" s="9" t="s">
        <v>68</v>
      </c>
      <c r="E348" s="9" t="s">
        <v>60</v>
      </c>
      <c r="F348" s="9">
        <v>1</v>
      </c>
      <c r="G348" s="9">
        <v>3036.61</v>
      </c>
      <c r="H348" s="9">
        <v>0.86</v>
      </c>
      <c r="I348" s="9">
        <v>425.13</v>
      </c>
      <c r="J348" s="10">
        <v>45591</v>
      </c>
      <c r="K348" s="9" t="s">
        <v>45</v>
      </c>
      <c r="L348" s="9" t="s">
        <v>26</v>
      </c>
      <c r="M348" s="9">
        <v>3754.3</v>
      </c>
    </row>
    <row r="349" spans="1:13" x14ac:dyDescent="0.35">
      <c r="A349" s="9">
        <v>2434</v>
      </c>
      <c r="B349" s="9" t="s">
        <v>34</v>
      </c>
      <c r="C349" s="9" t="s">
        <v>18</v>
      </c>
      <c r="D349" s="9" t="s">
        <v>41</v>
      </c>
      <c r="E349" s="9" t="s">
        <v>59</v>
      </c>
      <c r="F349" s="9">
        <v>-1</v>
      </c>
      <c r="G349" s="9">
        <v>3019.25</v>
      </c>
      <c r="H349" s="9">
        <v>0.79</v>
      </c>
      <c r="I349" s="9">
        <v>-634.04</v>
      </c>
      <c r="J349" s="10">
        <v>45699</v>
      </c>
      <c r="K349" s="9" t="s">
        <v>45</v>
      </c>
      <c r="L349" s="9" t="s">
        <v>32</v>
      </c>
      <c r="M349" s="9">
        <v>387.15</v>
      </c>
    </row>
    <row r="350" spans="1:13" x14ac:dyDescent="0.35">
      <c r="A350" s="9">
        <v>2435</v>
      </c>
      <c r="B350" s="9" t="s">
        <v>34</v>
      </c>
      <c r="C350" s="9" t="s">
        <v>21</v>
      </c>
      <c r="D350" s="9" t="s">
        <v>64</v>
      </c>
      <c r="E350" s="9" t="s">
        <v>62</v>
      </c>
      <c r="F350" s="9">
        <v>0</v>
      </c>
      <c r="G350" s="9">
        <v>5853.58</v>
      </c>
      <c r="H350" s="9">
        <v>0</v>
      </c>
      <c r="I350" s="9">
        <v>0</v>
      </c>
      <c r="J350" s="10">
        <v>45383</v>
      </c>
      <c r="K350" s="9" t="s">
        <v>44</v>
      </c>
      <c r="L350" s="9" t="s">
        <v>27</v>
      </c>
      <c r="M350" s="9">
        <v>2378.8200000000002</v>
      </c>
    </row>
    <row r="351" spans="1:13" x14ac:dyDescent="0.35">
      <c r="A351" s="9">
        <v>2436</v>
      </c>
      <c r="B351" s="9" t="s">
        <v>34</v>
      </c>
      <c r="C351" s="9" t="s">
        <v>22</v>
      </c>
      <c r="D351" s="9" t="s">
        <v>30</v>
      </c>
      <c r="E351" s="9" t="s">
        <v>59</v>
      </c>
      <c r="F351" s="9">
        <v>0</v>
      </c>
      <c r="G351" s="9">
        <v>0</v>
      </c>
      <c r="H351" s="9">
        <v>0.81</v>
      </c>
      <c r="I351" s="9">
        <v>0</v>
      </c>
      <c r="J351" s="10">
        <v>45383</v>
      </c>
      <c r="K351" s="9" t="s">
        <v>45</v>
      </c>
      <c r="L351" s="9" t="s">
        <v>25</v>
      </c>
      <c r="M351" s="9">
        <v>2213.84</v>
      </c>
    </row>
    <row r="352" spans="1:13" x14ac:dyDescent="0.35">
      <c r="A352" s="9">
        <v>2437</v>
      </c>
      <c r="B352" s="9" t="s">
        <v>28</v>
      </c>
      <c r="C352" s="9" t="s">
        <v>20</v>
      </c>
      <c r="D352" s="9" t="s">
        <v>70</v>
      </c>
      <c r="E352" s="9" t="s">
        <v>62</v>
      </c>
      <c r="F352" s="9">
        <v>3</v>
      </c>
      <c r="G352" s="9">
        <v>0</v>
      </c>
      <c r="H352" s="9">
        <v>0.53</v>
      </c>
      <c r="I352" s="9">
        <v>0</v>
      </c>
      <c r="J352" s="10">
        <v>45504</v>
      </c>
      <c r="K352" s="9" t="s">
        <v>44</v>
      </c>
      <c r="L352" s="9" t="s">
        <v>32</v>
      </c>
      <c r="M352" s="9">
        <v>-281.42</v>
      </c>
    </row>
    <row r="353" spans="1:13" x14ac:dyDescent="0.35">
      <c r="A353" s="9">
        <v>2438</v>
      </c>
      <c r="B353" s="9" t="s">
        <v>31</v>
      </c>
      <c r="C353" s="9" t="s">
        <v>18</v>
      </c>
      <c r="D353" s="9" t="s">
        <v>41</v>
      </c>
      <c r="E353" s="9" t="s">
        <v>59</v>
      </c>
      <c r="F353" s="9">
        <v>0</v>
      </c>
      <c r="G353" s="9">
        <v>0</v>
      </c>
      <c r="H353" s="9">
        <v>0</v>
      </c>
      <c r="I353" s="9">
        <v>0</v>
      </c>
      <c r="J353" s="10">
        <v>45620</v>
      </c>
      <c r="K353" s="9" t="s">
        <v>44</v>
      </c>
      <c r="L353" s="9" t="s">
        <v>26</v>
      </c>
      <c r="M353" s="9">
        <v>2965.39</v>
      </c>
    </row>
    <row r="354" spans="1:13" x14ac:dyDescent="0.35">
      <c r="A354" s="9">
        <v>2439</v>
      </c>
      <c r="B354" s="9" t="s">
        <v>31</v>
      </c>
      <c r="C354" s="9" t="s">
        <v>21</v>
      </c>
      <c r="D354" s="9" t="s">
        <v>36</v>
      </c>
      <c r="E354" s="9" t="s">
        <v>60</v>
      </c>
      <c r="F354" s="9">
        <v>-1</v>
      </c>
      <c r="G354" s="9">
        <v>3239.59</v>
      </c>
      <c r="H354" s="9">
        <v>0</v>
      </c>
      <c r="I354" s="9">
        <v>0</v>
      </c>
      <c r="J354" s="10">
        <v>45719</v>
      </c>
      <c r="K354" s="9" t="s">
        <v>44</v>
      </c>
      <c r="L354" s="9" t="s">
        <v>25</v>
      </c>
      <c r="M354" s="9">
        <v>3467.1</v>
      </c>
    </row>
    <row r="355" spans="1:13" x14ac:dyDescent="0.35">
      <c r="A355" s="9">
        <v>2440</v>
      </c>
      <c r="B355" s="9" t="s">
        <v>28</v>
      </c>
      <c r="C355" s="9" t="s">
        <v>22</v>
      </c>
      <c r="D355" s="9" t="s">
        <v>67</v>
      </c>
      <c r="E355" s="9" t="s">
        <v>62</v>
      </c>
      <c r="F355" s="9">
        <v>-1</v>
      </c>
      <c r="G355" s="9">
        <v>7510.8</v>
      </c>
      <c r="H355" s="9">
        <v>0</v>
      </c>
      <c r="I355" s="9">
        <v>0</v>
      </c>
      <c r="J355" s="10">
        <v>45608</v>
      </c>
      <c r="K355" s="9" t="s">
        <v>44</v>
      </c>
      <c r="L355" s="9" t="s">
        <v>27</v>
      </c>
      <c r="M355" s="9">
        <v>2989.6</v>
      </c>
    </row>
    <row r="356" spans="1:13" x14ac:dyDescent="0.35">
      <c r="A356" s="9">
        <v>2441</v>
      </c>
      <c r="B356" s="9" t="s">
        <v>28</v>
      </c>
      <c r="C356" s="9" t="s">
        <v>18</v>
      </c>
      <c r="D356" s="9" t="s">
        <v>41</v>
      </c>
      <c r="E356" s="9" t="s">
        <v>62</v>
      </c>
      <c r="F356" s="9">
        <v>0</v>
      </c>
      <c r="G356" s="9">
        <v>0</v>
      </c>
      <c r="H356" s="9">
        <v>1.1100000000000001</v>
      </c>
      <c r="I356" s="9">
        <v>0</v>
      </c>
      <c r="J356" s="10">
        <v>45608</v>
      </c>
      <c r="K356" s="9" t="s">
        <v>44</v>
      </c>
      <c r="L356" s="9" t="s">
        <v>35</v>
      </c>
      <c r="M356" s="9">
        <v>-219.02</v>
      </c>
    </row>
    <row r="357" spans="1:13" x14ac:dyDescent="0.35">
      <c r="A357" s="9">
        <v>2442</v>
      </c>
      <c r="B357" s="9" t="s">
        <v>31</v>
      </c>
      <c r="C357" s="9" t="s">
        <v>19</v>
      </c>
      <c r="D357" s="9" t="s">
        <v>42</v>
      </c>
      <c r="E357" s="9" t="s">
        <v>60</v>
      </c>
      <c r="F357" s="9">
        <v>0</v>
      </c>
      <c r="G357" s="9">
        <v>0</v>
      </c>
      <c r="H357" s="9">
        <v>0.04</v>
      </c>
      <c r="I357" s="9">
        <v>0</v>
      </c>
      <c r="J357" s="10">
        <v>45683</v>
      </c>
      <c r="K357" s="9" t="s">
        <v>45</v>
      </c>
      <c r="L357" s="9" t="s">
        <v>26</v>
      </c>
      <c r="M357" s="9">
        <v>3083.26</v>
      </c>
    </row>
    <row r="358" spans="1:13" x14ac:dyDescent="0.35">
      <c r="A358" s="9">
        <v>2443</v>
      </c>
      <c r="B358" s="9" t="s">
        <v>28</v>
      </c>
      <c r="C358" s="9" t="s">
        <v>22</v>
      </c>
      <c r="D358" s="9" t="s">
        <v>30</v>
      </c>
      <c r="E358" s="9" t="s">
        <v>59</v>
      </c>
      <c r="F358" s="9">
        <v>1</v>
      </c>
      <c r="G358" s="9">
        <v>6271.66</v>
      </c>
      <c r="H358" s="9">
        <v>0</v>
      </c>
      <c r="I358" s="9">
        <v>0</v>
      </c>
      <c r="J358" s="10">
        <v>45731</v>
      </c>
      <c r="K358" s="9" t="s">
        <v>44</v>
      </c>
      <c r="L358" s="9" t="s">
        <v>26</v>
      </c>
      <c r="M358" s="9">
        <v>2449.4299999999998</v>
      </c>
    </row>
    <row r="359" spans="1:13" x14ac:dyDescent="0.35">
      <c r="A359" s="9">
        <v>2444</v>
      </c>
      <c r="B359" s="9" t="s">
        <v>28</v>
      </c>
      <c r="C359" s="9" t="s">
        <v>21</v>
      </c>
      <c r="D359" s="9" t="s">
        <v>36</v>
      </c>
      <c r="E359" s="9" t="s">
        <v>62</v>
      </c>
      <c r="F359" s="9">
        <v>3</v>
      </c>
      <c r="G359" s="9">
        <v>3676.04</v>
      </c>
      <c r="H359" s="9">
        <v>0</v>
      </c>
      <c r="I359" s="9">
        <v>0</v>
      </c>
      <c r="J359" s="10">
        <v>45802</v>
      </c>
      <c r="K359" s="9" t="s">
        <v>44</v>
      </c>
      <c r="L359" s="9" t="s">
        <v>35</v>
      </c>
      <c r="M359" s="9">
        <v>1621.74</v>
      </c>
    </row>
    <row r="360" spans="1:13" x14ac:dyDescent="0.35">
      <c r="A360" s="9">
        <v>2445</v>
      </c>
      <c r="B360" s="9" t="s">
        <v>28</v>
      </c>
      <c r="C360" s="9" t="s">
        <v>22</v>
      </c>
      <c r="D360" s="9" t="s">
        <v>65</v>
      </c>
      <c r="E360" s="9" t="s">
        <v>62</v>
      </c>
      <c r="F360" s="9">
        <v>0</v>
      </c>
      <c r="G360" s="9">
        <v>0</v>
      </c>
      <c r="H360" s="9">
        <v>0</v>
      </c>
      <c r="I360" s="9">
        <v>0</v>
      </c>
      <c r="J360" s="10">
        <v>45628</v>
      </c>
      <c r="K360" s="9" t="s">
        <v>45</v>
      </c>
      <c r="L360" s="9" t="s">
        <v>27</v>
      </c>
      <c r="M360" s="9">
        <v>141.93</v>
      </c>
    </row>
    <row r="361" spans="1:13" x14ac:dyDescent="0.35">
      <c r="A361" s="9">
        <v>2447</v>
      </c>
      <c r="B361" s="9" t="s">
        <v>34</v>
      </c>
      <c r="C361" s="9" t="s">
        <v>21</v>
      </c>
      <c r="D361" s="9" t="s">
        <v>64</v>
      </c>
      <c r="E361" s="9" t="s">
        <v>62</v>
      </c>
      <c r="F361" s="9">
        <v>0</v>
      </c>
      <c r="G361" s="9">
        <v>0</v>
      </c>
      <c r="H361" s="9">
        <v>0</v>
      </c>
      <c r="I361" s="9">
        <v>0</v>
      </c>
      <c r="J361" s="10">
        <v>45416</v>
      </c>
      <c r="K361" s="9" t="s">
        <v>45</v>
      </c>
      <c r="L361" s="9" t="s">
        <v>27</v>
      </c>
      <c r="M361" s="9">
        <v>1291.8</v>
      </c>
    </row>
    <row r="362" spans="1:13" x14ac:dyDescent="0.35">
      <c r="A362" s="9">
        <v>2003</v>
      </c>
      <c r="B362" s="9" t="s">
        <v>28</v>
      </c>
      <c r="C362" s="9" t="s">
        <v>21</v>
      </c>
      <c r="D362" s="9" t="s">
        <v>64</v>
      </c>
      <c r="E362" s="9" t="s">
        <v>62</v>
      </c>
      <c r="F362" s="9">
        <v>2</v>
      </c>
      <c r="G362" s="9">
        <v>8516.4500000000007</v>
      </c>
      <c r="H362" s="9">
        <v>0.22</v>
      </c>
      <c r="I362" s="9">
        <v>13285.66</v>
      </c>
      <c r="J362" s="10">
        <v>45199</v>
      </c>
      <c r="K362" s="9" t="s">
        <v>45</v>
      </c>
      <c r="L362" s="9" t="s">
        <v>27</v>
      </c>
      <c r="M362" s="9">
        <v>1764.52</v>
      </c>
    </row>
    <row r="363" spans="1:13" x14ac:dyDescent="0.35">
      <c r="A363" s="9">
        <v>2450</v>
      </c>
      <c r="B363" s="9" t="s">
        <v>31</v>
      </c>
      <c r="C363" s="9" t="s">
        <v>22</v>
      </c>
      <c r="D363" s="9" t="s">
        <v>65</v>
      </c>
      <c r="E363" s="9" t="s">
        <v>59</v>
      </c>
      <c r="F363" s="9">
        <v>0</v>
      </c>
      <c r="G363" s="9">
        <v>7520.63</v>
      </c>
      <c r="H363" s="9">
        <v>0</v>
      </c>
      <c r="I363" s="9">
        <v>0</v>
      </c>
      <c r="J363" s="10">
        <v>45857</v>
      </c>
      <c r="K363" s="9" t="s">
        <v>45</v>
      </c>
      <c r="L363" s="9" t="s">
        <v>27</v>
      </c>
      <c r="M363" s="9">
        <v>1786.43</v>
      </c>
    </row>
    <row r="364" spans="1:13" x14ac:dyDescent="0.35">
      <c r="A364" s="9">
        <v>2452</v>
      </c>
      <c r="B364" s="9" t="s">
        <v>31</v>
      </c>
      <c r="C364" s="9" t="s">
        <v>21</v>
      </c>
      <c r="D364" s="9" t="s">
        <v>71</v>
      </c>
      <c r="E364" s="9" t="s">
        <v>62</v>
      </c>
      <c r="F364" s="9">
        <v>0</v>
      </c>
      <c r="G364" s="9">
        <v>8780.66</v>
      </c>
      <c r="H364" s="9">
        <v>0</v>
      </c>
      <c r="I364" s="9">
        <v>0</v>
      </c>
      <c r="J364" s="10">
        <v>45857</v>
      </c>
      <c r="K364" s="9" t="s">
        <v>45</v>
      </c>
      <c r="L364" s="9" t="s">
        <v>25</v>
      </c>
      <c r="M364" s="9">
        <v>176.96</v>
      </c>
    </row>
    <row r="365" spans="1:13" x14ac:dyDescent="0.35">
      <c r="A365" s="9">
        <v>2453</v>
      </c>
      <c r="B365" s="9" t="s">
        <v>28</v>
      </c>
      <c r="C365" s="9" t="s">
        <v>20</v>
      </c>
      <c r="D365" s="9" t="s">
        <v>61</v>
      </c>
      <c r="E365" s="9" t="s">
        <v>59</v>
      </c>
      <c r="F365" s="9">
        <v>0</v>
      </c>
      <c r="G365" s="9">
        <v>9344.52</v>
      </c>
      <c r="H365" s="9">
        <v>0</v>
      </c>
      <c r="I365" s="9">
        <v>0</v>
      </c>
      <c r="J365" s="10">
        <v>45857</v>
      </c>
      <c r="K365" s="9" t="s">
        <v>45</v>
      </c>
      <c r="L365" s="9" t="s">
        <v>35</v>
      </c>
      <c r="M365" s="9">
        <v>387.79</v>
      </c>
    </row>
    <row r="366" spans="1:13" x14ac:dyDescent="0.35">
      <c r="A366" s="9">
        <v>2454</v>
      </c>
      <c r="B366" s="9" t="s">
        <v>28</v>
      </c>
      <c r="C366" s="9" t="s">
        <v>19</v>
      </c>
      <c r="D366" s="9" t="s">
        <v>42</v>
      </c>
      <c r="E366" s="9" t="s">
        <v>62</v>
      </c>
      <c r="F366" s="9">
        <v>0</v>
      </c>
      <c r="G366" s="9">
        <v>0</v>
      </c>
      <c r="H366" s="9">
        <v>0.19</v>
      </c>
      <c r="I366" s="9">
        <v>0</v>
      </c>
      <c r="J366" s="10">
        <v>45713</v>
      </c>
      <c r="K366" s="9" t="s">
        <v>45</v>
      </c>
      <c r="L366" s="9" t="s">
        <v>25</v>
      </c>
      <c r="M366" s="9">
        <v>3100.44</v>
      </c>
    </row>
    <row r="367" spans="1:13" x14ac:dyDescent="0.35">
      <c r="A367" s="9">
        <v>2456</v>
      </c>
      <c r="B367" s="9" t="s">
        <v>28</v>
      </c>
      <c r="C367" s="9" t="s">
        <v>19</v>
      </c>
      <c r="D367" s="9" t="s">
        <v>39</v>
      </c>
      <c r="E367" s="9" t="s">
        <v>59</v>
      </c>
      <c r="F367" s="9">
        <v>0</v>
      </c>
      <c r="G367" s="9">
        <v>4254.68</v>
      </c>
      <c r="H367" s="9">
        <v>0</v>
      </c>
      <c r="I367" s="9">
        <v>0</v>
      </c>
      <c r="J367" s="10">
        <v>45731</v>
      </c>
      <c r="K367" s="9" t="s">
        <v>44</v>
      </c>
      <c r="L367" s="9" t="s">
        <v>27</v>
      </c>
      <c r="M367" s="9">
        <v>3498.64</v>
      </c>
    </row>
    <row r="368" spans="1:13" x14ac:dyDescent="0.35">
      <c r="A368" s="9">
        <v>2459</v>
      </c>
      <c r="B368" s="9" t="s">
        <v>34</v>
      </c>
      <c r="C368" s="9" t="s">
        <v>22</v>
      </c>
      <c r="D368" s="9" t="s">
        <v>65</v>
      </c>
      <c r="E368" s="9" t="s">
        <v>59</v>
      </c>
      <c r="F368" s="9">
        <v>0</v>
      </c>
      <c r="G368" s="9">
        <v>3572.52</v>
      </c>
      <c r="H368" s="9">
        <v>0</v>
      </c>
      <c r="I368" s="9">
        <v>0</v>
      </c>
      <c r="J368" s="10">
        <v>45402</v>
      </c>
      <c r="K368" s="9" t="s">
        <v>44</v>
      </c>
      <c r="L368" s="9" t="s">
        <v>27</v>
      </c>
      <c r="M368" s="9">
        <v>-404.04</v>
      </c>
    </row>
    <row r="369" spans="1:13" x14ac:dyDescent="0.35">
      <c r="A369" s="9">
        <v>2460</v>
      </c>
      <c r="B369" s="9" t="s">
        <v>28</v>
      </c>
      <c r="C369" s="9" t="s">
        <v>22</v>
      </c>
      <c r="D369" s="9" t="s">
        <v>68</v>
      </c>
      <c r="E369" s="9" t="s">
        <v>62</v>
      </c>
      <c r="F369" s="9">
        <v>2</v>
      </c>
      <c r="G369" s="9">
        <v>5482.96</v>
      </c>
      <c r="H369" s="9">
        <v>0.35</v>
      </c>
      <c r="I369" s="9">
        <v>7127.85</v>
      </c>
      <c r="J369" s="10">
        <v>45600</v>
      </c>
      <c r="K369" s="9" t="s">
        <v>45</v>
      </c>
      <c r="L369" s="9" t="s">
        <v>27</v>
      </c>
      <c r="M369" s="9">
        <v>-823.8</v>
      </c>
    </row>
    <row r="370" spans="1:13" x14ac:dyDescent="0.35">
      <c r="A370" s="9">
        <v>2461</v>
      </c>
      <c r="B370" s="9" t="s">
        <v>28</v>
      </c>
      <c r="C370" s="9" t="s">
        <v>22</v>
      </c>
      <c r="D370" s="9" t="s">
        <v>30</v>
      </c>
      <c r="E370" s="9" t="s">
        <v>60</v>
      </c>
      <c r="F370" s="9">
        <v>0</v>
      </c>
      <c r="G370" s="9">
        <v>3939.92</v>
      </c>
      <c r="H370" s="9">
        <v>0.63</v>
      </c>
      <c r="I370" s="9">
        <v>0</v>
      </c>
      <c r="J370" s="10">
        <v>45600</v>
      </c>
      <c r="K370" s="9" t="s">
        <v>45</v>
      </c>
      <c r="L370" s="9" t="s">
        <v>35</v>
      </c>
      <c r="M370" s="9">
        <v>3146.03</v>
      </c>
    </row>
    <row r="371" spans="1:13" x14ac:dyDescent="0.35">
      <c r="A371" s="9">
        <v>2462</v>
      </c>
      <c r="B371" s="9" t="s">
        <v>31</v>
      </c>
      <c r="C371" s="9" t="s">
        <v>22</v>
      </c>
      <c r="D371" s="9" t="s">
        <v>68</v>
      </c>
      <c r="E371" s="9" t="s">
        <v>59</v>
      </c>
      <c r="F371" s="9">
        <v>0</v>
      </c>
      <c r="G371" s="9">
        <v>4468.7</v>
      </c>
      <c r="H371" s="9">
        <v>0.49</v>
      </c>
      <c r="I371" s="9">
        <v>0</v>
      </c>
      <c r="J371" s="10">
        <v>45680</v>
      </c>
      <c r="K371" s="9" t="s">
        <v>44</v>
      </c>
      <c r="L371" s="9" t="s">
        <v>35</v>
      </c>
      <c r="M371" s="9">
        <v>2143.6</v>
      </c>
    </row>
    <row r="372" spans="1:13" x14ac:dyDescent="0.35">
      <c r="A372" s="9">
        <v>2037</v>
      </c>
      <c r="B372" s="9" t="s">
        <v>28</v>
      </c>
      <c r="C372" s="9" t="s">
        <v>20</v>
      </c>
      <c r="D372" s="9" t="s">
        <v>61</v>
      </c>
      <c r="E372" s="9" t="s">
        <v>62</v>
      </c>
      <c r="F372" s="9">
        <v>0</v>
      </c>
      <c r="G372" s="9">
        <v>0</v>
      </c>
      <c r="H372" s="9">
        <v>0</v>
      </c>
      <c r="I372" s="9">
        <v>0</v>
      </c>
      <c r="J372" s="10">
        <v>45569</v>
      </c>
      <c r="K372" s="9" t="s">
        <v>45</v>
      </c>
      <c r="L372" s="9" t="s">
        <v>29</v>
      </c>
      <c r="M372" s="9">
        <v>438.39</v>
      </c>
    </row>
    <row r="373" spans="1:13" x14ac:dyDescent="0.35">
      <c r="A373" s="9">
        <v>2464</v>
      </c>
      <c r="B373" s="9" t="s">
        <v>28</v>
      </c>
      <c r="C373" s="9" t="s">
        <v>21</v>
      </c>
      <c r="D373" s="9" t="s">
        <v>36</v>
      </c>
      <c r="E373" s="9" t="s">
        <v>62</v>
      </c>
      <c r="F373" s="9">
        <v>3</v>
      </c>
      <c r="G373" s="9">
        <v>2699.59</v>
      </c>
      <c r="H373" s="9">
        <v>0</v>
      </c>
      <c r="I373" s="9">
        <v>0</v>
      </c>
      <c r="J373" s="10">
        <v>45473</v>
      </c>
      <c r="K373" s="9" t="s">
        <v>44</v>
      </c>
      <c r="L373" s="9" t="s">
        <v>32</v>
      </c>
      <c r="M373" s="9">
        <v>3507.56</v>
      </c>
    </row>
    <row r="374" spans="1:13" x14ac:dyDescent="0.35">
      <c r="A374" s="9">
        <v>2465</v>
      </c>
      <c r="B374" s="9" t="s">
        <v>34</v>
      </c>
      <c r="C374" s="9" t="s">
        <v>21</v>
      </c>
      <c r="D374" s="9" t="s">
        <v>36</v>
      </c>
      <c r="E374" s="9" t="s">
        <v>59</v>
      </c>
      <c r="F374" s="9">
        <v>1</v>
      </c>
      <c r="G374" s="9">
        <v>7814.02</v>
      </c>
      <c r="H374" s="9">
        <v>0</v>
      </c>
      <c r="I374" s="9">
        <v>0</v>
      </c>
      <c r="J374" s="10">
        <v>45738</v>
      </c>
      <c r="K374" s="9" t="s">
        <v>44</v>
      </c>
      <c r="L374" s="9" t="s">
        <v>35</v>
      </c>
      <c r="M374" s="9">
        <v>684.07</v>
      </c>
    </row>
    <row r="375" spans="1:13" x14ac:dyDescent="0.35">
      <c r="A375" s="9">
        <v>2467</v>
      </c>
      <c r="B375" s="9" t="s">
        <v>34</v>
      </c>
      <c r="C375" s="9" t="s">
        <v>18</v>
      </c>
      <c r="D375" s="9" t="s">
        <v>37</v>
      </c>
      <c r="E375" s="9" t="s">
        <v>59</v>
      </c>
      <c r="F375" s="9">
        <v>1</v>
      </c>
      <c r="G375" s="9">
        <v>8484.82</v>
      </c>
      <c r="H375" s="9">
        <v>0</v>
      </c>
      <c r="I375" s="9">
        <v>0</v>
      </c>
      <c r="J375" s="10">
        <v>45235</v>
      </c>
      <c r="K375" s="9" t="s">
        <v>45</v>
      </c>
      <c r="L375" s="9" t="s">
        <v>26</v>
      </c>
      <c r="M375" s="9">
        <v>1899.54</v>
      </c>
    </row>
    <row r="376" spans="1:13" x14ac:dyDescent="0.35">
      <c r="A376" s="9">
        <v>2468</v>
      </c>
      <c r="B376" s="9" t="s">
        <v>28</v>
      </c>
      <c r="C376" s="9" t="s">
        <v>19</v>
      </c>
      <c r="D376" s="9" t="s">
        <v>69</v>
      </c>
      <c r="E376" s="9" t="s">
        <v>59</v>
      </c>
      <c r="F376" s="9">
        <v>0</v>
      </c>
      <c r="G376" s="9">
        <v>6012.23</v>
      </c>
      <c r="H376" s="9">
        <v>0.62</v>
      </c>
      <c r="I376" s="9">
        <v>0</v>
      </c>
      <c r="J376" s="10">
        <v>45591</v>
      </c>
      <c r="K376" s="9" t="s">
        <v>44</v>
      </c>
      <c r="L376" s="9" t="s">
        <v>25</v>
      </c>
      <c r="M376" s="9">
        <v>-1113.25</v>
      </c>
    </row>
    <row r="377" spans="1:13" x14ac:dyDescent="0.35">
      <c r="A377" s="9">
        <v>2469</v>
      </c>
      <c r="B377" s="9" t="s">
        <v>31</v>
      </c>
      <c r="C377" s="9" t="s">
        <v>18</v>
      </c>
      <c r="D377" s="9" t="s">
        <v>41</v>
      </c>
      <c r="E377" s="9" t="s">
        <v>62</v>
      </c>
      <c r="F377" s="9">
        <v>4</v>
      </c>
      <c r="G377" s="9">
        <v>0</v>
      </c>
      <c r="H377" s="9">
        <v>1.08</v>
      </c>
      <c r="I377" s="9">
        <v>0</v>
      </c>
      <c r="J377" s="10">
        <v>45798</v>
      </c>
      <c r="K377" s="9" t="s">
        <v>44</v>
      </c>
      <c r="L377" s="9" t="s">
        <v>26</v>
      </c>
      <c r="M377" s="9">
        <v>-279.26</v>
      </c>
    </row>
    <row r="378" spans="1:13" x14ac:dyDescent="0.35">
      <c r="A378" s="9">
        <v>2470</v>
      </c>
      <c r="B378" s="9" t="s">
        <v>31</v>
      </c>
      <c r="C378" s="9" t="s">
        <v>19</v>
      </c>
      <c r="D378" s="9" t="s">
        <v>63</v>
      </c>
      <c r="E378" s="9" t="s">
        <v>60</v>
      </c>
      <c r="F378" s="9">
        <v>0</v>
      </c>
      <c r="G378" s="9">
        <v>0</v>
      </c>
      <c r="H378" s="9">
        <v>0</v>
      </c>
      <c r="I378" s="9">
        <v>0</v>
      </c>
      <c r="J378" s="10">
        <v>45603</v>
      </c>
      <c r="K378" s="9" t="s">
        <v>45</v>
      </c>
      <c r="L378" s="9" t="s">
        <v>29</v>
      </c>
      <c r="M378" s="9">
        <v>1099.17</v>
      </c>
    </row>
    <row r="379" spans="1:13" x14ac:dyDescent="0.35">
      <c r="A379" s="9">
        <v>2471</v>
      </c>
      <c r="B379" s="9" t="s">
        <v>31</v>
      </c>
      <c r="C379" s="9" t="s">
        <v>22</v>
      </c>
      <c r="D379" s="9" t="s">
        <v>67</v>
      </c>
      <c r="E379" s="9" t="s">
        <v>60</v>
      </c>
      <c r="F379" s="9">
        <v>0</v>
      </c>
      <c r="G379" s="9">
        <v>4527.6400000000003</v>
      </c>
      <c r="H379" s="9">
        <v>0</v>
      </c>
      <c r="I379" s="9">
        <v>0</v>
      </c>
      <c r="J379" s="10">
        <v>45603</v>
      </c>
      <c r="K379" s="9" t="s">
        <v>44</v>
      </c>
      <c r="L379" s="9" t="s">
        <v>35</v>
      </c>
      <c r="M379" s="9">
        <v>464.96</v>
      </c>
    </row>
    <row r="380" spans="1:13" x14ac:dyDescent="0.35">
      <c r="A380" s="9">
        <v>2472</v>
      </c>
      <c r="B380" s="9" t="s">
        <v>31</v>
      </c>
      <c r="C380" s="9" t="s">
        <v>22</v>
      </c>
      <c r="D380" s="9" t="s">
        <v>30</v>
      </c>
      <c r="E380" s="9" t="s">
        <v>60</v>
      </c>
      <c r="F380" s="9">
        <v>0</v>
      </c>
      <c r="G380" s="9">
        <v>2255.65</v>
      </c>
      <c r="H380" s="9">
        <v>0</v>
      </c>
      <c r="I380" s="9">
        <v>0</v>
      </c>
      <c r="J380" s="10">
        <v>45752</v>
      </c>
      <c r="K380" s="9" t="s">
        <v>45</v>
      </c>
      <c r="L380" s="9" t="s">
        <v>26</v>
      </c>
      <c r="M380" s="9">
        <v>560.70000000000005</v>
      </c>
    </row>
    <row r="381" spans="1:13" x14ac:dyDescent="0.35">
      <c r="A381" s="9">
        <v>2474</v>
      </c>
      <c r="B381" s="9" t="s">
        <v>34</v>
      </c>
      <c r="C381" s="9" t="s">
        <v>18</v>
      </c>
      <c r="D381" s="9" t="s">
        <v>41</v>
      </c>
      <c r="E381" s="9" t="s">
        <v>59</v>
      </c>
      <c r="F381" s="9">
        <v>0</v>
      </c>
      <c r="G381" s="9">
        <v>0</v>
      </c>
      <c r="H381" s="9">
        <v>0</v>
      </c>
      <c r="I381" s="9">
        <v>0</v>
      </c>
      <c r="J381" s="10">
        <v>45647</v>
      </c>
      <c r="K381" s="9" t="s">
        <v>44</v>
      </c>
      <c r="L381" s="9" t="s">
        <v>29</v>
      </c>
      <c r="M381" s="9">
        <v>115.11</v>
      </c>
    </row>
    <row r="382" spans="1:13" x14ac:dyDescent="0.35">
      <c r="A382" s="9">
        <v>2475</v>
      </c>
      <c r="B382" s="9" t="s">
        <v>31</v>
      </c>
      <c r="C382" s="9" t="s">
        <v>20</v>
      </c>
      <c r="D382" s="9" t="s">
        <v>66</v>
      </c>
      <c r="E382" s="9" t="s">
        <v>60</v>
      </c>
      <c r="F382" s="9">
        <v>2</v>
      </c>
      <c r="G382" s="9">
        <v>0</v>
      </c>
      <c r="H382" s="9">
        <v>1.06</v>
      </c>
      <c r="I382" s="9">
        <v>0</v>
      </c>
      <c r="J382" s="10">
        <v>45664</v>
      </c>
      <c r="K382" s="9" t="s">
        <v>45</v>
      </c>
      <c r="L382" s="9" t="s">
        <v>25</v>
      </c>
      <c r="M382" s="9">
        <v>3885.97</v>
      </c>
    </row>
    <row r="383" spans="1:13" x14ac:dyDescent="0.35">
      <c r="A383" s="9">
        <v>2476</v>
      </c>
      <c r="B383" s="9" t="s">
        <v>31</v>
      </c>
      <c r="C383" s="9" t="s">
        <v>19</v>
      </c>
      <c r="D383" s="9" t="s">
        <v>39</v>
      </c>
      <c r="E383" s="9" t="s">
        <v>59</v>
      </c>
      <c r="F383" s="9">
        <v>0</v>
      </c>
      <c r="G383" s="9">
        <v>0</v>
      </c>
      <c r="H383" s="9">
        <v>1.0900000000000001</v>
      </c>
      <c r="I383" s="9">
        <v>0</v>
      </c>
      <c r="J383" s="10">
        <v>45664</v>
      </c>
      <c r="K383" s="9" t="s">
        <v>44</v>
      </c>
      <c r="L383" s="9" t="s">
        <v>35</v>
      </c>
      <c r="M383" s="9">
        <v>-627.07000000000005</v>
      </c>
    </row>
    <row r="384" spans="1:13" x14ac:dyDescent="0.35">
      <c r="A384" s="9">
        <v>2477</v>
      </c>
      <c r="B384" s="9" t="s">
        <v>28</v>
      </c>
      <c r="C384" s="9" t="s">
        <v>18</v>
      </c>
      <c r="D384" s="9" t="s">
        <v>38</v>
      </c>
      <c r="E384" s="9" t="s">
        <v>59</v>
      </c>
      <c r="F384" s="9">
        <v>0</v>
      </c>
      <c r="G384" s="9">
        <v>5923.67</v>
      </c>
      <c r="H384" s="9">
        <v>0</v>
      </c>
      <c r="I384" s="9">
        <v>0</v>
      </c>
      <c r="J384" s="10">
        <v>45565</v>
      </c>
      <c r="K384" s="9" t="s">
        <v>45</v>
      </c>
      <c r="L384" s="9" t="s">
        <v>32</v>
      </c>
      <c r="M384" s="9">
        <v>-177.68</v>
      </c>
    </row>
    <row r="385" spans="1:13" x14ac:dyDescent="0.35">
      <c r="A385" s="9">
        <v>2480</v>
      </c>
      <c r="B385" s="9" t="s">
        <v>31</v>
      </c>
      <c r="C385" s="9" t="s">
        <v>22</v>
      </c>
      <c r="D385" s="9" t="s">
        <v>67</v>
      </c>
      <c r="E385" s="9" t="s">
        <v>59</v>
      </c>
      <c r="F385" s="9">
        <v>0</v>
      </c>
      <c r="G385" s="9">
        <v>0</v>
      </c>
      <c r="H385" s="9">
        <v>0</v>
      </c>
      <c r="I385" s="9">
        <v>0</v>
      </c>
      <c r="J385" s="10">
        <v>45524</v>
      </c>
      <c r="K385" s="9" t="s">
        <v>44</v>
      </c>
      <c r="L385" s="9" t="s">
        <v>35</v>
      </c>
      <c r="M385" s="9">
        <v>25.18</v>
      </c>
    </row>
    <row r="386" spans="1:13" x14ac:dyDescent="0.35">
      <c r="A386" s="9">
        <v>2481</v>
      </c>
      <c r="B386" s="9" t="s">
        <v>28</v>
      </c>
      <c r="C386" s="9" t="s">
        <v>19</v>
      </c>
      <c r="D386" s="9" t="s">
        <v>39</v>
      </c>
      <c r="E386" s="9" t="s">
        <v>59</v>
      </c>
      <c r="F386" s="9">
        <v>1</v>
      </c>
      <c r="G386" s="9">
        <v>9145.3700000000008</v>
      </c>
      <c r="H386" s="9">
        <v>7.0000000000000007E-2</v>
      </c>
      <c r="I386" s="9">
        <v>8505.19</v>
      </c>
      <c r="J386" s="10">
        <v>45764</v>
      </c>
      <c r="K386" s="9" t="s">
        <v>45</v>
      </c>
      <c r="L386" s="9" t="s">
        <v>35</v>
      </c>
      <c r="M386" s="9">
        <v>1755.19</v>
      </c>
    </row>
    <row r="387" spans="1:13" x14ac:dyDescent="0.35">
      <c r="A387" s="9">
        <v>2482</v>
      </c>
      <c r="B387" s="9" t="s">
        <v>31</v>
      </c>
      <c r="C387" s="9" t="s">
        <v>21</v>
      </c>
      <c r="D387" s="9" t="s">
        <v>40</v>
      </c>
      <c r="E387" s="9" t="s">
        <v>62</v>
      </c>
      <c r="F387" s="9">
        <v>0</v>
      </c>
      <c r="G387" s="9">
        <v>0</v>
      </c>
      <c r="H387" s="9">
        <v>0</v>
      </c>
      <c r="I387" s="9">
        <v>0</v>
      </c>
      <c r="J387" s="10">
        <v>45549</v>
      </c>
      <c r="K387" s="9" t="s">
        <v>45</v>
      </c>
      <c r="L387" s="9" t="s">
        <v>26</v>
      </c>
      <c r="M387" s="9">
        <v>2642.8</v>
      </c>
    </row>
    <row r="388" spans="1:13" x14ac:dyDescent="0.35">
      <c r="A388" s="9">
        <v>2484</v>
      </c>
      <c r="B388" s="9" t="s">
        <v>31</v>
      </c>
      <c r="C388" s="9" t="s">
        <v>19</v>
      </c>
      <c r="D388" s="9" t="s">
        <v>63</v>
      </c>
      <c r="E388" s="9" t="s">
        <v>59</v>
      </c>
      <c r="F388" s="9">
        <v>0</v>
      </c>
      <c r="G388" s="9">
        <v>5308.26</v>
      </c>
      <c r="H388" s="9">
        <v>1.03</v>
      </c>
      <c r="I388" s="9">
        <v>0</v>
      </c>
      <c r="J388" s="10">
        <v>45787</v>
      </c>
      <c r="K388" s="9" t="s">
        <v>44</v>
      </c>
      <c r="L388" s="9" t="s">
        <v>25</v>
      </c>
      <c r="M388" s="9">
        <v>1189.82</v>
      </c>
    </row>
    <row r="389" spans="1:13" x14ac:dyDescent="0.35">
      <c r="A389" s="9">
        <v>2485</v>
      </c>
      <c r="B389" s="9" t="s">
        <v>34</v>
      </c>
      <c r="C389" s="9" t="s">
        <v>20</v>
      </c>
      <c r="D389" s="9" t="s">
        <v>43</v>
      </c>
      <c r="E389" s="9" t="s">
        <v>59</v>
      </c>
      <c r="F389" s="9">
        <v>0</v>
      </c>
      <c r="G389" s="9">
        <v>9307.2000000000007</v>
      </c>
      <c r="H389" s="9">
        <v>0</v>
      </c>
      <c r="I389" s="9">
        <v>0</v>
      </c>
      <c r="J389" s="10">
        <v>45643</v>
      </c>
      <c r="K389" s="9" t="s">
        <v>45</v>
      </c>
      <c r="L389" s="9" t="s">
        <v>32</v>
      </c>
      <c r="M389" s="9">
        <v>16.059999999999999</v>
      </c>
    </row>
    <row r="390" spans="1:13" x14ac:dyDescent="0.35">
      <c r="A390" s="9">
        <v>2486</v>
      </c>
      <c r="B390" s="9" t="s">
        <v>34</v>
      </c>
      <c r="C390" s="9" t="s">
        <v>19</v>
      </c>
      <c r="D390" s="9" t="s">
        <v>63</v>
      </c>
      <c r="E390" s="9" t="s">
        <v>59</v>
      </c>
      <c r="F390" s="9">
        <v>0</v>
      </c>
      <c r="G390" s="9">
        <v>0</v>
      </c>
      <c r="H390" s="9">
        <v>0.33</v>
      </c>
      <c r="I390" s="9">
        <v>0</v>
      </c>
      <c r="J390" s="10">
        <v>45643</v>
      </c>
      <c r="K390" s="9" t="s">
        <v>44</v>
      </c>
      <c r="L390" s="9" t="s">
        <v>32</v>
      </c>
      <c r="M390" s="9">
        <v>1332.57</v>
      </c>
    </row>
    <row r="391" spans="1:13" x14ac:dyDescent="0.35">
      <c r="A391" s="9">
        <v>2487</v>
      </c>
      <c r="B391" s="9" t="s">
        <v>31</v>
      </c>
      <c r="C391" s="9" t="s">
        <v>20</v>
      </c>
      <c r="D391" s="9" t="s">
        <v>43</v>
      </c>
      <c r="E391" s="9" t="s">
        <v>60</v>
      </c>
      <c r="F391" s="9">
        <v>3</v>
      </c>
      <c r="G391" s="9">
        <v>5881.13</v>
      </c>
      <c r="H391" s="9">
        <v>0.8</v>
      </c>
      <c r="I391" s="9">
        <v>3528.68</v>
      </c>
      <c r="J391" s="10">
        <v>45747</v>
      </c>
      <c r="K391" s="9" t="s">
        <v>45</v>
      </c>
      <c r="L391" s="9" t="s">
        <v>32</v>
      </c>
      <c r="M391" s="9">
        <v>2108.4</v>
      </c>
    </row>
    <row r="392" spans="1:13" x14ac:dyDescent="0.35">
      <c r="A392" s="9">
        <v>2488</v>
      </c>
      <c r="B392" s="9" t="s">
        <v>34</v>
      </c>
      <c r="C392" s="9" t="s">
        <v>20</v>
      </c>
      <c r="D392" s="9" t="s">
        <v>66</v>
      </c>
      <c r="E392" s="9" t="s">
        <v>59</v>
      </c>
      <c r="F392" s="9">
        <v>4</v>
      </c>
      <c r="G392" s="9">
        <v>6387.51</v>
      </c>
      <c r="H392" s="9">
        <v>0</v>
      </c>
      <c r="I392" s="9">
        <v>0</v>
      </c>
      <c r="J392" s="10">
        <v>45747</v>
      </c>
      <c r="K392" s="9" t="s">
        <v>44</v>
      </c>
      <c r="L392" s="9" t="s">
        <v>27</v>
      </c>
      <c r="M392" s="9">
        <v>300.76</v>
      </c>
    </row>
    <row r="393" spans="1:13" x14ac:dyDescent="0.35">
      <c r="A393" s="9">
        <v>2490</v>
      </c>
      <c r="B393" s="9" t="s">
        <v>28</v>
      </c>
      <c r="C393" s="9" t="s">
        <v>19</v>
      </c>
      <c r="D393" s="9" t="s">
        <v>39</v>
      </c>
      <c r="E393" s="9" t="s">
        <v>60</v>
      </c>
      <c r="F393" s="9">
        <v>3</v>
      </c>
      <c r="G393" s="9">
        <v>5015.1899999999996</v>
      </c>
      <c r="H393" s="9">
        <v>0.75</v>
      </c>
      <c r="I393" s="9">
        <v>3761.39</v>
      </c>
      <c r="J393" s="10">
        <v>45622</v>
      </c>
      <c r="K393" s="9" t="s">
        <v>45</v>
      </c>
      <c r="L393" s="9" t="s">
        <v>32</v>
      </c>
      <c r="M393" s="9">
        <v>-494.53</v>
      </c>
    </row>
    <row r="394" spans="1:13" x14ac:dyDescent="0.35">
      <c r="A394" s="9">
        <v>2491</v>
      </c>
      <c r="B394" s="9" t="s">
        <v>34</v>
      </c>
      <c r="C394" s="9" t="s">
        <v>19</v>
      </c>
      <c r="D394" s="9" t="s">
        <v>69</v>
      </c>
      <c r="E394" s="9" t="s">
        <v>59</v>
      </c>
      <c r="F394" s="9">
        <v>0</v>
      </c>
      <c r="G394" s="9">
        <v>8998.44</v>
      </c>
      <c r="H394" s="9">
        <v>0</v>
      </c>
      <c r="I394" s="9">
        <v>0</v>
      </c>
      <c r="J394" s="10">
        <v>45805</v>
      </c>
      <c r="K394" s="9" t="s">
        <v>45</v>
      </c>
      <c r="L394" s="9" t="s">
        <v>25</v>
      </c>
      <c r="M394" s="9">
        <v>-432.44</v>
      </c>
    </row>
    <row r="395" spans="1:13" x14ac:dyDescent="0.35">
      <c r="A395" s="9">
        <v>2492</v>
      </c>
      <c r="B395" s="9" t="s">
        <v>34</v>
      </c>
      <c r="C395" s="9" t="s">
        <v>22</v>
      </c>
      <c r="D395" s="9" t="s">
        <v>30</v>
      </c>
      <c r="E395" s="9" t="s">
        <v>60</v>
      </c>
      <c r="F395" s="9">
        <v>0</v>
      </c>
      <c r="G395" s="9">
        <v>0</v>
      </c>
      <c r="H395" s="9">
        <v>0</v>
      </c>
      <c r="I395" s="9">
        <v>0</v>
      </c>
      <c r="J395" s="10">
        <v>45805</v>
      </c>
      <c r="K395" s="9" t="s">
        <v>45</v>
      </c>
      <c r="L395" s="9" t="s">
        <v>27</v>
      </c>
      <c r="M395" s="9">
        <v>473.22</v>
      </c>
    </row>
    <row r="396" spans="1:13" x14ac:dyDescent="0.35">
      <c r="A396" s="9">
        <v>2496</v>
      </c>
      <c r="B396" s="9" t="s">
        <v>34</v>
      </c>
      <c r="C396" s="9" t="s">
        <v>20</v>
      </c>
      <c r="D396" s="9" t="s">
        <v>61</v>
      </c>
      <c r="E396" s="9" t="s">
        <v>59</v>
      </c>
      <c r="F396" s="9">
        <v>2</v>
      </c>
      <c r="G396" s="9">
        <v>4110.72</v>
      </c>
      <c r="H396" s="9">
        <v>0.32</v>
      </c>
      <c r="I396" s="9">
        <v>5590.58</v>
      </c>
      <c r="J396" s="10">
        <v>45650</v>
      </c>
      <c r="K396" s="9" t="s">
        <v>44</v>
      </c>
      <c r="L396" s="9" t="s">
        <v>25</v>
      </c>
      <c r="M396" s="9">
        <v>3894.95</v>
      </c>
    </row>
    <row r="397" spans="1:13" x14ac:dyDescent="0.35">
      <c r="A397" s="9">
        <v>2497</v>
      </c>
      <c r="B397" s="9" t="s">
        <v>34</v>
      </c>
      <c r="C397" s="9" t="s">
        <v>22</v>
      </c>
      <c r="D397" s="9" t="s">
        <v>65</v>
      </c>
      <c r="E397" s="9" t="s">
        <v>62</v>
      </c>
      <c r="F397" s="9">
        <v>1</v>
      </c>
      <c r="G397" s="9">
        <v>0</v>
      </c>
      <c r="H397" s="9">
        <v>0</v>
      </c>
      <c r="I397" s="9">
        <v>0</v>
      </c>
      <c r="J397" s="10">
        <v>45259</v>
      </c>
      <c r="K397" s="9" t="s">
        <v>45</v>
      </c>
      <c r="L397" s="9" t="s">
        <v>26</v>
      </c>
      <c r="M397" s="9">
        <v>2592.98</v>
      </c>
    </row>
    <row r="398" spans="1:13" x14ac:dyDescent="0.35">
      <c r="A398" s="9">
        <v>2499</v>
      </c>
      <c r="B398" s="9" t="s">
        <v>28</v>
      </c>
      <c r="C398" s="9" t="s">
        <v>19</v>
      </c>
      <c r="D398" s="9" t="s">
        <v>39</v>
      </c>
      <c r="E398" s="9" t="s">
        <v>60</v>
      </c>
      <c r="F398" s="9">
        <v>0</v>
      </c>
      <c r="G398" s="9">
        <v>8347.8700000000008</v>
      </c>
      <c r="H398" s="9">
        <v>0</v>
      </c>
      <c r="I398" s="9">
        <v>0</v>
      </c>
      <c r="J398" s="10">
        <v>45450</v>
      </c>
      <c r="K398" s="9" t="s">
        <v>44</v>
      </c>
      <c r="L398" s="9" t="s">
        <v>32</v>
      </c>
      <c r="M398" s="9">
        <v>1488.3</v>
      </c>
    </row>
    <row r="399" spans="1:13" x14ac:dyDescent="0.35">
      <c r="A399" s="9">
        <v>2501</v>
      </c>
      <c r="B399" s="9" t="s">
        <v>28</v>
      </c>
      <c r="C399" s="9" t="s">
        <v>21</v>
      </c>
      <c r="D399" s="9" t="s">
        <v>40</v>
      </c>
      <c r="E399" s="9" t="s">
        <v>60</v>
      </c>
      <c r="F399" s="9">
        <v>0</v>
      </c>
      <c r="G399" s="9">
        <v>6453.36</v>
      </c>
      <c r="H399" s="9">
        <v>0</v>
      </c>
      <c r="I399" s="9">
        <v>0</v>
      </c>
      <c r="J399" s="10">
        <v>45812</v>
      </c>
      <c r="K399" s="9" t="s">
        <v>44</v>
      </c>
      <c r="L399" s="9" t="s">
        <v>27</v>
      </c>
      <c r="M399" s="9">
        <v>2321.06</v>
      </c>
    </row>
    <row r="400" spans="1:13" x14ac:dyDescent="0.35">
      <c r="A400" s="9">
        <v>2502</v>
      </c>
      <c r="B400" s="9" t="s">
        <v>28</v>
      </c>
      <c r="C400" s="9" t="s">
        <v>22</v>
      </c>
      <c r="D400" s="9" t="s">
        <v>67</v>
      </c>
      <c r="E400" s="9" t="s">
        <v>59</v>
      </c>
      <c r="F400" s="9">
        <v>0</v>
      </c>
      <c r="G400" s="9">
        <v>0</v>
      </c>
      <c r="H400" s="9">
        <v>0</v>
      </c>
      <c r="I400" s="9">
        <v>0</v>
      </c>
      <c r="J400" s="10">
        <v>45179</v>
      </c>
      <c r="K400" s="9" t="s">
        <v>44</v>
      </c>
      <c r="L400" s="9" t="s">
        <v>26</v>
      </c>
      <c r="M400" s="9">
        <v>2412.8200000000002</v>
      </c>
    </row>
    <row r="401" spans="1:13" x14ac:dyDescent="0.35">
      <c r="A401" s="9">
        <v>2503</v>
      </c>
      <c r="B401" s="9" t="s">
        <v>28</v>
      </c>
      <c r="C401" s="9" t="s">
        <v>18</v>
      </c>
      <c r="D401" s="9" t="s">
        <v>38</v>
      </c>
      <c r="E401" s="9" t="s">
        <v>62</v>
      </c>
      <c r="F401" s="9">
        <v>-1</v>
      </c>
      <c r="G401" s="9">
        <v>0</v>
      </c>
      <c r="H401" s="9">
        <v>0</v>
      </c>
      <c r="I401" s="9">
        <v>0</v>
      </c>
      <c r="J401" s="10">
        <v>45677</v>
      </c>
      <c r="K401" s="9" t="s">
        <v>45</v>
      </c>
      <c r="L401" s="9" t="s">
        <v>25</v>
      </c>
      <c r="M401" s="9">
        <v>-173.16</v>
      </c>
    </row>
    <row r="402" spans="1:13" x14ac:dyDescent="0.35">
      <c r="A402" s="9">
        <v>2505</v>
      </c>
      <c r="B402" s="9" t="s">
        <v>28</v>
      </c>
      <c r="C402" s="9" t="s">
        <v>20</v>
      </c>
      <c r="D402" s="9" t="s">
        <v>66</v>
      </c>
      <c r="E402" s="9" t="s">
        <v>59</v>
      </c>
      <c r="F402" s="9">
        <v>0</v>
      </c>
      <c r="G402" s="9">
        <v>0</v>
      </c>
      <c r="H402" s="9">
        <v>1.1100000000000001</v>
      </c>
      <c r="I402" s="9">
        <v>0</v>
      </c>
      <c r="J402" s="10">
        <v>45841</v>
      </c>
      <c r="K402" s="9" t="s">
        <v>45</v>
      </c>
      <c r="L402" s="9" t="s">
        <v>25</v>
      </c>
      <c r="M402" s="9">
        <v>3748.24</v>
      </c>
    </row>
    <row r="403" spans="1:13" x14ac:dyDescent="0.35">
      <c r="A403" s="9">
        <v>2507</v>
      </c>
      <c r="B403" s="9" t="s">
        <v>31</v>
      </c>
      <c r="C403" s="9" t="s">
        <v>19</v>
      </c>
      <c r="D403" s="9" t="s">
        <v>69</v>
      </c>
      <c r="E403" s="9" t="s">
        <v>60</v>
      </c>
      <c r="F403" s="9">
        <v>2</v>
      </c>
      <c r="G403" s="9">
        <v>0</v>
      </c>
      <c r="H403" s="9">
        <v>0</v>
      </c>
      <c r="I403" s="9">
        <v>0</v>
      </c>
      <c r="J403" s="10">
        <v>45364</v>
      </c>
      <c r="K403" s="9" t="s">
        <v>44</v>
      </c>
      <c r="L403" s="9" t="s">
        <v>32</v>
      </c>
      <c r="M403" s="9">
        <v>2116.5300000000002</v>
      </c>
    </row>
    <row r="404" spans="1:13" x14ac:dyDescent="0.35">
      <c r="A404" s="9">
        <v>2508</v>
      </c>
      <c r="B404" s="9" t="s">
        <v>34</v>
      </c>
      <c r="C404" s="9" t="s">
        <v>19</v>
      </c>
      <c r="D404" s="9" t="s">
        <v>39</v>
      </c>
      <c r="E404" s="9" t="s">
        <v>62</v>
      </c>
      <c r="F404" s="9">
        <v>1</v>
      </c>
      <c r="G404" s="9">
        <v>0</v>
      </c>
      <c r="H404" s="9">
        <v>1.1599999999999999</v>
      </c>
      <c r="I404" s="9">
        <v>0</v>
      </c>
      <c r="J404" s="10">
        <v>45364</v>
      </c>
      <c r="K404" s="9" t="s">
        <v>44</v>
      </c>
      <c r="L404" s="9" t="s">
        <v>27</v>
      </c>
      <c r="M404" s="9">
        <v>1811.51</v>
      </c>
    </row>
    <row r="405" spans="1:13" x14ac:dyDescent="0.35">
      <c r="A405" s="9">
        <v>2509</v>
      </c>
      <c r="B405" s="9" t="s">
        <v>31</v>
      </c>
      <c r="C405" s="9" t="s">
        <v>20</v>
      </c>
      <c r="D405" s="9" t="s">
        <v>61</v>
      </c>
      <c r="E405" s="9" t="s">
        <v>60</v>
      </c>
      <c r="F405" s="9">
        <v>0</v>
      </c>
      <c r="G405" s="9">
        <v>0</v>
      </c>
      <c r="H405" s="9">
        <v>0</v>
      </c>
      <c r="I405" s="9">
        <v>0</v>
      </c>
      <c r="J405" s="10">
        <v>45619</v>
      </c>
      <c r="K405" s="9" t="s">
        <v>45</v>
      </c>
      <c r="L405" s="9" t="s">
        <v>25</v>
      </c>
      <c r="M405" s="9">
        <v>1086.0899999999999</v>
      </c>
    </row>
    <row r="406" spans="1:13" x14ac:dyDescent="0.35">
      <c r="A406" s="9">
        <v>2512</v>
      </c>
      <c r="B406" s="9" t="s">
        <v>31</v>
      </c>
      <c r="C406" s="9" t="s">
        <v>18</v>
      </c>
      <c r="D406" s="9" t="s">
        <v>41</v>
      </c>
      <c r="E406" s="9" t="s">
        <v>59</v>
      </c>
      <c r="F406" s="9">
        <v>0</v>
      </c>
      <c r="G406" s="9">
        <v>6110.96</v>
      </c>
      <c r="H406" s="9">
        <v>0</v>
      </c>
      <c r="I406" s="9">
        <v>0</v>
      </c>
      <c r="J406" s="10">
        <v>45619</v>
      </c>
      <c r="K406" s="9" t="s">
        <v>45</v>
      </c>
      <c r="L406" s="9" t="s">
        <v>27</v>
      </c>
      <c r="M406" s="9">
        <v>3074.69</v>
      </c>
    </row>
    <row r="407" spans="1:13" x14ac:dyDescent="0.35">
      <c r="A407" s="9">
        <v>2513</v>
      </c>
      <c r="B407" s="9" t="s">
        <v>28</v>
      </c>
      <c r="C407" s="9" t="s">
        <v>22</v>
      </c>
      <c r="D407" s="9" t="s">
        <v>68</v>
      </c>
      <c r="E407" s="9" t="s">
        <v>62</v>
      </c>
      <c r="F407" s="9">
        <v>4</v>
      </c>
      <c r="G407" s="9">
        <v>9848.7999999999993</v>
      </c>
      <c r="H407" s="9">
        <v>0</v>
      </c>
      <c r="I407" s="9">
        <v>0</v>
      </c>
      <c r="J407" s="10">
        <v>45576</v>
      </c>
      <c r="K407" s="9" t="s">
        <v>45</v>
      </c>
      <c r="L407" s="9" t="s">
        <v>35</v>
      </c>
      <c r="M407" s="9">
        <v>2764.66</v>
      </c>
    </row>
    <row r="408" spans="1:13" x14ac:dyDescent="0.35">
      <c r="A408" s="9">
        <v>2514</v>
      </c>
      <c r="B408" s="9" t="s">
        <v>34</v>
      </c>
      <c r="C408" s="9" t="s">
        <v>22</v>
      </c>
      <c r="D408" s="9" t="s">
        <v>65</v>
      </c>
      <c r="E408" s="9" t="s">
        <v>59</v>
      </c>
      <c r="F408" s="9">
        <v>1</v>
      </c>
      <c r="G408" s="9">
        <v>0</v>
      </c>
      <c r="H408" s="9">
        <v>0</v>
      </c>
      <c r="I408" s="9">
        <v>0</v>
      </c>
      <c r="J408" s="10">
        <v>45803</v>
      </c>
      <c r="K408" s="9" t="s">
        <v>45</v>
      </c>
      <c r="L408" s="9" t="s">
        <v>25</v>
      </c>
      <c r="M408" s="9">
        <v>1790.41</v>
      </c>
    </row>
    <row r="409" spans="1:13" x14ac:dyDescent="0.35">
      <c r="A409" s="9">
        <v>2517</v>
      </c>
      <c r="B409" s="9" t="s">
        <v>31</v>
      </c>
      <c r="C409" s="9" t="s">
        <v>21</v>
      </c>
      <c r="D409" s="9" t="s">
        <v>40</v>
      </c>
      <c r="E409" s="9" t="s">
        <v>59</v>
      </c>
      <c r="F409" s="9">
        <v>1</v>
      </c>
      <c r="G409" s="9">
        <v>3059.89</v>
      </c>
      <c r="H409" s="9">
        <v>0</v>
      </c>
      <c r="I409" s="9">
        <v>0</v>
      </c>
      <c r="J409" s="10">
        <v>45803</v>
      </c>
      <c r="K409" s="9" t="s">
        <v>45</v>
      </c>
      <c r="L409" s="9" t="s">
        <v>32</v>
      </c>
      <c r="M409" s="9">
        <v>1968.82</v>
      </c>
    </row>
    <row r="410" spans="1:13" x14ac:dyDescent="0.35">
      <c r="A410" s="9">
        <v>2518</v>
      </c>
      <c r="B410" s="9" t="s">
        <v>28</v>
      </c>
      <c r="C410" s="9" t="s">
        <v>22</v>
      </c>
      <c r="D410" s="9" t="s">
        <v>65</v>
      </c>
      <c r="E410" s="9" t="s">
        <v>60</v>
      </c>
      <c r="F410" s="9">
        <v>0</v>
      </c>
      <c r="G410" s="9">
        <v>0</v>
      </c>
      <c r="H410" s="9">
        <v>1.03</v>
      </c>
      <c r="I410" s="9">
        <v>0</v>
      </c>
      <c r="J410" s="10">
        <v>45476</v>
      </c>
      <c r="K410" s="9" t="s">
        <v>44</v>
      </c>
      <c r="L410" s="9" t="s">
        <v>29</v>
      </c>
      <c r="M410" s="9">
        <v>-703.61</v>
      </c>
    </row>
    <row r="411" spans="1:13" x14ac:dyDescent="0.35">
      <c r="A411" s="9">
        <v>2519</v>
      </c>
      <c r="B411" s="9" t="s">
        <v>28</v>
      </c>
      <c r="C411" s="9" t="s">
        <v>20</v>
      </c>
      <c r="D411" s="9" t="s">
        <v>61</v>
      </c>
      <c r="E411" s="9" t="s">
        <v>60</v>
      </c>
      <c r="F411" s="9">
        <v>0</v>
      </c>
      <c r="G411" s="9">
        <v>9701.7199999999993</v>
      </c>
      <c r="H411" s="9">
        <v>0</v>
      </c>
      <c r="I411" s="9">
        <v>0</v>
      </c>
      <c r="J411" s="10">
        <v>45606</v>
      </c>
      <c r="K411" s="9" t="s">
        <v>45</v>
      </c>
      <c r="L411" s="9" t="s">
        <v>32</v>
      </c>
      <c r="M411" s="9">
        <v>-835.82</v>
      </c>
    </row>
    <row r="412" spans="1:13" x14ac:dyDescent="0.35">
      <c r="A412" s="9">
        <v>2521</v>
      </c>
      <c r="B412" s="9" t="s">
        <v>34</v>
      </c>
      <c r="C412" s="9" t="s">
        <v>21</v>
      </c>
      <c r="D412" s="9" t="s">
        <v>36</v>
      </c>
      <c r="E412" s="9" t="s">
        <v>59</v>
      </c>
      <c r="F412" s="9">
        <v>4</v>
      </c>
      <c r="G412" s="9">
        <v>3645.35</v>
      </c>
      <c r="H412" s="9">
        <v>0</v>
      </c>
      <c r="I412" s="9">
        <v>0</v>
      </c>
      <c r="J412" s="10">
        <v>45560</v>
      </c>
      <c r="K412" s="9" t="s">
        <v>45</v>
      </c>
      <c r="L412" s="9" t="s">
        <v>27</v>
      </c>
      <c r="M412" s="9">
        <v>3265.83</v>
      </c>
    </row>
    <row r="413" spans="1:13" x14ac:dyDescent="0.35">
      <c r="A413" s="9">
        <v>2522</v>
      </c>
      <c r="B413" s="9" t="s">
        <v>31</v>
      </c>
      <c r="C413" s="9" t="s">
        <v>20</v>
      </c>
      <c r="D413" s="9" t="s">
        <v>70</v>
      </c>
      <c r="E413" s="9" t="s">
        <v>62</v>
      </c>
      <c r="F413" s="9">
        <v>4</v>
      </c>
      <c r="G413" s="9">
        <v>6243.91</v>
      </c>
      <c r="H413" s="9">
        <v>0</v>
      </c>
      <c r="I413" s="9">
        <v>0</v>
      </c>
      <c r="J413" s="10">
        <v>45335</v>
      </c>
      <c r="K413" s="9" t="s">
        <v>44</v>
      </c>
      <c r="L413" s="9" t="s">
        <v>27</v>
      </c>
      <c r="M413" s="9">
        <v>-199.13</v>
      </c>
    </row>
    <row r="414" spans="1:13" x14ac:dyDescent="0.35">
      <c r="A414" s="9">
        <v>2523</v>
      </c>
      <c r="B414" s="9" t="s">
        <v>31</v>
      </c>
      <c r="C414" s="9" t="s">
        <v>22</v>
      </c>
      <c r="D414" s="9" t="s">
        <v>30</v>
      </c>
      <c r="E414" s="9" t="s">
        <v>59</v>
      </c>
      <c r="F414" s="9">
        <v>0</v>
      </c>
      <c r="G414" s="9">
        <v>7007.6</v>
      </c>
      <c r="H414" s="9">
        <v>0</v>
      </c>
      <c r="I414" s="9">
        <v>0</v>
      </c>
      <c r="J414" s="10">
        <v>45511</v>
      </c>
      <c r="K414" s="9" t="s">
        <v>44</v>
      </c>
      <c r="L414" s="9" t="s">
        <v>27</v>
      </c>
      <c r="M414" s="9">
        <v>2068.4899999999998</v>
      </c>
    </row>
    <row r="415" spans="1:13" x14ac:dyDescent="0.35">
      <c r="A415" s="9">
        <v>2524</v>
      </c>
      <c r="B415" s="9" t="s">
        <v>28</v>
      </c>
      <c r="C415" s="9" t="s">
        <v>21</v>
      </c>
      <c r="D415" s="9" t="s">
        <v>40</v>
      </c>
      <c r="E415" s="9" t="s">
        <v>62</v>
      </c>
      <c r="F415" s="9">
        <v>0</v>
      </c>
      <c r="G415" s="9">
        <v>0</v>
      </c>
      <c r="H415" s="9">
        <v>0</v>
      </c>
      <c r="I415" s="9">
        <v>0</v>
      </c>
      <c r="J415" s="10">
        <v>45617</v>
      </c>
      <c r="K415" s="9" t="s">
        <v>45</v>
      </c>
      <c r="L415" s="9" t="s">
        <v>27</v>
      </c>
      <c r="M415" s="9">
        <v>997.53</v>
      </c>
    </row>
    <row r="416" spans="1:13" x14ac:dyDescent="0.35">
      <c r="A416" s="9">
        <v>2525</v>
      </c>
      <c r="B416" s="9" t="s">
        <v>28</v>
      </c>
      <c r="C416" s="9" t="s">
        <v>18</v>
      </c>
      <c r="D416" s="9" t="s">
        <v>41</v>
      </c>
      <c r="E416" s="9" t="s">
        <v>62</v>
      </c>
      <c r="F416" s="9">
        <v>2</v>
      </c>
      <c r="G416" s="9">
        <v>0</v>
      </c>
      <c r="H416" s="9">
        <v>0</v>
      </c>
      <c r="I416" s="9">
        <v>0</v>
      </c>
      <c r="J416" s="10">
        <v>45706</v>
      </c>
      <c r="K416" s="9" t="s">
        <v>44</v>
      </c>
      <c r="L416" s="9" t="s">
        <v>27</v>
      </c>
      <c r="M416" s="9">
        <v>3453.18</v>
      </c>
    </row>
    <row r="417" spans="1:13" x14ac:dyDescent="0.35">
      <c r="A417" s="9">
        <v>2526</v>
      </c>
      <c r="B417" s="9" t="s">
        <v>34</v>
      </c>
      <c r="C417" s="9" t="s">
        <v>21</v>
      </c>
      <c r="D417" s="9" t="s">
        <v>64</v>
      </c>
      <c r="E417" s="9" t="s">
        <v>59</v>
      </c>
      <c r="F417" s="9">
        <v>1</v>
      </c>
      <c r="G417" s="9">
        <v>0</v>
      </c>
      <c r="H417" s="9">
        <v>0</v>
      </c>
      <c r="I417" s="9">
        <v>0</v>
      </c>
      <c r="J417" s="10">
        <v>45505</v>
      </c>
      <c r="K417" s="9" t="s">
        <v>44</v>
      </c>
      <c r="L417" s="9" t="s">
        <v>32</v>
      </c>
      <c r="M417" s="9">
        <v>3188.07</v>
      </c>
    </row>
    <row r="418" spans="1:13" x14ac:dyDescent="0.35">
      <c r="A418" s="9">
        <v>2527</v>
      </c>
      <c r="B418" s="9" t="s">
        <v>31</v>
      </c>
      <c r="C418" s="9" t="s">
        <v>21</v>
      </c>
      <c r="D418" s="9" t="s">
        <v>40</v>
      </c>
      <c r="E418" s="9" t="s">
        <v>62</v>
      </c>
      <c r="F418" s="9">
        <v>0</v>
      </c>
      <c r="G418" s="9">
        <v>7408.91</v>
      </c>
      <c r="H418" s="9">
        <v>0</v>
      </c>
      <c r="I418" s="9">
        <v>0</v>
      </c>
      <c r="J418" s="10">
        <v>45369</v>
      </c>
      <c r="K418" s="9" t="s">
        <v>45</v>
      </c>
      <c r="L418" s="9" t="s">
        <v>29</v>
      </c>
      <c r="M418" s="9">
        <v>-138.78</v>
      </c>
    </row>
    <row r="419" spans="1:13" x14ac:dyDescent="0.35">
      <c r="A419" s="9">
        <v>2528</v>
      </c>
      <c r="B419" s="9" t="s">
        <v>28</v>
      </c>
      <c r="C419" s="9" t="s">
        <v>18</v>
      </c>
      <c r="D419" s="9" t="s">
        <v>38</v>
      </c>
      <c r="E419" s="9" t="s">
        <v>59</v>
      </c>
      <c r="F419" s="9">
        <v>2</v>
      </c>
      <c r="G419" s="9">
        <v>0</v>
      </c>
      <c r="H419" s="9">
        <v>0</v>
      </c>
      <c r="I419" s="9">
        <v>0</v>
      </c>
      <c r="J419" s="10">
        <v>45818</v>
      </c>
      <c r="K419" s="9" t="s">
        <v>45</v>
      </c>
      <c r="L419" s="9" t="s">
        <v>29</v>
      </c>
      <c r="M419" s="9">
        <v>134.1</v>
      </c>
    </row>
    <row r="420" spans="1:13" x14ac:dyDescent="0.35">
      <c r="A420" s="9">
        <v>2529</v>
      </c>
      <c r="B420" s="9" t="s">
        <v>31</v>
      </c>
      <c r="C420" s="9" t="s">
        <v>20</v>
      </c>
      <c r="D420" s="9" t="s">
        <v>61</v>
      </c>
      <c r="E420" s="9" t="s">
        <v>62</v>
      </c>
      <c r="F420" s="9">
        <v>0</v>
      </c>
      <c r="G420" s="9">
        <v>0</v>
      </c>
      <c r="H420" s="9">
        <v>0</v>
      </c>
      <c r="I420" s="9">
        <v>0</v>
      </c>
      <c r="J420" s="10">
        <v>45818</v>
      </c>
      <c r="K420" s="9" t="s">
        <v>45</v>
      </c>
      <c r="L420" s="9" t="s">
        <v>27</v>
      </c>
      <c r="M420" s="9">
        <v>3008.62</v>
      </c>
    </row>
    <row r="421" spans="1:13" x14ac:dyDescent="0.35">
      <c r="A421" s="9">
        <v>2530</v>
      </c>
      <c r="B421" s="9" t="s">
        <v>28</v>
      </c>
      <c r="C421" s="9" t="s">
        <v>21</v>
      </c>
      <c r="D421" s="9" t="s">
        <v>71</v>
      </c>
      <c r="E421" s="9" t="s">
        <v>59</v>
      </c>
      <c r="F421" s="9">
        <v>2</v>
      </c>
      <c r="G421" s="9">
        <v>4357.79</v>
      </c>
      <c r="H421" s="9">
        <v>0</v>
      </c>
      <c r="I421" s="9">
        <v>0</v>
      </c>
      <c r="J421" s="10">
        <v>45715</v>
      </c>
      <c r="K421" s="9" t="s">
        <v>44</v>
      </c>
      <c r="L421" s="9" t="s">
        <v>26</v>
      </c>
      <c r="M421" s="9">
        <v>3936.13</v>
      </c>
    </row>
    <row r="422" spans="1:13" x14ac:dyDescent="0.35">
      <c r="A422" s="9">
        <v>2531</v>
      </c>
      <c r="B422" s="9" t="s">
        <v>31</v>
      </c>
      <c r="C422" s="9" t="s">
        <v>19</v>
      </c>
      <c r="D422" s="9" t="s">
        <v>39</v>
      </c>
      <c r="E422" s="9" t="s">
        <v>62</v>
      </c>
      <c r="F422" s="9">
        <v>0</v>
      </c>
      <c r="G422" s="9">
        <v>0</v>
      </c>
      <c r="H422" s="9">
        <v>0</v>
      </c>
      <c r="I422" s="9">
        <v>0</v>
      </c>
      <c r="J422" s="10">
        <v>45756</v>
      </c>
      <c r="K422" s="9" t="s">
        <v>45</v>
      </c>
      <c r="L422" s="9" t="s">
        <v>32</v>
      </c>
      <c r="M422" s="9">
        <v>2875.41</v>
      </c>
    </row>
    <row r="423" spans="1:13" x14ac:dyDescent="0.35">
      <c r="A423" s="9">
        <v>2532</v>
      </c>
      <c r="B423" s="9" t="s">
        <v>31</v>
      </c>
      <c r="C423" s="9" t="s">
        <v>19</v>
      </c>
      <c r="D423" s="9" t="s">
        <v>42</v>
      </c>
      <c r="E423" s="9" t="s">
        <v>60</v>
      </c>
      <c r="F423" s="9">
        <v>0</v>
      </c>
      <c r="G423" s="9">
        <v>0</v>
      </c>
      <c r="H423" s="9">
        <v>0</v>
      </c>
      <c r="I423" s="9">
        <v>0</v>
      </c>
      <c r="J423" s="10">
        <v>45764</v>
      </c>
      <c r="K423" s="9" t="s">
        <v>44</v>
      </c>
      <c r="L423" s="9" t="s">
        <v>25</v>
      </c>
      <c r="M423" s="9">
        <v>72.78</v>
      </c>
    </row>
    <row r="424" spans="1:13" x14ac:dyDescent="0.35">
      <c r="A424" s="9">
        <v>2533</v>
      </c>
      <c r="B424" s="9" t="s">
        <v>28</v>
      </c>
      <c r="C424" s="9" t="s">
        <v>18</v>
      </c>
      <c r="D424" s="9" t="s">
        <v>33</v>
      </c>
      <c r="E424" s="9" t="s">
        <v>60</v>
      </c>
      <c r="F424" s="9">
        <v>0</v>
      </c>
      <c r="G424" s="9">
        <v>0</v>
      </c>
      <c r="H424" s="9">
        <v>1.02</v>
      </c>
      <c r="I424" s="9">
        <v>0</v>
      </c>
      <c r="J424" s="10">
        <v>45322</v>
      </c>
      <c r="K424" s="9" t="s">
        <v>45</v>
      </c>
      <c r="L424" s="9" t="s">
        <v>26</v>
      </c>
      <c r="M424" s="9">
        <v>2155.46</v>
      </c>
    </row>
    <row r="425" spans="1:13" x14ac:dyDescent="0.35">
      <c r="A425" s="9">
        <v>2534</v>
      </c>
      <c r="B425" s="9" t="s">
        <v>28</v>
      </c>
      <c r="C425" s="9" t="s">
        <v>18</v>
      </c>
      <c r="D425" s="9" t="s">
        <v>37</v>
      </c>
      <c r="E425" s="9" t="s">
        <v>59</v>
      </c>
      <c r="F425" s="9">
        <v>0</v>
      </c>
      <c r="G425" s="9">
        <v>0</v>
      </c>
      <c r="H425" s="9">
        <v>0</v>
      </c>
      <c r="I425" s="9">
        <v>0</v>
      </c>
      <c r="J425" s="10">
        <v>45322</v>
      </c>
      <c r="K425" s="9" t="s">
        <v>45</v>
      </c>
      <c r="L425" s="9" t="s">
        <v>35</v>
      </c>
      <c r="M425" s="9">
        <v>506.26</v>
      </c>
    </row>
    <row r="426" spans="1:13" x14ac:dyDescent="0.35">
      <c r="A426" s="9">
        <v>2535</v>
      </c>
      <c r="B426" s="9" t="s">
        <v>31</v>
      </c>
      <c r="C426" s="9" t="s">
        <v>19</v>
      </c>
      <c r="D426" s="9" t="s">
        <v>42</v>
      </c>
      <c r="E426" s="9" t="s">
        <v>62</v>
      </c>
      <c r="F426" s="9">
        <v>2</v>
      </c>
      <c r="G426" s="9">
        <v>2786.84</v>
      </c>
      <c r="H426" s="9">
        <v>0.21</v>
      </c>
      <c r="I426" s="9">
        <v>4403.21</v>
      </c>
      <c r="J426" s="10">
        <v>45682</v>
      </c>
      <c r="K426" s="9" t="s">
        <v>45</v>
      </c>
      <c r="L426" s="9" t="s">
        <v>26</v>
      </c>
      <c r="M426" s="9">
        <v>3345.36</v>
      </c>
    </row>
    <row r="427" spans="1:13" x14ac:dyDescent="0.35">
      <c r="A427" s="9">
        <v>2536</v>
      </c>
      <c r="B427" s="9" t="s">
        <v>34</v>
      </c>
      <c r="C427" s="9" t="s">
        <v>20</v>
      </c>
      <c r="D427" s="9" t="s">
        <v>43</v>
      </c>
      <c r="E427" s="9" t="s">
        <v>59</v>
      </c>
      <c r="F427" s="9">
        <v>0</v>
      </c>
      <c r="G427" s="9">
        <v>2221.7800000000002</v>
      </c>
      <c r="H427" s="9">
        <v>0.55000000000000004</v>
      </c>
      <c r="I427" s="9">
        <v>0</v>
      </c>
      <c r="J427" s="10">
        <v>45567</v>
      </c>
      <c r="K427" s="9" t="s">
        <v>44</v>
      </c>
      <c r="L427" s="9" t="s">
        <v>29</v>
      </c>
      <c r="M427" s="9">
        <v>-1091.6600000000001</v>
      </c>
    </row>
    <row r="428" spans="1:13" x14ac:dyDescent="0.35">
      <c r="A428" s="9">
        <v>2537</v>
      </c>
      <c r="B428" s="9" t="s">
        <v>28</v>
      </c>
      <c r="C428" s="9" t="s">
        <v>21</v>
      </c>
      <c r="D428" s="9" t="s">
        <v>64</v>
      </c>
      <c r="E428" s="9" t="s">
        <v>59</v>
      </c>
      <c r="F428" s="9">
        <v>0</v>
      </c>
      <c r="G428" s="9">
        <v>0</v>
      </c>
      <c r="H428" s="9">
        <v>0</v>
      </c>
      <c r="I428" s="9">
        <v>0</v>
      </c>
      <c r="J428" s="10">
        <v>45807</v>
      </c>
      <c r="K428" s="9" t="s">
        <v>44</v>
      </c>
      <c r="L428" s="9" t="s">
        <v>25</v>
      </c>
      <c r="M428" s="9">
        <v>2596.8000000000002</v>
      </c>
    </row>
    <row r="429" spans="1:13" x14ac:dyDescent="0.35">
      <c r="A429" s="9">
        <v>2539</v>
      </c>
      <c r="B429" s="9" t="s">
        <v>28</v>
      </c>
      <c r="C429" s="9" t="s">
        <v>20</v>
      </c>
      <c r="D429" s="9" t="s">
        <v>66</v>
      </c>
      <c r="E429" s="9" t="s">
        <v>60</v>
      </c>
      <c r="F429" s="9">
        <v>0</v>
      </c>
      <c r="G429" s="9">
        <v>0</v>
      </c>
      <c r="H429" s="9">
        <v>0</v>
      </c>
      <c r="I429" s="9">
        <v>0</v>
      </c>
      <c r="J429" s="10">
        <v>45714</v>
      </c>
      <c r="K429" s="9" t="s">
        <v>45</v>
      </c>
      <c r="L429" s="9" t="s">
        <v>25</v>
      </c>
      <c r="M429" s="9">
        <v>3748.73</v>
      </c>
    </row>
    <row r="430" spans="1:13" x14ac:dyDescent="0.35">
      <c r="A430" s="9">
        <v>2540</v>
      </c>
      <c r="B430" s="9" t="s">
        <v>28</v>
      </c>
      <c r="C430" s="9" t="s">
        <v>21</v>
      </c>
      <c r="D430" s="9" t="s">
        <v>40</v>
      </c>
      <c r="E430" s="9" t="s">
        <v>60</v>
      </c>
      <c r="F430" s="9">
        <v>0</v>
      </c>
      <c r="G430" s="9">
        <v>8794.64</v>
      </c>
      <c r="H430" s="9">
        <v>0</v>
      </c>
      <c r="I430" s="9">
        <v>0</v>
      </c>
      <c r="J430" s="10">
        <v>45666</v>
      </c>
      <c r="K430" s="9" t="s">
        <v>45</v>
      </c>
      <c r="L430" s="9" t="s">
        <v>26</v>
      </c>
      <c r="M430" s="9">
        <v>-938.07</v>
      </c>
    </row>
    <row r="431" spans="1:13" x14ac:dyDescent="0.35">
      <c r="A431" s="9">
        <v>2541</v>
      </c>
      <c r="B431" s="9" t="s">
        <v>34</v>
      </c>
      <c r="C431" s="9" t="s">
        <v>20</v>
      </c>
      <c r="D431" s="9" t="s">
        <v>61</v>
      </c>
      <c r="E431" s="9" t="s">
        <v>59</v>
      </c>
      <c r="F431" s="9">
        <v>0</v>
      </c>
      <c r="G431" s="9">
        <v>0</v>
      </c>
      <c r="H431" s="9">
        <v>0</v>
      </c>
      <c r="I431" s="9">
        <v>0</v>
      </c>
      <c r="J431" s="10">
        <v>45796</v>
      </c>
      <c r="K431" s="9" t="s">
        <v>44</v>
      </c>
      <c r="L431" s="9" t="s">
        <v>26</v>
      </c>
      <c r="M431" s="9">
        <v>-1180.1099999999999</v>
      </c>
    </row>
    <row r="432" spans="1:13" x14ac:dyDescent="0.35">
      <c r="A432" s="9">
        <v>2542</v>
      </c>
      <c r="B432" s="9" t="s">
        <v>34</v>
      </c>
      <c r="C432" s="9" t="s">
        <v>20</v>
      </c>
      <c r="D432" s="9" t="s">
        <v>61</v>
      </c>
      <c r="E432" s="9" t="s">
        <v>62</v>
      </c>
      <c r="F432" s="9">
        <v>0</v>
      </c>
      <c r="G432" s="9">
        <v>0</v>
      </c>
      <c r="H432" s="9">
        <v>0.18</v>
      </c>
      <c r="I432" s="9">
        <v>0</v>
      </c>
      <c r="J432" s="10">
        <v>45796</v>
      </c>
      <c r="K432" s="9" t="s">
        <v>44</v>
      </c>
      <c r="L432" s="9" t="s">
        <v>32</v>
      </c>
      <c r="M432" s="9">
        <v>-1115.8900000000001</v>
      </c>
    </row>
    <row r="433" spans="1:13" x14ac:dyDescent="0.35">
      <c r="A433" s="9">
        <v>2544</v>
      </c>
      <c r="B433" s="9" t="s">
        <v>31</v>
      </c>
      <c r="C433" s="9" t="s">
        <v>18</v>
      </c>
      <c r="D433" s="9" t="s">
        <v>38</v>
      </c>
      <c r="E433" s="9" t="s">
        <v>60</v>
      </c>
      <c r="F433" s="9">
        <v>0</v>
      </c>
      <c r="G433" s="9">
        <v>8856.07</v>
      </c>
      <c r="H433" s="9">
        <v>0</v>
      </c>
      <c r="I433" s="9">
        <v>0</v>
      </c>
      <c r="J433" s="10">
        <v>45796</v>
      </c>
      <c r="K433" s="9" t="s">
        <v>45</v>
      </c>
      <c r="L433" s="9" t="s">
        <v>25</v>
      </c>
      <c r="M433" s="9">
        <v>2069.9299999999998</v>
      </c>
    </row>
    <row r="434" spans="1:13" x14ac:dyDescent="0.35">
      <c r="A434" s="9">
        <v>2545</v>
      </c>
      <c r="B434" s="9" t="s">
        <v>31</v>
      </c>
      <c r="C434" s="9" t="s">
        <v>18</v>
      </c>
      <c r="D434" s="9" t="s">
        <v>41</v>
      </c>
      <c r="E434" s="9" t="s">
        <v>60</v>
      </c>
      <c r="F434" s="9">
        <v>0</v>
      </c>
      <c r="G434" s="9">
        <v>0</v>
      </c>
      <c r="H434" s="9">
        <v>0</v>
      </c>
      <c r="I434" s="9">
        <v>0</v>
      </c>
      <c r="J434" s="10">
        <v>45773</v>
      </c>
      <c r="K434" s="9" t="s">
        <v>44</v>
      </c>
      <c r="L434" s="9" t="s">
        <v>25</v>
      </c>
      <c r="M434" s="9">
        <v>924.07</v>
      </c>
    </row>
    <row r="435" spans="1:13" x14ac:dyDescent="0.35">
      <c r="A435" s="9">
        <v>2546</v>
      </c>
      <c r="B435" s="9" t="s">
        <v>34</v>
      </c>
      <c r="C435" s="9" t="s">
        <v>18</v>
      </c>
      <c r="D435" s="9" t="s">
        <v>38</v>
      </c>
      <c r="E435" s="9" t="s">
        <v>62</v>
      </c>
      <c r="F435" s="9">
        <v>0</v>
      </c>
      <c r="G435" s="9">
        <v>5179.57</v>
      </c>
      <c r="H435" s="9">
        <v>0</v>
      </c>
      <c r="I435" s="9">
        <v>0</v>
      </c>
      <c r="J435" s="10">
        <v>45568</v>
      </c>
      <c r="K435" s="9" t="s">
        <v>44</v>
      </c>
      <c r="L435" s="9" t="s">
        <v>25</v>
      </c>
      <c r="M435" s="9">
        <v>2084.9899999999998</v>
      </c>
    </row>
    <row r="436" spans="1:13" x14ac:dyDescent="0.35">
      <c r="A436" s="9">
        <v>2547</v>
      </c>
      <c r="B436" s="9" t="s">
        <v>28</v>
      </c>
      <c r="C436" s="9" t="s">
        <v>19</v>
      </c>
      <c r="D436" s="9" t="s">
        <v>63</v>
      </c>
      <c r="E436" s="9" t="s">
        <v>59</v>
      </c>
      <c r="F436" s="9">
        <v>1</v>
      </c>
      <c r="G436" s="9">
        <v>3068.13</v>
      </c>
      <c r="H436" s="9">
        <v>0</v>
      </c>
      <c r="I436" s="9">
        <v>0</v>
      </c>
      <c r="J436" s="10">
        <v>45846</v>
      </c>
      <c r="K436" s="9" t="s">
        <v>44</v>
      </c>
      <c r="L436" s="9" t="s">
        <v>27</v>
      </c>
      <c r="M436" s="9">
        <v>-586.29</v>
      </c>
    </row>
    <row r="437" spans="1:13" x14ac:dyDescent="0.35">
      <c r="A437" s="9">
        <v>2548</v>
      </c>
      <c r="B437" s="9" t="s">
        <v>34</v>
      </c>
      <c r="C437" s="9" t="s">
        <v>20</v>
      </c>
      <c r="D437" s="9" t="s">
        <v>70</v>
      </c>
      <c r="E437" s="9" t="s">
        <v>60</v>
      </c>
      <c r="F437" s="9">
        <v>0</v>
      </c>
      <c r="G437" s="9">
        <v>9557</v>
      </c>
      <c r="H437" s="9">
        <v>0</v>
      </c>
      <c r="I437" s="9">
        <v>0</v>
      </c>
      <c r="J437" s="10">
        <v>45770</v>
      </c>
      <c r="K437" s="9" t="s">
        <v>45</v>
      </c>
      <c r="L437" s="9" t="s">
        <v>29</v>
      </c>
      <c r="M437" s="9">
        <v>3847.47</v>
      </c>
    </row>
    <row r="438" spans="1:13" x14ac:dyDescent="0.35">
      <c r="A438" s="9">
        <v>2549</v>
      </c>
      <c r="B438" s="9" t="s">
        <v>31</v>
      </c>
      <c r="C438" s="9" t="s">
        <v>18</v>
      </c>
      <c r="D438" s="9" t="s">
        <v>33</v>
      </c>
      <c r="E438" s="9" t="s">
        <v>62</v>
      </c>
      <c r="F438" s="9">
        <v>0</v>
      </c>
      <c r="G438" s="9">
        <v>4366.09</v>
      </c>
      <c r="H438" s="9">
        <v>0</v>
      </c>
      <c r="I438" s="9">
        <v>0</v>
      </c>
      <c r="J438" s="10">
        <v>45770</v>
      </c>
      <c r="K438" s="9" t="s">
        <v>44</v>
      </c>
      <c r="L438" s="9" t="s">
        <v>29</v>
      </c>
      <c r="M438" s="9">
        <v>1696.1</v>
      </c>
    </row>
    <row r="439" spans="1:13" x14ac:dyDescent="0.35">
      <c r="A439" s="9">
        <v>2550</v>
      </c>
      <c r="B439" s="9" t="s">
        <v>31</v>
      </c>
      <c r="C439" s="9" t="s">
        <v>19</v>
      </c>
      <c r="D439" s="9" t="s">
        <v>39</v>
      </c>
      <c r="E439" s="9" t="s">
        <v>62</v>
      </c>
      <c r="F439" s="9">
        <v>1</v>
      </c>
      <c r="G439" s="9">
        <v>6121.21</v>
      </c>
      <c r="H439" s="9">
        <v>0.05</v>
      </c>
      <c r="I439" s="9">
        <v>5815.15</v>
      </c>
      <c r="J439" s="10">
        <v>45177</v>
      </c>
      <c r="K439" s="9" t="s">
        <v>45</v>
      </c>
      <c r="L439" s="9" t="s">
        <v>27</v>
      </c>
      <c r="M439" s="9">
        <v>2470.08</v>
      </c>
    </row>
    <row r="440" spans="1:13" x14ac:dyDescent="0.35">
      <c r="A440" s="9">
        <v>2551</v>
      </c>
      <c r="B440" s="9" t="s">
        <v>31</v>
      </c>
      <c r="C440" s="9" t="s">
        <v>18</v>
      </c>
      <c r="D440" s="9" t="s">
        <v>38</v>
      </c>
      <c r="E440" s="9" t="s">
        <v>62</v>
      </c>
      <c r="F440" s="9">
        <v>0</v>
      </c>
      <c r="G440" s="9">
        <v>0</v>
      </c>
      <c r="H440" s="9">
        <v>0</v>
      </c>
      <c r="I440" s="9">
        <v>0</v>
      </c>
      <c r="J440" s="10">
        <v>45177</v>
      </c>
      <c r="K440" s="9" t="s">
        <v>44</v>
      </c>
      <c r="L440" s="9" t="s">
        <v>26</v>
      </c>
      <c r="M440" s="9">
        <v>853.25</v>
      </c>
    </row>
    <row r="441" spans="1:13" x14ac:dyDescent="0.35">
      <c r="A441" s="9">
        <v>2552</v>
      </c>
      <c r="B441" s="9" t="s">
        <v>28</v>
      </c>
      <c r="C441" s="9" t="s">
        <v>19</v>
      </c>
      <c r="D441" s="9" t="s">
        <v>39</v>
      </c>
      <c r="E441" s="9" t="s">
        <v>59</v>
      </c>
      <c r="F441" s="9">
        <v>1</v>
      </c>
      <c r="G441" s="9">
        <v>0</v>
      </c>
      <c r="H441" s="9">
        <v>0.41</v>
      </c>
      <c r="I441" s="9">
        <v>0</v>
      </c>
      <c r="J441" s="10">
        <v>45780</v>
      </c>
      <c r="K441" s="9" t="s">
        <v>44</v>
      </c>
      <c r="L441" s="9" t="s">
        <v>32</v>
      </c>
      <c r="M441" s="9">
        <v>3389.34</v>
      </c>
    </row>
    <row r="442" spans="1:13" x14ac:dyDescent="0.35">
      <c r="A442" s="9">
        <v>2554</v>
      </c>
      <c r="B442" s="9" t="s">
        <v>28</v>
      </c>
      <c r="C442" s="9" t="s">
        <v>18</v>
      </c>
      <c r="D442" s="9" t="s">
        <v>33</v>
      </c>
      <c r="E442" s="9" t="s">
        <v>59</v>
      </c>
      <c r="F442" s="9">
        <v>1</v>
      </c>
      <c r="G442" s="9">
        <v>6755.56</v>
      </c>
      <c r="H442" s="9">
        <v>0</v>
      </c>
      <c r="I442" s="9">
        <v>0</v>
      </c>
      <c r="J442" s="10">
        <v>45670</v>
      </c>
      <c r="K442" s="9" t="s">
        <v>44</v>
      </c>
      <c r="L442" s="9" t="s">
        <v>25</v>
      </c>
      <c r="M442" s="9">
        <v>1002.19</v>
      </c>
    </row>
    <row r="443" spans="1:13" x14ac:dyDescent="0.35">
      <c r="A443" s="9">
        <v>2555</v>
      </c>
      <c r="B443" s="9" t="s">
        <v>28</v>
      </c>
      <c r="C443" s="9" t="s">
        <v>22</v>
      </c>
      <c r="D443" s="9" t="s">
        <v>67</v>
      </c>
      <c r="E443" s="9" t="s">
        <v>59</v>
      </c>
      <c r="F443" s="9">
        <v>0</v>
      </c>
      <c r="G443" s="9">
        <v>2685.95</v>
      </c>
      <c r="H443" s="9">
        <v>0</v>
      </c>
      <c r="I443" s="9">
        <v>0</v>
      </c>
      <c r="J443" s="10">
        <v>45670</v>
      </c>
      <c r="K443" s="9" t="s">
        <v>44</v>
      </c>
      <c r="L443" s="9" t="s">
        <v>32</v>
      </c>
      <c r="M443" s="9">
        <v>3675.97</v>
      </c>
    </row>
    <row r="444" spans="1:13" x14ac:dyDescent="0.35">
      <c r="A444" s="9">
        <v>2556</v>
      </c>
      <c r="B444" s="9" t="s">
        <v>34</v>
      </c>
      <c r="C444" s="9" t="s">
        <v>21</v>
      </c>
      <c r="D444" s="9" t="s">
        <v>40</v>
      </c>
      <c r="E444" s="9" t="s">
        <v>59</v>
      </c>
      <c r="F444" s="9">
        <v>1</v>
      </c>
      <c r="G444" s="9">
        <v>0</v>
      </c>
      <c r="H444" s="9">
        <v>0</v>
      </c>
      <c r="I444" s="9">
        <v>0</v>
      </c>
      <c r="J444" s="10">
        <v>45670</v>
      </c>
      <c r="K444" s="9" t="s">
        <v>44</v>
      </c>
      <c r="L444" s="9" t="s">
        <v>27</v>
      </c>
      <c r="M444" s="9">
        <v>1327.26</v>
      </c>
    </row>
    <row r="445" spans="1:13" x14ac:dyDescent="0.35">
      <c r="A445" s="9">
        <v>2557</v>
      </c>
      <c r="B445" s="9" t="s">
        <v>31</v>
      </c>
      <c r="C445" s="9" t="s">
        <v>22</v>
      </c>
      <c r="D445" s="9" t="s">
        <v>30</v>
      </c>
      <c r="E445" s="9" t="s">
        <v>59</v>
      </c>
      <c r="F445" s="9">
        <v>3</v>
      </c>
      <c r="G445" s="9">
        <v>0</v>
      </c>
      <c r="H445" s="9">
        <v>0</v>
      </c>
      <c r="I445" s="9">
        <v>0</v>
      </c>
      <c r="J445" s="10">
        <v>45605</v>
      </c>
      <c r="K445" s="9" t="s">
        <v>44</v>
      </c>
      <c r="L445" s="9" t="s">
        <v>27</v>
      </c>
      <c r="M445" s="9">
        <v>1115.74</v>
      </c>
    </row>
    <row r="446" spans="1:13" x14ac:dyDescent="0.35">
      <c r="A446" s="9">
        <v>2558</v>
      </c>
      <c r="B446" s="9" t="s">
        <v>34</v>
      </c>
      <c r="C446" s="9" t="s">
        <v>22</v>
      </c>
      <c r="D446" s="9" t="s">
        <v>67</v>
      </c>
      <c r="E446" s="9" t="s">
        <v>60</v>
      </c>
      <c r="F446" s="9">
        <v>-1</v>
      </c>
      <c r="G446" s="9">
        <v>3134.87</v>
      </c>
      <c r="H446" s="9">
        <v>0</v>
      </c>
      <c r="I446" s="9">
        <v>0</v>
      </c>
      <c r="J446" s="10">
        <v>45605</v>
      </c>
      <c r="K446" s="9" t="s">
        <v>45</v>
      </c>
      <c r="L446" s="9" t="s">
        <v>26</v>
      </c>
      <c r="M446" s="9">
        <v>-1077.81</v>
      </c>
    </row>
    <row r="447" spans="1:13" x14ac:dyDescent="0.35">
      <c r="A447" s="9">
        <v>2559</v>
      </c>
      <c r="B447" s="9" t="s">
        <v>31</v>
      </c>
      <c r="C447" s="9" t="s">
        <v>21</v>
      </c>
      <c r="D447" s="9" t="s">
        <v>40</v>
      </c>
      <c r="E447" s="9" t="s">
        <v>59</v>
      </c>
      <c r="F447" s="9">
        <v>3</v>
      </c>
      <c r="G447" s="9">
        <v>6011.84</v>
      </c>
      <c r="H447" s="9">
        <v>0</v>
      </c>
      <c r="I447" s="9">
        <v>0</v>
      </c>
      <c r="J447" s="10">
        <v>45698</v>
      </c>
      <c r="K447" s="9" t="s">
        <v>45</v>
      </c>
      <c r="L447" s="9" t="s">
        <v>27</v>
      </c>
      <c r="M447" s="9">
        <v>-99.73</v>
      </c>
    </row>
    <row r="448" spans="1:13" x14ac:dyDescent="0.35">
      <c r="A448" s="9">
        <v>2560</v>
      </c>
      <c r="B448" s="9" t="s">
        <v>34</v>
      </c>
      <c r="C448" s="9" t="s">
        <v>22</v>
      </c>
      <c r="D448" s="9" t="s">
        <v>68</v>
      </c>
      <c r="E448" s="9" t="s">
        <v>59</v>
      </c>
      <c r="F448" s="9">
        <v>2</v>
      </c>
      <c r="G448" s="9">
        <v>0</v>
      </c>
      <c r="H448" s="9">
        <v>0</v>
      </c>
      <c r="I448" s="9">
        <v>0</v>
      </c>
      <c r="J448" s="10">
        <v>45673</v>
      </c>
      <c r="K448" s="9" t="s">
        <v>44</v>
      </c>
      <c r="L448" s="9" t="s">
        <v>29</v>
      </c>
      <c r="M448" s="9">
        <v>3493.16</v>
      </c>
    </row>
    <row r="449" spans="1:13" x14ac:dyDescent="0.35">
      <c r="A449" s="9">
        <v>2561</v>
      </c>
      <c r="B449" s="9" t="s">
        <v>28</v>
      </c>
      <c r="C449" s="9" t="s">
        <v>19</v>
      </c>
      <c r="D449" s="9" t="s">
        <v>42</v>
      </c>
      <c r="E449" s="9" t="s">
        <v>62</v>
      </c>
      <c r="F449" s="9">
        <v>0</v>
      </c>
      <c r="G449" s="9">
        <v>3642.21</v>
      </c>
      <c r="H449" s="9">
        <v>0</v>
      </c>
      <c r="I449" s="9">
        <v>0</v>
      </c>
      <c r="J449" s="10">
        <v>45376</v>
      </c>
      <c r="K449" s="9" t="s">
        <v>45</v>
      </c>
      <c r="L449" s="9" t="s">
        <v>25</v>
      </c>
      <c r="M449" s="9">
        <v>3900.7</v>
      </c>
    </row>
    <row r="450" spans="1:13" x14ac:dyDescent="0.35">
      <c r="A450" s="9">
        <v>2562</v>
      </c>
      <c r="B450" s="9" t="s">
        <v>34</v>
      </c>
      <c r="C450" s="9" t="s">
        <v>18</v>
      </c>
      <c r="D450" s="9" t="s">
        <v>38</v>
      </c>
      <c r="E450" s="9" t="s">
        <v>60</v>
      </c>
      <c r="F450" s="9">
        <v>1</v>
      </c>
      <c r="G450" s="9">
        <v>0</v>
      </c>
      <c r="H450" s="9">
        <v>0</v>
      </c>
      <c r="I450" s="9">
        <v>0</v>
      </c>
      <c r="J450" s="10">
        <v>45647</v>
      </c>
      <c r="K450" s="9" t="s">
        <v>44</v>
      </c>
      <c r="L450" s="9" t="s">
        <v>26</v>
      </c>
      <c r="M450" s="9">
        <v>-79.099999999999994</v>
      </c>
    </row>
    <row r="451" spans="1:13" x14ac:dyDescent="0.35">
      <c r="A451" s="9">
        <v>2563</v>
      </c>
      <c r="B451" s="9" t="s">
        <v>31</v>
      </c>
      <c r="C451" s="9" t="s">
        <v>19</v>
      </c>
      <c r="D451" s="9" t="s">
        <v>63</v>
      </c>
      <c r="E451" s="9" t="s">
        <v>59</v>
      </c>
      <c r="F451" s="9">
        <v>2</v>
      </c>
      <c r="G451" s="9">
        <v>9443.35</v>
      </c>
      <c r="H451" s="9">
        <v>0.54</v>
      </c>
      <c r="I451" s="9">
        <v>8687.8799999999992</v>
      </c>
      <c r="J451" s="10">
        <v>45760</v>
      </c>
      <c r="K451" s="9" t="s">
        <v>44</v>
      </c>
      <c r="L451" s="9" t="s">
        <v>27</v>
      </c>
      <c r="M451" s="9">
        <v>2706.61</v>
      </c>
    </row>
    <row r="452" spans="1:13" x14ac:dyDescent="0.35">
      <c r="A452" s="9">
        <v>2564</v>
      </c>
      <c r="B452" s="9" t="s">
        <v>28</v>
      </c>
      <c r="C452" s="9" t="s">
        <v>22</v>
      </c>
      <c r="D452" s="9" t="s">
        <v>30</v>
      </c>
      <c r="E452" s="9" t="s">
        <v>59</v>
      </c>
      <c r="F452" s="9">
        <v>0</v>
      </c>
      <c r="G452" s="9">
        <v>0</v>
      </c>
      <c r="H452" s="9">
        <v>0.72</v>
      </c>
      <c r="I452" s="9">
        <v>0</v>
      </c>
      <c r="J452" s="10">
        <v>45145</v>
      </c>
      <c r="K452" s="9" t="s">
        <v>45</v>
      </c>
      <c r="L452" s="9" t="s">
        <v>29</v>
      </c>
      <c r="M452" s="9">
        <v>1279.03</v>
      </c>
    </row>
    <row r="453" spans="1:13" x14ac:dyDescent="0.35">
      <c r="A453" s="9">
        <v>2565</v>
      </c>
      <c r="B453" s="9" t="s">
        <v>28</v>
      </c>
      <c r="C453" s="9" t="s">
        <v>21</v>
      </c>
      <c r="D453" s="9" t="s">
        <v>71</v>
      </c>
      <c r="E453" s="9" t="s">
        <v>62</v>
      </c>
      <c r="F453" s="9">
        <v>4</v>
      </c>
      <c r="G453" s="9">
        <v>3028.41</v>
      </c>
      <c r="H453" s="9">
        <v>0</v>
      </c>
      <c r="I453" s="9">
        <v>0</v>
      </c>
      <c r="J453" s="10">
        <v>45553</v>
      </c>
      <c r="K453" s="9" t="s">
        <v>45</v>
      </c>
      <c r="L453" s="9" t="s">
        <v>26</v>
      </c>
      <c r="M453" s="9">
        <v>1754.48</v>
      </c>
    </row>
    <row r="454" spans="1:13" x14ac:dyDescent="0.35">
      <c r="A454" s="9">
        <v>2567</v>
      </c>
      <c r="B454" s="9" t="s">
        <v>28</v>
      </c>
      <c r="C454" s="9" t="s">
        <v>20</v>
      </c>
      <c r="D454" s="9" t="s">
        <v>43</v>
      </c>
      <c r="E454" s="9" t="s">
        <v>59</v>
      </c>
      <c r="F454" s="9">
        <v>3</v>
      </c>
      <c r="G454" s="9">
        <v>0</v>
      </c>
      <c r="H454" s="9">
        <v>0</v>
      </c>
      <c r="I454" s="9">
        <v>0</v>
      </c>
      <c r="J454" s="10">
        <v>45550</v>
      </c>
      <c r="K454" s="9" t="s">
        <v>45</v>
      </c>
      <c r="L454" s="9" t="s">
        <v>35</v>
      </c>
      <c r="M454" s="9">
        <v>1162.3</v>
      </c>
    </row>
    <row r="455" spans="1:13" x14ac:dyDescent="0.35">
      <c r="A455" s="9">
        <v>2569</v>
      </c>
      <c r="B455" s="9" t="s">
        <v>28</v>
      </c>
      <c r="C455" s="9" t="s">
        <v>22</v>
      </c>
      <c r="D455" s="9" t="s">
        <v>65</v>
      </c>
      <c r="E455" s="9" t="s">
        <v>60</v>
      </c>
      <c r="F455" s="9">
        <v>2</v>
      </c>
      <c r="G455" s="9">
        <v>9605.11</v>
      </c>
      <c r="H455" s="9">
        <v>0.88</v>
      </c>
      <c r="I455" s="9">
        <v>2305.23</v>
      </c>
      <c r="J455" s="10">
        <v>45528</v>
      </c>
      <c r="K455" s="9" t="s">
        <v>45</v>
      </c>
      <c r="L455" s="9" t="s">
        <v>32</v>
      </c>
      <c r="M455" s="9">
        <v>128.88999999999999</v>
      </c>
    </row>
    <row r="456" spans="1:13" x14ac:dyDescent="0.35">
      <c r="A456" s="9">
        <v>2570</v>
      </c>
      <c r="B456" s="9" t="s">
        <v>31</v>
      </c>
      <c r="C456" s="9" t="s">
        <v>22</v>
      </c>
      <c r="D456" s="9" t="s">
        <v>65</v>
      </c>
      <c r="E456" s="9" t="s">
        <v>60</v>
      </c>
      <c r="F456" s="9">
        <v>0</v>
      </c>
      <c r="G456" s="9">
        <v>0</v>
      </c>
      <c r="H456" s="9">
        <v>0</v>
      </c>
      <c r="I456" s="9">
        <v>0</v>
      </c>
      <c r="J456" s="10">
        <v>45738</v>
      </c>
      <c r="K456" s="9" t="s">
        <v>45</v>
      </c>
      <c r="L456" s="9" t="s">
        <v>25</v>
      </c>
      <c r="M456" s="9">
        <v>2986.69</v>
      </c>
    </row>
    <row r="457" spans="1:13" x14ac:dyDescent="0.35">
      <c r="A457" s="9">
        <v>2571</v>
      </c>
      <c r="B457" s="9" t="s">
        <v>34</v>
      </c>
      <c r="C457" s="9" t="s">
        <v>19</v>
      </c>
      <c r="D457" s="9" t="s">
        <v>69</v>
      </c>
      <c r="E457" s="9" t="s">
        <v>59</v>
      </c>
      <c r="F457" s="9">
        <v>0</v>
      </c>
      <c r="G457" s="9">
        <v>4728.95</v>
      </c>
      <c r="H457" s="9">
        <v>0</v>
      </c>
      <c r="I457" s="9">
        <v>0</v>
      </c>
      <c r="J457" s="10">
        <v>45258</v>
      </c>
      <c r="K457" s="9" t="s">
        <v>44</v>
      </c>
      <c r="L457" s="9" t="s">
        <v>26</v>
      </c>
      <c r="M457" s="9">
        <v>276.98</v>
      </c>
    </row>
    <row r="458" spans="1:13" x14ac:dyDescent="0.35">
      <c r="A458" s="9">
        <v>2572</v>
      </c>
      <c r="B458" s="9" t="s">
        <v>31</v>
      </c>
      <c r="C458" s="9" t="s">
        <v>21</v>
      </c>
      <c r="D458" s="9" t="s">
        <v>64</v>
      </c>
      <c r="E458" s="9" t="s">
        <v>62</v>
      </c>
      <c r="F458" s="9">
        <v>-1</v>
      </c>
      <c r="G458" s="9">
        <v>2729.99</v>
      </c>
      <c r="H458" s="9">
        <v>0.76</v>
      </c>
      <c r="I458" s="9">
        <v>-655.20000000000005</v>
      </c>
      <c r="J458" s="10">
        <v>45322</v>
      </c>
      <c r="K458" s="9" t="s">
        <v>44</v>
      </c>
      <c r="L458" s="9" t="s">
        <v>35</v>
      </c>
      <c r="M458" s="9">
        <v>1204.81</v>
      </c>
    </row>
    <row r="459" spans="1:13" x14ac:dyDescent="0.35">
      <c r="A459" s="9">
        <v>2575</v>
      </c>
      <c r="B459" s="9" t="s">
        <v>31</v>
      </c>
      <c r="C459" s="9" t="s">
        <v>18</v>
      </c>
      <c r="D459" s="9" t="s">
        <v>41</v>
      </c>
      <c r="E459" s="9" t="s">
        <v>62</v>
      </c>
      <c r="F459" s="9">
        <v>2</v>
      </c>
      <c r="G459" s="9">
        <v>3582.67</v>
      </c>
      <c r="H459" s="9">
        <v>0</v>
      </c>
      <c r="I459" s="9">
        <v>0</v>
      </c>
      <c r="J459" s="10">
        <v>45841</v>
      </c>
      <c r="K459" s="9" t="s">
        <v>45</v>
      </c>
      <c r="L459" s="9" t="s">
        <v>32</v>
      </c>
      <c r="M459" s="9">
        <v>1982.16</v>
      </c>
    </row>
    <row r="460" spans="1:13" x14ac:dyDescent="0.35">
      <c r="A460" s="9">
        <v>2576</v>
      </c>
      <c r="B460" s="9" t="s">
        <v>34</v>
      </c>
      <c r="C460" s="9" t="s">
        <v>20</v>
      </c>
      <c r="D460" s="9" t="s">
        <v>70</v>
      </c>
      <c r="E460" s="9" t="s">
        <v>59</v>
      </c>
      <c r="F460" s="9">
        <v>0</v>
      </c>
      <c r="G460" s="9">
        <v>9134.77</v>
      </c>
      <c r="H460" s="9">
        <v>0</v>
      </c>
      <c r="I460" s="9">
        <v>0</v>
      </c>
      <c r="J460" s="10">
        <v>45661</v>
      </c>
      <c r="K460" s="9" t="s">
        <v>45</v>
      </c>
      <c r="L460" s="9" t="s">
        <v>35</v>
      </c>
      <c r="M460" s="9">
        <v>-427.11</v>
      </c>
    </row>
    <row r="461" spans="1:13" x14ac:dyDescent="0.35">
      <c r="A461" s="9">
        <v>2577</v>
      </c>
      <c r="B461" s="9" t="s">
        <v>28</v>
      </c>
      <c r="C461" s="9" t="s">
        <v>20</v>
      </c>
      <c r="D461" s="9" t="s">
        <v>43</v>
      </c>
      <c r="E461" s="9" t="s">
        <v>60</v>
      </c>
      <c r="F461" s="9">
        <v>-1</v>
      </c>
      <c r="G461" s="9">
        <v>5545.52</v>
      </c>
      <c r="H461" s="9">
        <v>0</v>
      </c>
      <c r="I461" s="9">
        <v>0</v>
      </c>
      <c r="J461" s="10">
        <v>45246</v>
      </c>
      <c r="K461" s="9" t="s">
        <v>44</v>
      </c>
      <c r="L461" s="9" t="s">
        <v>26</v>
      </c>
      <c r="M461" s="9">
        <v>1185.56</v>
      </c>
    </row>
    <row r="462" spans="1:13" x14ac:dyDescent="0.35">
      <c r="A462" s="9">
        <v>2578</v>
      </c>
      <c r="B462" s="9" t="s">
        <v>31</v>
      </c>
      <c r="C462" s="9" t="s">
        <v>21</v>
      </c>
      <c r="D462" s="9" t="s">
        <v>36</v>
      </c>
      <c r="E462" s="9" t="s">
        <v>59</v>
      </c>
      <c r="F462" s="9">
        <v>2</v>
      </c>
      <c r="G462" s="9">
        <v>0</v>
      </c>
      <c r="H462" s="9">
        <v>0</v>
      </c>
      <c r="I462" s="9">
        <v>0</v>
      </c>
      <c r="J462" s="10">
        <v>45787</v>
      </c>
      <c r="K462" s="9" t="s">
        <v>44</v>
      </c>
      <c r="L462" s="9" t="s">
        <v>25</v>
      </c>
      <c r="M462" s="9">
        <v>3550</v>
      </c>
    </row>
    <row r="463" spans="1:13" x14ac:dyDescent="0.35">
      <c r="A463" s="9">
        <v>2579</v>
      </c>
      <c r="B463" s="9" t="s">
        <v>34</v>
      </c>
      <c r="C463" s="9" t="s">
        <v>21</v>
      </c>
      <c r="D463" s="9" t="s">
        <v>71</v>
      </c>
      <c r="E463" s="9" t="s">
        <v>59</v>
      </c>
      <c r="F463" s="9">
        <v>3</v>
      </c>
      <c r="G463" s="9">
        <v>9541.83</v>
      </c>
      <c r="H463" s="9">
        <v>0</v>
      </c>
      <c r="I463" s="9">
        <v>0</v>
      </c>
      <c r="J463" s="10">
        <v>45499</v>
      </c>
      <c r="K463" s="9" t="s">
        <v>45</v>
      </c>
      <c r="L463" s="9" t="s">
        <v>29</v>
      </c>
      <c r="M463" s="9">
        <v>589.29999999999995</v>
      </c>
    </row>
    <row r="464" spans="1:13" x14ac:dyDescent="0.35">
      <c r="A464" s="9">
        <v>2580</v>
      </c>
      <c r="B464" s="9" t="s">
        <v>34</v>
      </c>
      <c r="C464" s="9" t="s">
        <v>18</v>
      </c>
      <c r="D464" s="9" t="s">
        <v>33</v>
      </c>
      <c r="E464" s="9" t="s">
        <v>59</v>
      </c>
      <c r="F464" s="9">
        <v>1</v>
      </c>
      <c r="G464" s="9">
        <v>2749.79</v>
      </c>
      <c r="H464" s="9">
        <v>0</v>
      </c>
      <c r="I464" s="9">
        <v>0</v>
      </c>
      <c r="J464" s="10">
        <v>45632</v>
      </c>
      <c r="K464" s="9" t="s">
        <v>44</v>
      </c>
      <c r="L464" s="9" t="s">
        <v>27</v>
      </c>
      <c r="M464" s="9">
        <v>2978.85</v>
      </c>
    </row>
    <row r="465" spans="1:13" x14ac:dyDescent="0.35">
      <c r="A465" s="9">
        <v>2581</v>
      </c>
      <c r="B465" s="9" t="s">
        <v>34</v>
      </c>
      <c r="C465" s="9" t="s">
        <v>20</v>
      </c>
      <c r="D465" s="9" t="s">
        <v>66</v>
      </c>
      <c r="E465" s="9" t="s">
        <v>59</v>
      </c>
      <c r="F465" s="9">
        <v>0</v>
      </c>
      <c r="G465" s="9">
        <v>0</v>
      </c>
      <c r="H465" s="9">
        <v>0.53</v>
      </c>
      <c r="I465" s="9">
        <v>0</v>
      </c>
      <c r="J465" s="10">
        <v>45595</v>
      </c>
      <c r="K465" s="9" t="s">
        <v>45</v>
      </c>
      <c r="L465" s="9" t="s">
        <v>26</v>
      </c>
      <c r="M465" s="9">
        <v>800.45</v>
      </c>
    </row>
    <row r="466" spans="1:13" x14ac:dyDescent="0.35">
      <c r="A466" s="9">
        <v>2582</v>
      </c>
      <c r="B466" s="9" t="s">
        <v>31</v>
      </c>
      <c r="C466" s="9" t="s">
        <v>18</v>
      </c>
      <c r="D466" s="9" t="s">
        <v>41</v>
      </c>
      <c r="E466" s="9" t="s">
        <v>59</v>
      </c>
      <c r="F466" s="9">
        <v>0</v>
      </c>
      <c r="G466" s="9">
        <v>0</v>
      </c>
      <c r="H466" s="9">
        <v>0</v>
      </c>
      <c r="I466" s="9">
        <v>0</v>
      </c>
      <c r="J466" s="10">
        <v>45595</v>
      </c>
      <c r="K466" s="9" t="s">
        <v>45</v>
      </c>
      <c r="L466" s="9" t="s">
        <v>27</v>
      </c>
      <c r="M466" s="9">
        <v>909.76</v>
      </c>
    </row>
    <row r="467" spans="1:13" x14ac:dyDescent="0.35">
      <c r="A467" s="9">
        <v>2583</v>
      </c>
      <c r="B467" s="9" t="s">
        <v>31</v>
      </c>
      <c r="C467" s="9" t="s">
        <v>19</v>
      </c>
      <c r="D467" s="9" t="s">
        <v>42</v>
      </c>
      <c r="E467" s="9" t="s">
        <v>59</v>
      </c>
      <c r="F467" s="9">
        <v>0</v>
      </c>
      <c r="G467" s="9">
        <v>0</v>
      </c>
      <c r="H467" s="9">
        <v>0</v>
      </c>
      <c r="I467" s="9">
        <v>0</v>
      </c>
      <c r="J467" s="10">
        <v>45538</v>
      </c>
      <c r="K467" s="9" t="s">
        <v>44</v>
      </c>
      <c r="L467" s="9" t="s">
        <v>26</v>
      </c>
      <c r="M467" s="9">
        <v>3051.16</v>
      </c>
    </row>
    <row r="468" spans="1:13" x14ac:dyDescent="0.35">
      <c r="A468" s="9">
        <v>2584</v>
      </c>
      <c r="B468" s="9" t="s">
        <v>34</v>
      </c>
      <c r="C468" s="9" t="s">
        <v>20</v>
      </c>
      <c r="D468" s="9" t="s">
        <v>61</v>
      </c>
      <c r="E468" s="9" t="s">
        <v>59</v>
      </c>
      <c r="F468" s="9">
        <v>0</v>
      </c>
      <c r="G468" s="9">
        <v>0</v>
      </c>
      <c r="H468" s="9">
        <v>0</v>
      </c>
      <c r="I468" s="9">
        <v>0</v>
      </c>
      <c r="J468" s="10">
        <v>45538</v>
      </c>
      <c r="K468" s="9" t="s">
        <v>44</v>
      </c>
      <c r="L468" s="9" t="s">
        <v>32</v>
      </c>
      <c r="M468" s="9">
        <v>-123.93</v>
      </c>
    </row>
    <row r="469" spans="1:13" x14ac:dyDescent="0.35">
      <c r="A469" s="9">
        <v>2586</v>
      </c>
      <c r="B469" s="9" t="s">
        <v>31</v>
      </c>
      <c r="C469" s="9" t="s">
        <v>20</v>
      </c>
      <c r="D469" s="9" t="s">
        <v>43</v>
      </c>
      <c r="E469" s="9" t="s">
        <v>60</v>
      </c>
      <c r="F469" s="9">
        <v>0</v>
      </c>
      <c r="G469" s="9">
        <v>0</v>
      </c>
      <c r="H469" s="9">
        <v>0.99</v>
      </c>
      <c r="I469" s="9">
        <v>0</v>
      </c>
      <c r="J469" s="10">
        <v>45620</v>
      </c>
      <c r="K469" s="9" t="s">
        <v>45</v>
      </c>
      <c r="L469" s="9" t="s">
        <v>26</v>
      </c>
      <c r="M469" s="9">
        <v>1146.73</v>
      </c>
    </row>
    <row r="470" spans="1:13" x14ac:dyDescent="0.35">
      <c r="A470" s="9">
        <v>2587</v>
      </c>
      <c r="B470" s="9" t="s">
        <v>28</v>
      </c>
      <c r="C470" s="9" t="s">
        <v>20</v>
      </c>
      <c r="D470" s="9" t="s">
        <v>61</v>
      </c>
      <c r="E470" s="9" t="s">
        <v>59</v>
      </c>
      <c r="F470" s="9">
        <v>4</v>
      </c>
      <c r="G470" s="9">
        <v>0</v>
      </c>
      <c r="H470" s="9">
        <v>0.37</v>
      </c>
      <c r="I470" s="9">
        <v>0</v>
      </c>
      <c r="J470" s="10">
        <v>45620</v>
      </c>
      <c r="K470" s="9" t="s">
        <v>45</v>
      </c>
      <c r="L470" s="9" t="s">
        <v>25</v>
      </c>
      <c r="M470" s="9">
        <v>-480.01</v>
      </c>
    </row>
    <row r="471" spans="1:13" x14ac:dyDescent="0.35">
      <c r="A471" s="9">
        <v>2588</v>
      </c>
      <c r="B471" s="9" t="s">
        <v>34</v>
      </c>
      <c r="C471" s="9" t="s">
        <v>22</v>
      </c>
      <c r="D471" s="9" t="s">
        <v>30</v>
      </c>
      <c r="E471" s="9" t="s">
        <v>59</v>
      </c>
      <c r="F471" s="9">
        <v>0</v>
      </c>
      <c r="G471" s="9">
        <v>0</v>
      </c>
      <c r="H471" s="9">
        <v>0</v>
      </c>
      <c r="I471" s="9">
        <v>0</v>
      </c>
      <c r="J471" s="10">
        <v>45857</v>
      </c>
      <c r="K471" s="9" t="s">
        <v>45</v>
      </c>
      <c r="L471" s="9" t="s">
        <v>35</v>
      </c>
      <c r="M471" s="9">
        <v>2861.32</v>
      </c>
    </row>
    <row r="472" spans="1:13" x14ac:dyDescent="0.35">
      <c r="A472" s="9">
        <v>2589</v>
      </c>
      <c r="B472" s="9" t="s">
        <v>31</v>
      </c>
      <c r="C472" s="9" t="s">
        <v>18</v>
      </c>
      <c r="D472" s="9" t="s">
        <v>41</v>
      </c>
      <c r="E472" s="9" t="s">
        <v>59</v>
      </c>
      <c r="F472" s="9">
        <v>3</v>
      </c>
      <c r="G472" s="9">
        <v>0</v>
      </c>
      <c r="H472" s="9">
        <v>0</v>
      </c>
      <c r="I472" s="9">
        <v>0</v>
      </c>
      <c r="J472" s="10">
        <v>45552</v>
      </c>
      <c r="K472" s="9" t="s">
        <v>45</v>
      </c>
      <c r="L472" s="9" t="s">
        <v>27</v>
      </c>
      <c r="M472" s="9">
        <v>1429.18</v>
      </c>
    </row>
    <row r="473" spans="1:13" x14ac:dyDescent="0.35">
      <c r="A473" s="9">
        <v>2590</v>
      </c>
      <c r="B473" s="9" t="s">
        <v>31</v>
      </c>
      <c r="C473" s="9" t="s">
        <v>19</v>
      </c>
      <c r="D473" s="9" t="s">
        <v>39</v>
      </c>
      <c r="E473" s="9" t="s">
        <v>62</v>
      </c>
      <c r="F473" s="9">
        <v>0</v>
      </c>
      <c r="G473" s="9">
        <v>0</v>
      </c>
      <c r="H473" s="9">
        <v>0</v>
      </c>
      <c r="I473" s="9">
        <v>0</v>
      </c>
      <c r="J473" s="10">
        <v>45552</v>
      </c>
      <c r="K473" s="9" t="s">
        <v>44</v>
      </c>
      <c r="L473" s="9" t="s">
        <v>25</v>
      </c>
      <c r="M473" s="9">
        <v>1766.46</v>
      </c>
    </row>
    <row r="474" spans="1:13" x14ac:dyDescent="0.35">
      <c r="A474" s="9">
        <v>2592</v>
      </c>
      <c r="B474" s="9" t="s">
        <v>28</v>
      </c>
      <c r="C474" s="9" t="s">
        <v>21</v>
      </c>
      <c r="D474" s="9" t="s">
        <v>36</v>
      </c>
      <c r="E474" s="9" t="s">
        <v>59</v>
      </c>
      <c r="F474" s="9">
        <v>0</v>
      </c>
      <c r="G474" s="9">
        <v>0</v>
      </c>
      <c r="H474" s="9">
        <v>0</v>
      </c>
      <c r="I474" s="9">
        <v>0</v>
      </c>
      <c r="J474" s="10">
        <v>45578</v>
      </c>
      <c r="K474" s="9" t="s">
        <v>44</v>
      </c>
      <c r="L474" s="9" t="s">
        <v>26</v>
      </c>
      <c r="M474" s="9">
        <v>-907.48</v>
      </c>
    </row>
    <row r="475" spans="1:13" x14ac:dyDescent="0.35">
      <c r="A475" s="9">
        <v>2593</v>
      </c>
      <c r="B475" s="9" t="s">
        <v>31</v>
      </c>
      <c r="C475" s="9" t="s">
        <v>21</v>
      </c>
      <c r="D475" s="9" t="s">
        <v>71</v>
      </c>
      <c r="E475" s="9" t="s">
        <v>60</v>
      </c>
      <c r="F475" s="9">
        <v>0</v>
      </c>
      <c r="G475" s="9">
        <v>8747.18</v>
      </c>
      <c r="H475" s="9">
        <v>0</v>
      </c>
      <c r="I475" s="9">
        <v>0</v>
      </c>
      <c r="J475" s="10">
        <v>45661</v>
      </c>
      <c r="K475" s="9" t="s">
        <v>44</v>
      </c>
      <c r="L475" s="9" t="s">
        <v>26</v>
      </c>
      <c r="M475" s="9">
        <v>2505.6</v>
      </c>
    </row>
    <row r="476" spans="1:13" x14ac:dyDescent="0.35">
      <c r="A476" s="9">
        <v>2594</v>
      </c>
      <c r="B476" s="9" t="s">
        <v>28</v>
      </c>
      <c r="C476" s="9" t="s">
        <v>18</v>
      </c>
      <c r="D476" s="9" t="s">
        <v>38</v>
      </c>
      <c r="E476" s="9" t="s">
        <v>62</v>
      </c>
      <c r="F476" s="9">
        <v>3</v>
      </c>
      <c r="G476" s="9">
        <v>7944.34</v>
      </c>
      <c r="H476" s="9">
        <v>0.67</v>
      </c>
      <c r="I476" s="9">
        <v>7864.9</v>
      </c>
      <c r="J476" s="10">
        <v>45345</v>
      </c>
      <c r="K476" s="9" t="s">
        <v>44</v>
      </c>
      <c r="L476" s="9" t="s">
        <v>32</v>
      </c>
      <c r="M476" s="9">
        <v>1534.91</v>
      </c>
    </row>
    <row r="477" spans="1:13" x14ac:dyDescent="0.35">
      <c r="A477" s="9">
        <v>2595</v>
      </c>
      <c r="B477" s="9" t="s">
        <v>31</v>
      </c>
      <c r="C477" s="9" t="s">
        <v>22</v>
      </c>
      <c r="D477" s="9" t="s">
        <v>30</v>
      </c>
      <c r="E477" s="9" t="s">
        <v>62</v>
      </c>
      <c r="F477" s="9">
        <v>0</v>
      </c>
      <c r="G477" s="9">
        <v>0</v>
      </c>
      <c r="H477" s="9">
        <v>0</v>
      </c>
      <c r="I477" s="9">
        <v>0</v>
      </c>
      <c r="J477" s="10">
        <v>45345</v>
      </c>
      <c r="K477" s="9" t="s">
        <v>44</v>
      </c>
      <c r="L477" s="9" t="s">
        <v>29</v>
      </c>
      <c r="M477" s="9">
        <v>420.27</v>
      </c>
    </row>
    <row r="478" spans="1:13" x14ac:dyDescent="0.35">
      <c r="A478" s="9">
        <v>2030</v>
      </c>
      <c r="B478" s="9" t="s">
        <v>31</v>
      </c>
      <c r="C478" s="9" t="s">
        <v>19</v>
      </c>
      <c r="D478" s="9" t="s">
        <v>63</v>
      </c>
      <c r="E478" s="9" t="s">
        <v>59</v>
      </c>
      <c r="F478" s="9">
        <v>-1</v>
      </c>
      <c r="G478" s="9">
        <v>0</v>
      </c>
      <c r="H478" s="9">
        <v>0.7</v>
      </c>
      <c r="I478" s="9">
        <v>0</v>
      </c>
      <c r="J478" s="10">
        <v>45731</v>
      </c>
      <c r="K478" s="9" t="s">
        <v>45</v>
      </c>
      <c r="L478" s="9" t="s">
        <v>35</v>
      </c>
      <c r="M478" s="9">
        <v>-1193.55</v>
      </c>
    </row>
    <row r="479" spans="1:13" x14ac:dyDescent="0.35">
      <c r="A479" s="9">
        <v>2598</v>
      </c>
      <c r="B479" s="9" t="s">
        <v>28</v>
      </c>
      <c r="C479" s="9" t="s">
        <v>18</v>
      </c>
      <c r="D479" s="9" t="s">
        <v>41</v>
      </c>
      <c r="E479" s="9" t="s">
        <v>59</v>
      </c>
      <c r="F479" s="9">
        <v>0</v>
      </c>
      <c r="G479" s="9">
        <v>9488.84</v>
      </c>
      <c r="H479" s="9">
        <v>0</v>
      </c>
      <c r="I479" s="9">
        <v>0</v>
      </c>
      <c r="J479" s="10">
        <v>45632</v>
      </c>
      <c r="K479" s="9" t="s">
        <v>44</v>
      </c>
      <c r="L479" s="9" t="s">
        <v>25</v>
      </c>
      <c r="M479" s="9">
        <v>3505.24</v>
      </c>
    </row>
    <row r="480" spans="1:13" x14ac:dyDescent="0.35">
      <c r="A480" s="9">
        <v>2599</v>
      </c>
      <c r="B480" s="9" t="s">
        <v>34</v>
      </c>
      <c r="C480" s="9" t="s">
        <v>18</v>
      </c>
      <c r="D480" s="9" t="s">
        <v>33</v>
      </c>
      <c r="E480" s="9" t="s">
        <v>59</v>
      </c>
      <c r="F480" s="9">
        <v>4</v>
      </c>
      <c r="G480" s="9">
        <v>0</v>
      </c>
      <c r="H480" s="9">
        <v>0</v>
      </c>
      <c r="I480" s="9">
        <v>0</v>
      </c>
      <c r="J480" s="10">
        <v>45632</v>
      </c>
      <c r="K480" s="9" t="s">
        <v>44</v>
      </c>
      <c r="L480" s="9" t="s">
        <v>32</v>
      </c>
      <c r="M480" s="9">
        <v>-562.30999999999995</v>
      </c>
    </row>
    <row r="481" spans="1:13" x14ac:dyDescent="0.35">
      <c r="A481" s="9">
        <v>2600</v>
      </c>
      <c r="B481" s="9" t="s">
        <v>34</v>
      </c>
      <c r="C481" s="9" t="s">
        <v>21</v>
      </c>
      <c r="D481" s="9" t="s">
        <v>40</v>
      </c>
      <c r="E481" s="9" t="s">
        <v>59</v>
      </c>
      <c r="F481" s="9">
        <v>3</v>
      </c>
      <c r="G481" s="9">
        <v>0</v>
      </c>
      <c r="H481" s="9">
        <v>0</v>
      </c>
      <c r="I481" s="9">
        <v>0</v>
      </c>
      <c r="J481" s="10">
        <v>45600</v>
      </c>
      <c r="K481" s="9" t="s">
        <v>45</v>
      </c>
      <c r="L481" s="9" t="s">
        <v>35</v>
      </c>
      <c r="M481" s="9">
        <v>803.62</v>
      </c>
    </row>
    <row r="482" spans="1:13" x14ac:dyDescent="0.35">
      <c r="A482" s="9">
        <v>2601</v>
      </c>
      <c r="B482" s="9" t="s">
        <v>28</v>
      </c>
      <c r="C482" s="9" t="s">
        <v>19</v>
      </c>
      <c r="D482" s="9" t="s">
        <v>42</v>
      </c>
      <c r="E482" s="9" t="s">
        <v>62</v>
      </c>
      <c r="F482" s="9">
        <v>1</v>
      </c>
      <c r="G482" s="9">
        <v>0</v>
      </c>
      <c r="H482" s="9">
        <v>0</v>
      </c>
      <c r="I482" s="9">
        <v>0</v>
      </c>
      <c r="J482" s="10">
        <v>45562</v>
      </c>
      <c r="K482" s="9" t="s">
        <v>44</v>
      </c>
      <c r="L482" s="9" t="s">
        <v>29</v>
      </c>
      <c r="M482" s="9">
        <v>3739.4</v>
      </c>
    </row>
    <row r="483" spans="1:13" x14ac:dyDescent="0.35">
      <c r="A483" s="9">
        <v>2602</v>
      </c>
      <c r="B483" s="9" t="s">
        <v>34</v>
      </c>
      <c r="C483" s="9" t="s">
        <v>20</v>
      </c>
      <c r="D483" s="9" t="s">
        <v>66</v>
      </c>
      <c r="E483" s="9" t="s">
        <v>62</v>
      </c>
      <c r="F483" s="9">
        <v>2</v>
      </c>
      <c r="G483" s="9">
        <v>3518.53</v>
      </c>
      <c r="H483" s="9">
        <v>0</v>
      </c>
      <c r="I483" s="9">
        <v>0</v>
      </c>
      <c r="J483" s="10">
        <v>45613</v>
      </c>
      <c r="K483" s="9" t="s">
        <v>45</v>
      </c>
      <c r="L483" s="9" t="s">
        <v>35</v>
      </c>
      <c r="M483" s="9">
        <v>3494.88</v>
      </c>
    </row>
    <row r="484" spans="1:13" x14ac:dyDescent="0.35">
      <c r="A484" s="9">
        <v>2603</v>
      </c>
      <c r="B484" s="9" t="s">
        <v>28</v>
      </c>
      <c r="C484" s="9" t="s">
        <v>20</v>
      </c>
      <c r="D484" s="9" t="s">
        <v>43</v>
      </c>
      <c r="E484" s="9" t="s">
        <v>60</v>
      </c>
      <c r="F484" s="9">
        <v>0</v>
      </c>
      <c r="G484" s="9">
        <v>0</v>
      </c>
      <c r="H484" s="9">
        <v>0</v>
      </c>
      <c r="I484" s="9">
        <v>0</v>
      </c>
      <c r="J484" s="10">
        <v>45734</v>
      </c>
      <c r="K484" s="9" t="s">
        <v>45</v>
      </c>
      <c r="L484" s="9" t="s">
        <v>32</v>
      </c>
      <c r="M484" s="9">
        <v>-144.08000000000001</v>
      </c>
    </row>
    <row r="485" spans="1:13" x14ac:dyDescent="0.35">
      <c r="A485" s="9">
        <v>2606</v>
      </c>
      <c r="B485" s="9" t="s">
        <v>28</v>
      </c>
      <c r="C485" s="9" t="s">
        <v>21</v>
      </c>
      <c r="D485" s="9" t="s">
        <v>40</v>
      </c>
      <c r="E485" s="9" t="s">
        <v>60</v>
      </c>
      <c r="F485" s="9">
        <v>0</v>
      </c>
      <c r="G485" s="9">
        <v>4040.65</v>
      </c>
      <c r="H485" s="9">
        <v>0</v>
      </c>
      <c r="I485" s="9">
        <v>0</v>
      </c>
      <c r="J485" s="10">
        <v>45812</v>
      </c>
      <c r="K485" s="9" t="s">
        <v>44</v>
      </c>
      <c r="L485" s="9" t="s">
        <v>26</v>
      </c>
      <c r="M485" s="9">
        <v>805.92</v>
      </c>
    </row>
    <row r="486" spans="1:13" x14ac:dyDescent="0.35">
      <c r="A486" s="9">
        <v>2608</v>
      </c>
      <c r="B486" s="9" t="s">
        <v>28</v>
      </c>
      <c r="C486" s="9" t="s">
        <v>21</v>
      </c>
      <c r="D486" s="9" t="s">
        <v>64</v>
      </c>
      <c r="E486" s="9" t="s">
        <v>60</v>
      </c>
      <c r="F486" s="9">
        <v>2</v>
      </c>
      <c r="G486" s="9">
        <v>0</v>
      </c>
      <c r="H486" s="9">
        <v>0</v>
      </c>
      <c r="I486" s="9">
        <v>0</v>
      </c>
      <c r="J486" s="10">
        <v>45812</v>
      </c>
      <c r="K486" s="9" t="s">
        <v>45</v>
      </c>
      <c r="L486" s="9" t="s">
        <v>27</v>
      </c>
      <c r="M486" s="9">
        <v>354.67</v>
      </c>
    </row>
    <row r="487" spans="1:13" x14ac:dyDescent="0.35">
      <c r="A487" s="9">
        <v>2609</v>
      </c>
      <c r="B487" s="9" t="s">
        <v>34</v>
      </c>
      <c r="C487" s="9" t="s">
        <v>19</v>
      </c>
      <c r="D487" s="9" t="s">
        <v>39</v>
      </c>
      <c r="E487" s="9" t="s">
        <v>59</v>
      </c>
      <c r="F487" s="9">
        <v>0</v>
      </c>
      <c r="G487" s="9">
        <v>9649.2800000000007</v>
      </c>
      <c r="H487" s="9">
        <v>0</v>
      </c>
      <c r="I487" s="9">
        <v>0</v>
      </c>
      <c r="J487" s="10">
        <v>45773</v>
      </c>
      <c r="K487" s="9" t="s">
        <v>45</v>
      </c>
      <c r="L487" s="9" t="s">
        <v>25</v>
      </c>
      <c r="M487" s="9">
        <v>2712.88</v>
      </c>
    </row>
    <row r="488" spans="1:13" x14ac:dyDescent="0.35">
      <c r="A488" s="9">
        <v>2610</v>
      </c>
      <c r="B488" s="9" t="s">
        <v>28</v>
      </c>
      <c r="C488" s="9" t="s">
        <v>21</v>
      </c>
      <c r="D488" s="9" t="s">
        <v>36</v>
      </c>
      <c r="E488" s="9" t="s">
        <v>59</v>
      </c>
      <c r="F488" s="9">
        <v>0</v>
      </c>
      <c r="G488" s="9">
        <v>8359.07</v>
      </c>
      <c r="H488" s="9">
        <v>0</v>
      </c>
      <c r="I488" s="9">
        <v>0</v>
      </c>
      <c r="J488" s="10">
        <v>45783</v>
      </c>
      <c r="K488" s="9" t="s">
        <v>45</v>
      </c>
      <c r="L488" s="9" t="s">
        <v>25</v>
      </c>
      <c r="M488" s="9">
        <v>167.72</v>
      </c>
    </row>
    <row r="489" spans="1:13" x14ac:dyDescent="0.35">
      <c r="A489" s="9">
        <v>2033</v>
      </c>
      <c r="B489" s="9" t="s">
        <v>34</v>
      </c>
      <c r="C489" s="9" t="s">
        <v>19</v>
      </c>
      <c r="D489" s="9" t="s">
        <v>63</v>
      </c>
      <c r="E489" s="9" t="s">
        <v>59</v>
      </c>
      <c r="F489" s="9">
        <v>4</v>
      </c>
      <c r="G489" s="9">
        <v>0</v>
      </c>
      <c r="H489" s="9">
        <v>0</v>
      </c>
      <c r="I489" s="9">
        <v>0</v>
      </c>
      <c r="J489" s="10">
        <v>45783</v>
      </c>
      <c r="K489" s="9" t="s">
        <v>44</v>
      </c>
      <c r="L489" s="9" t="s">
        <v>35</v>
      </c>
      <c r="M489" s="9">
        <v>2310.9</v>
      </c>
    </row>
    <row r="490" spans="1:13" x14ac:dyDescent="0.35">
      <c r="A490" s="9">
        <v>2612</v>
      </c>
      <c r="B490" s="9" t="s">
        <v>28</v>
      </c>
      <c r="C490" s="9" t="s">
        <v>18</v>
      </c>
      <c r="D490" s="9" t="s">
        <v>33</v>
      </c>
      <c r="E490" s="9" t="s">
        <v>59</v>
      </c>
      <c r="F490" s="9">
        <v>0</v>
      </c>
      <c r="G490" s="9">
        <v>0</v>
      </c>
      <c r="H490" s="9">
        <v>0</v>
      </c>
      <c r="I490" s="9">
        <v>0</v>
      </c>
      <c r="J490" s="10">
        <v>45148</v>
      </c>
      <c r="K490" s="9" t="s">
        <v>44</v>
      </c>
      <c r="L490" s="9" t="s">
        <v>26</v>
      </c>
      <c r="M490" s="9">
        <v>507.1</v>
      </c>
    </row>
    <row r="491" spans="1:13" x14ac:dyDescent="0.35">
      <c r="A491" s="9">
        <v>2613</v>
      </c>
      <c r="B491" s="9" t="s">
        <v>28</v>
      </c>
      <c r="C491" s="9" t="s">
        <v>21</v>
      </c>
      <c r="D491" s="9" t="s">
        <v>64</v>
      </c>
      <c r="E491" s="9" t="s">
        <v>59</v>
      </c>
      <c r="F491" s="9">
        <v>3</v>
      </c>
      <c r="G491" s="9">
        <v>4374.83</v>
      </c>
      <c r="H491" s="9">
        <v>0.27</v>
      </c>
      <c r="I491" s="9">
        <v>9580.8799999999992</v>
      </c>
      <c r="J491" s="10">
        <v>45148</v>
      </c>
      <c r="K491" s="9" t="s">
        <v>44</v>
      </c>
      <c r="L491" s="9" t="s">
        <v>29</v>
      </c>
      <c r="M491" s="9">
        <v>1473.37</v>
      </c>
    </row>
    <row r="492" spans="1:13" x14ac:dyDescent="0.35">
      <c r="A492" s="9">
        <v>2614</v>
      </c>
      <c r="B492" s="9" t="s">
        <v>28</v>
      </c>
      <c r="C492" s="9" t="s">
        <v>20</v>
      </c>
      <c r="D492" s="9" t="s">
        <v>61</v>
      </c>
      <c r="E492" s="9" t="s">
        <v>62</v>
      </c>
      <c r="F492" s="9">
        <v>0</v>
      </c>
      <c r="G492" s="9">
        <v>2265</v>
      </c>
      <c r="H492" s="9">
        <v>0</v>
      </c>
      <c r="I492" s="9">
        <v>0</v>
      </c>
      <c r="J492" s="10">
        <v>45509</v>
      </c>
      <c r="K492" s="9" t="s">
        <v>44</v>
      </c>
      <c r="L492" s="9" t="s">
        <v>25</v>
      </c>
      <c r="M492" s="9">
        <v>2095.44</v>
      </c>
    </row>
    <row r="493" spans="1:13" x14ac:dyDescent="0.35">
      <c r="A493" s="9">
        <v>2615</v>
      </c>
      <c r="B493" s="9" t="s">
        <v>28</v>
      </c>
      <c r="C493" s="9" t="s">
        <v>19</v>
      </c>
      <c r="D493" s="9" t="s">
        <v>69</v>
      </c>
      <c r="E493" s="9" t="s">
        <v>62</v>
      </c>
      <c r="F493" s="9">
        <v>3</v>
      </c>
      <c r="G493" s="9">
        <v>3042.37</v>
      </c>
      <c r="H493" s="9">
        <v>0.12</v>
      </c>
      <c r="I493" s="9">
        <v>8031.86</v>
      </c>
      <c r="J493" s="10">
        <v>45740</v>
      </c>
      <c r="K493" s="9" t="s">
        <v>45</v>
      </c>
      <c r="L493" s="9" t="s">
        <v>35</v>
      </c>
      <c r="M493" s="9">
        <v>2105.48</v>
      </c>
    </row>
    <row r="494" spans="1:13" x14ac:dyDescent="0.35">
      <c r="A494" s="9">
        <v>2616</v>
      </c>
      <c r="B494" s="9" t="s">
        <v>31</v>
      </c>
      <c r="C494" s="9" t="s">
        <v>21</v>
      </c>
      <c r="D494" s="9" t="s">
        <v>64</v>
      </c>
      <c r="E494" s="9" t="s">
        <v>62</v>
      </c>
      <c r="F494" s="9">
        <v>0</v>
      </c>
      <c r="G494" s="9">
        <v>0</v>
      </c>
      <c r="H494" s="9">
        <v>0.2</v>
      </c>
      <c r="I494" s="9">
        <v>0</v>
      </c>
      <c r="J494" s="10">
        <v>45450</v>
      </c>
      <c r="K494" s="9" t="s">
        <v>45</v>
      </c>
      <c r="L494" s="9" t="s">
        <v>27</v>
      </c>
      <c r="M494" s="9">
        <v>2788.41</v>
      </c>
    </row>
    <row r="495" spans="1:13" x14ac:dyDescent="0.35">
      <c r="A495" s="9">
        <v>2617</v>
      </c>
      <c r="B495" s="9" t="s">
        <v>34</v>
      </c>
      <c r="C495" s="9" t="s">
        <v>19</v>
      </c>
      <c r="D495" s="9" t="s">
        <v>39</v>
      </c>
      <c r="E495" s="9" t="s">
        <v>62</v>
      </c>
      <c r="F495" s="9">
        <v>0</v>
      </c>
      <c r="G495" s="9">
        <v>0</v>
      </c>
      <c r="H495" s="9">
        <v>0</v>
      </c>
      <c r="I495" s="9">
        <v>0</v>
      </c>
      <c r="J495" s="10">
        <v>45450</v>
      </c>
      <c r="K495" s="9" t="s">
        <v>45</v>
      </c>
      <c r="L495" s="9" t="s">
        <v>29</v>
      </c>
      <c r="M495" s="9">
        <v>2772.05</v>
      </c>
    </row>
    <row r="496" spans="1:13" x14ac:dyDescent="0.35">
      <c r="A496" s="9">
        <v>2618</v>
      </c>
      <c r="B496" s="9" t="s">
        <v>34</v>
      </c>
      <c r="C496" s="9" t="s">
        <v>21</v>
      </c>
      <c r="D496" s="9" t="s">
        <v>71</v>
      </c>
      <c r="E496" s="9" t="s">
        <v>62</v>
      </c>
      <c r="F496" s="9">
        <v>0</v>
      </c>
      <c r="G496" s="9">
        <v>0</v>
      </c>
      <c r="H496" s="9">
        <v>0</v>
      </c>
      <c r="I496" s="9">
        <v>0</v>
      </c>
      <c r="J496" s="10">
        <v>45831</v>
      </c>
      <c r="K496" s="9" t="s">
        <v>44</v>
      </c>
      <c r="L496" s="9" t="s">
        <v>35</v>
      </c>
      <c r="M496" s="9">
        <v>3718.11</v>
      </c>
    </row>
    <row r="497" spans="1:13" x14ac:dyDescent="0.35">
      <c r="A497" s="9">
        <v>2619</v>
      </c>
      <c r="B497" s="9" t="s">
        <v>34</v>
      </c>
      <c r="C497" s="9" t="s">
        <v>21</v>
      </c>
      <c r="D497" s="9" t="s">
        <v>64</v>
      </c>
      <c r="E497" s="9" t="s">
        <v>60</v>
      </c>
      <c r="F497" s="9">
        <v>4</v>
      </c>
      <c r="G497" s="9">
        <v>0</v>
      </c>
      <c r="H497" s="9">
        <v>0.65</v>
      </c>
      <c r="I497" s="9">
        <v>0</v>
      </c>
      <c r="J497" s="10">
        <v>45313</v>
      </c>
      <c r="K497" s="9" t="s">
        <v>45</v>
      </c>
      <c r="L497" s="9" t="s">
        <v>32</v>
      </c>
      <c r="M497" s="9">
        <v>-300.27999999999997</v>
      </c>
    </row>
    <row r="498" spans="1:13" x14ac:dyDescent="0.35">
      <c r="A498" s="9">
        <v>2620</v>
      </c>
      <c r="B498" s="9" t="s">
        <v>34</v>
      </c>
      <c r="C498" s="9" t="s">
        <v>18</v>
      </c>
      <c r="D498" s="9" t="s">
        <v>33</v>
      </c>
      <c r="E498" s="9" t="s">
        <v>62</v>
      </c>
      <c r="F498" s="9">
        <v>0</v>
      </c>
      <c r="G498" s="9">
        <v>0</v>
      </c>
      <c r="H498" s="9">
        <v>0</v>
      </c>
      <c r="I498" s="9">
        <v>0</v>
      </c>
      <c r="J498" s="10">
        <v>45313</v>
      </c>
      <c r="K498" s="9" t="s">
        <v>45</v>
      </c>
      <c r="L498" s="9" t="s">
        <v>32</v>
      </c>
      <c r="M498" s="9">
        <v>3874.67</v>
      </c>
    </row>
    <row r="499" spans="1:13" x14ac:dyDescent="0.35">
      <c r="A499" s="9">
        <v>2621</v>
      </c>
      <c r="B499" s="9" t="s">
        <v>34</v>
      </c>
      <c r="C499" s="9" t="s">
        <v>19</v>
      </c>
      <c r="D499" s="9" t="s">
        <v>69</v>
      </c>
      <c r="E499" s="9" t="s">
        <v>60</v>
      </c>
      <c r="F499" s="9">
        <v>3</v>
      </c>
      <c r="G499" s="9">
        <v>6466.57</v>
      </c>
      <c r="H499" s="9">
        <v>0.59</v>
      </c>
      <c r="I499" s="9">
        <v>7953.88</v>
      </c>
      <c r="J499" s="10">
        <v>45431</v>
      </c>
      <c r="K499" s="9" t="s">
        <v>45</v>
      </c>
      <c r="L499" s="9" t="s">
        <v>25</v>
      </c>
      <c r="M499" s="9">
        <v>-1152.8599999999999</v>
      </c>
    </row>
    <row r="500" spans="1:13" x14ac:dyDescent="0.35">
      <c r="A500" s="9">
        <v>2622</v>
      </c>
      <c r="B500" s="9" t="s">
        <v>34</v>
      </c>
      <c r="C500" s="9" t="s">
        <v>21</v>
      </c>
      <c r="D500" s="9" t="s">
        <v>36</v>
      </c>
      <c r="E500" s="9" t="s">
        <v>59</v>
      </c>
      <c r="F500" s="9">
        <v>0</v>
      </c>
      <c r="G500" s="9">
        <v>8073.58</v>
      </c>
      <c r="H500" s="9">
        <v>0</v>
      </c>
      <c r="I500" s="9">
        <v>0</v>
      </c>
      <c r="J500" s="10">
        <v>45754</v>
      </c>
      <c r="K500" s="9" t="s">
        <v>45</v>
      </c>
      <c r="L500" s="9" t="s">
        <v>35</v>
      </c>
      <c r="M500" s="9">
        <v>-82.31</v>
      </c>
    </row>
    <row r="501" spans="1:13" x14ac:dyDescent="0.35">
      <c r="A501" s="9">
        <v>2623</v>
      </c>
      <c r="B501" s="9" t="s">
        <v>31</v>
      </c>
      <c r="C501" s="9" t="s">
        <v>20</v>
      </c>
      <c r="D501" s="9" t="s">
        <v>70</v>
      </c>
      <c r="E501" s="9" t="s">
        <v>60</v>
      </c>
      <c r="F501" s="9">
        <v>0</v>
      </c>
      <c r="G501" s="9">
        <v>4658.42</v>
      </c>
      <c r="H501" s="9">
        <v>0</v>
      </c>
      <c r="I501" s="9">
        <v>0</v>
      </c>
      <c r="J501" s="10">
        <v>45755</v>
      </c>
      <c r="K501" s="9" t="s">
        <v>44</v>
      </c>
      <c r="L501" s="9" t="s">
        <v>26</v>
      </c>
      <c r="M501" s="9">
        <v>1622.42</v>
      </c>
    </row>
    <row r="502" spans="1:13" x14ac:dyDescent="0.35">
      <c r="A502" s="9">
        <v>2624</v>
      </c>
      <c r="B502" s="9" t="s">
        <v>31</v>
      </c>
      <c r="C502" s="9" t="s">
        <v>21</v>
      </c>
      <c r="D502" s="9" t="s">
        <v>36</v>
      </c>
      <c r="E502" s="9" t="s">
        <v>62</v>
      </c>
      <c r="F502" s="9">
        <v>0</v>
      </c>
      <c r="G502" s="9">
        <v>0</v>
      </c>
      <c r="H502" s="9">
        <v>0</v>
      </c>
      <c r="I502" s="9">
        <v>0</v>
      </c>
      <c r="J502" s="10">
        <v>45755</v>
      </c>
      <c r="K502" s="9" t="s">
        <v>44</v>
      </c>
      <c r="L502" s="9" t="s">
        <v>25</v>
      </c>
      <c r="M502" s="9">
        <v>2085.94</v>
      </c>
    </row>
    <row r="503" spans="1:13" x14ac:dyDescent="0.35">
      <c r="A503" s="9">
        <v>2625</v>
      </c>
      <c r="B503" s="9" t="s">
        <v>34</v>
      </c>
      <c r="C503" s="9" t="s">
        <v>18</v>
      </c>
      <c r="D503" s="9" t="s">
        <v>33</v>
      </c>
      <c r="E503" s="9" t="s">
        <v>59</v>
      </c>
      <c r="F503" s="9">
        <v>-1</v>
      </c>
      <c r="G503" s="9">
        <v>6815.44</v>
      </c>
      <c r="H503" s="9">
        <v>0</v>
      </c>
      <c r="I503" s="9">
        <v>0</v>
      </c>
      <c r="J503" s="10">
        <v>45693</v>
      </c>
      <c r="K503" s="9" t="s">
        <v>45</v>
      </c>
      <c r="L503" s="9" t="s">
        <v>35</v>
      </c>
      <c r="M503" s="9">
        <v>3874.57</v>
      </c>
    </row>
    <row r="504" spans="1:13" x14ac:dyDescent="0.35">
      <c r="A504" s="9">
        <v>2626</v>
      </c>
      <c r="B504" s="9" t="s">
        <v>31</v>
      </c>
      <c r="C504" s="9" t="s">
        <v>20</v>
      </c>
      <c r="D504" s="9" t="s">
        <v>43</v>
      </c>
      <c r="E504" s="9" t="s">
        <v>59</v>
      </c>
      <c r="F504" s="9">
        <v>0</v>
      </c>
      <c r="G504" s="9">
        <v>5550.99</v>
      </c>
      <c r="H504" s="9">
        <v>0</v>
      </c>
      <c r="I504" s="9">
        <v>0</v>
      </c>
      <c r="J504" s="10">
        <v>45768</v>
      </c>
      <c r="K504" s="9" t="s">
        <v>44</v>
      </c>
      <c r="L504" s="9" t="s">
        <v>25</v>
      </c>
      <c r="M504" s="9">
        <v>-757.9</v>
      </c>
    </row>
    <row r="505" spans="1:13" x14ac:dyDescent="0.35">
      <c r="A505" s="9">
        <v>2627</v>
      </c>
      <c r="B505" s="9" t="s">
        <v>28</v>
      </c>
      <c r="C505" s="9" t="s">
        <v>22</v>
      </c>
      <c r="D505" s="9" t="s">
        <v>30</v>
      </c>
      <c r="E505" s="9" t="s">
        <v>59</v>
      </c>
      <c r="F505" s="9">
        <v>0</v>
      </c>
      <c r="G505" s="9">
        <v>0</v>
      </c>
      <c r="H505" s="9">
        <v>0</v>
      </c>
      <c r="I505" s="9">
        <v>0</v>
      </c>
      <c r="J505" s="10">
        <v>45291</v>
      </c>
      <c r="K505" s="9" t="s">
        <v>45</v>
      </c>
      <c r="L505" s="9" t="s">
        <v>29</v>
      </c>
      <c r="M505" s="9">
        <v>282.13</v>
      </c>
    </row>
    <row r="506" spans="1:13" x14ac:dyDescent="0.35">
      <c r="A506" s="9">
        <v>2628</v>
      </c>
      <c r="B506" s="9" t="s">
        <v>34</v>
      </c>
      <c r="C506" s="9" t="s">
        <v>22</v>
      </c>
      <c r="D506" s="9" t="s">
        <v>67</v>
      </c>
      <c r="E506" s="9" t="s">
        <v>60</v>
      </c>
      <c r="F506" s="9">
        <v>4</v>
      </c>
      <c r="G506" s="9">
        <v>0</v>
      </c>
      <c r="H506" s="9">
        <v>0.44</v>
      </c>
      <c r="I506" s="9">
        <v>0</v>
      </c>
      <c r="J506" s="10">
        <v>45837</v>
      </c>
      <c r="K506" s="9" t="s">
        <v>44</v>
      </c>
      <c r="L506" s="9" t="s">
        <v>35</v>
      </c>
      <c r="M506" s="9">
        <v>-348.88</v>
      </c>
    </row>
    <row r="507" spans="1:13" x14ac:dyDescent="0.35">
      <c r="A507" s="9">
        <v>2629</v>
      </c>
      <c r="B507" s="9" t="s">
        <v>34</v>
      </c>
      <c r="C507" s="9" t="s">
        <v>21</v>
      </c>
      <c r="D507" s="9" t="s">
        <v>64</v>
      </c>
      <c r="E507" s="9" t="s">
        <v>62</v>
      </c>
      <c r="F507" s="9">
        <v>0</v>
      </c>
      <c r="G507" s="9">
        <v>0</v>
      </c>
      <c r="H507" s="9">
        <v>0</v>
      </c>
      <c r="I507" s="9">
        <v>0</v>
      </c>
      <c r="J507" s="10">
        <v>45588</v>
      </c>
      <c r="K507" s="9" t="s">
        <v>44</v>
      </c>
      <c r="L507" s="9" t="s">
        <v>25</v>
      </c>
      <c r="M507" s="9">
        <v>1198.75</v>
      </c>
    </row>
    <row r="508" spans="1:13" x14ac:dyDescent="0.35">
      <c r="A508" s="9">
        <v>2632</v>
      </c>
      <c r="B508" s="9" t="s">
        <v>31</v>
      </c>
      <c r="C508" s="9" t="s">
        <v>20</v>
      </c>
      <c r="D508" s="9" t="s">
        <v>70</v>
      </c>
      <c r="E508" s="9" t="s">
        <v>60</v>
      </c>
      <c r="F508" s="9">
        <v>-1</v>
      </c>
      <c r="G508" s="9">
        <v>7504.2</v>
      </c>
      <c r="H508" s="9">
        <v>0.99</v>
      </c>
      <c r="I508" s="9">
        <v>-75.040000000000006</v>
      </c>
      <c r="J508" s="10">
        <v>45361</v>
      </c>
      <c r="K508" s="9" t="s">
        <v>45</v>
      </c>
      <c r="L508" s="9" t="s">
        <v>35</v>
      </c>
      <c r="M508" s="9">
        <v>2413.42</v>
      </c>
    </row>
    <row r="509" spans="1:13" x14ac:dyDescent="0.35">
      <c r="A509" s="9">
        <v>2633</v>
      </c>
      <c r="B509" s="9" t="s">
        <v>34</v>
      </c>
      <c r="C509" s="9" t="s">
        <v>22</v>
      </c>
      <c r="D509" s="9" t="s">
        <v>65</v>
      </c>
      <c r="E509" s="9" t="s">
        <v>59</v>
      </c>
      <c r="F509" s="9">
        <v>0</v>
      </c>
      <c r="G509" s="9">
        <v>0</v>
      </c>
      <c r="H509" s="9">
        <v>0.71</v>
      </c>
      <c r="I509" s="9">
        <v>0</v>
      </c>
      <c r="J509" s="10">
        <v>45821</v>
      </c>
      <c r="K509" s="9" t="s">
        <v>45</v>
      </c>
      <c r="L509" s="9" t="s">
        <v>25</v>
      </c>
      <c r="M509" s="9">
        <v>3634.35</v>
      </c>
    </row>
    <row r="510" spans="1:13" x14ac:dyDescent="0.35">
      <c r="A510" s="9">
        <v>2635</v>
      </c>
      <c r="B510" s="9" t="s">
        <v>28</v>
      </c>
      <c r="C510" s="9" t="s">
        <v>20</v>
      </c>
      <c r="D510" s="9" t="s">
        <v>61</v>
      </c>
      <c r="E510" s="9" t="s">
        <v>59</v>
      </c>
      <c r="F510" s="9">
        <v>0</v>
      </c>
      <c r="G510" s="9">
        <v>3934.22</v>
      </c>
      <c r="H510" s="9">
        <v>0</v>
      </c>
      <c r="I510" s="9">
        <v>0</v>
      </c>
      <c r="J510" s="10">
        <v>45350</v>
      </c>
      <c r="K510" s="9" t="s">
        <v>45</v>
      </c>
      <c r="L510" s="9" t="s">
        <v>27</v>
      </c>
      <c r="M510" s="9">
        <v>430.63</v>
      </c>
    </row>
    <row r="511" spans="1:13" x14ac:dyDescent="0.35">
      <c r="A511" s="9">
        <v>2636</v>
      </c>
      <c r="B511" s="9" t="s">
        <v>31</v>
      </c>
      <c r="C511" s="9" t="s">
        <v>22</v>
      </c>
      <c r="D511" s="9" t="s">
        <v>30</v>
      </c>
      <c r="E511" s="9" t="s">
        <v>59</v>
      </c>
      <c r="F511" s="9">
        <v>0</v>
      </c>
      <c r="G511" s="9">
        <v>0</v>
      </c>
      <c r="H511" s="9">
        <v>0</v>
      </c>
      <c r="I511" s="9">
        <v>0</v>
      </c>
      <c r="J511" s="10">
        <v>45350</v>
      </c>
      <c r="K511" s="9" t="s">
        <v>45</v>
      </c>
      <c r="L511" s="9" t="s">
        <v>25</v>
      </c>
      <c r="M511" s="9">
        <v>3269.14</v>
      </c>
    </row>
    <row r="512" spans="1:13" x14ac:dyDescent="0.35">
      <c r="A512" s="9">
        <v>2637</v>
      </c>
      <c r="B512" s="9" t="s">
        <v>34</v>
      </c>
      <c r="C512" s="9" t="s">
        <v>18</v>
      </c>
      <c r="D512" s="9" t="s">
        <v>37</v>
      </c>
      <c r="E512" s="9" t="s">
        <v>60</v>
      </c>
      <c r="F512" s="9">
        <v>0</v>
      </c>
      <c r="G512" s="9">
        <v>0</v>
      </c>
      <c r="H512" s="9">
        <v>0</v>
      </c>
      <c r="I512" s="9">
        <v>0</v>
      </c>
      <c r="J512" s="10">
        <v>45767</v>
      </c>
      <c r="K512" s="9" t="s">
        <v>44</v>
      </c>
      <c r="L512" s="9" t="s">
        <v>32</v>
      </c>
      <c r="M512" s="9">
        <v>3847.48</v>
      </c>
    </row>
    <row r="513" spans="1:13" x14ac:dyDescent="0.35">
      <c r="A513" s="9">
        <v>2638</v>
      </c>
      <c r="B513" s="9" t="s">
        <v>31</v>
      </c>
      <c r="C513" s="9" t="s">
        <v>19</v>
      </c>
      <c r="D513" s="9" t="s">
        <v>39</v>
      </c>
      <c r="E513" s="9" t="s">
        <v>59</v>
      </c>
      <c r="F513" s="9">
        <v>1</v>
      </c>
      <c r="G513" s="9">
        <v>5028.99</v>
      </c>
      <c r="H513" s="9">
        <v>0</v>
      </c>
      <c r="I513" s="9">
        <v>0</v>
      </c>
      <c r="J513" s="10">
        <v>45313</v>
      </c>
      <c r="K513" s="9" t="s">
        <v>45</v>
      </c>
      <c r="L513" s="9" t="s">
        <v>35</v>
      </c>
      <c r="M513" s="9">
        <v>654.11</v>
      </c>
    </row>
    <row r="514" spans="1:13" x14ac:dyDescent="0.35">
      <c r="A514" s="9">
        <v>2639</v>
      </c>
      <c r="B514" s="9" t="s">
        <v>31</v>
      </c>
      <c r="C514" s="9" t="s">
        <v>21</v>
      </c>
      <c r="D514" s="9" t="s">
        <v>36</v>
      </c>
      <c r="E514" s="9" t="s">
        <v>62</v>
      </c>
      <c r="F514" s="9">
        <v>0</v>
      </c>
      <c r="G514" s="9">
        <v>2597.9299999999998</v>
      </c>
      <c r="H514" s="9">
        <v>0</v>
      </c>
      <c r="I514" s="9">
        <v>0</v>
      </c>
      <c r="J514" s="10">
        <v>45833</v>
      </c>
      <c r="K514" s="9" t="s">
        <v>44</v>
      </c>
      <c r="L514" s="9" t="s">
        <v>35</v>
      </c>
      <c r="M514" s="9">
        <v>374.95</v>
      </c>
    </row>
    <row r="515" spans="1:13" x14ac:dyDescent="0.35">
      <c r="A515" s="9">
        <v>2640</v>
      </c>
      <c r="B515" s="9" t="s">
        <v>34</v>
      </c>
      <c r="C515" s="9" t="s">
        <v>18</v>
      </c>
      <c r="D515" s="9" t="s">
        <v>38</v>
      </c>
      <c r="E515" s="9" t="s">
        <v>59</v>
      </c>
      <c r="F515" s="9">
        <v>2</v>
      </c>
      <c r="G515" s="9">
        <v>7900.02</v>
      </c>
      <c r="H515" s="9">
        <v>0</v>
      </c>
      <c r="I515" s="9">
        <v>0</v>
      </c>
      <c r="J515" s="10">
        <v>45506</v>
      </c>
      <c r="K515" s="9" t="s">
        <v>45</v>
      </c>
      <c r="L515" s="9" t="s">
        <v>25</v>
      </c>
      <c r="M515" s="9">
        <v>861.92</v>
      </c>
    </row>
    <row r="516" spans="1:13" x14ac:dyDescent="0.35">
      <c r="A516" s="9">
        <v>2642</v>
      </c>
      <c r="B516" s="9" t="s">
        <v>28</v>
      </c>
      <c r="C516" s="9" t="s">
        <v>21</v>
      </c>
      <c r="D516" s="9" t="s">
        <v>40</v>
      </c>
      <c r="E516" s="9" t="s">
        <v>62</v>
      </c>
      <c r="F516" s="9">
        <v>0</v>
      </c>
      <c r="G516" s="9">
        <v>0</v>
      </c>
      <c r="H516" s="9">
        <v>0</v>
      </c>
      <c r="I516" s="9">
        <v>0</v>
      </c>
      <c r="J516" s="10">
        <v>45794</v>
      </c>
      <c r="K516" s="9" t="s">
        <v>44</v>
      </c>
      <c r="L516" s="9" t="s">
        <v>35</v>
      </c>
      <c r="M516" s="9">
        <v>-785.16</v>
      </c>
    </row>
    <row r="517" spans="1:13" x14ac:dyDescent="0.35">
      <c r="A517" s="9">
        <v>2644</v>
      </c>
      <c r="B517" s="9" t="s">
        <v>31</v>
      </c>
      <c r="C517" s="9" t="s">
        <v>18</v>
      </c>
      <c r="D517" s="9" t="s">
        <v>37</v>
      </c>
      <c r="E517" s="9" t="s">
        <v>59</v>
      </c>
      <c r="F517" s="9">
        <v>1</v>
      </c>
      <c r="G517" s="9">
        <v>2640.04</v>
      </c>
      <c r="H517" s="9">
        <v>0</v>
      </c>
      <c r="I517" s="9">
        <v>0</v>
      </c>
      <c r="J517" s="10">
        <v>45794</v>
      </c>
      <c r="K517" s="9" t="s">
        <v>44</v>
      </c>
      <c r="L517" s="9" t="s">
        <v>25</v>
      </c>
      <c r="M517" s="9">
        <v>1466.96</v>
      </c>
    </row>
    <row r="518" spans="1:13" x14ac:dyDescent="0.35">
      <c r="A518" s="9">
        <v>2022</v>
      </c>
      <c r="B518" s="9" t="s">
        <v>34</v>
      </c>
      <c r="C518" s="9" t="s">
        <v>18</v>
      </c>
      <c r="D518" s="9" t="s">
        <v>38</v>
      </c>
      <c r="E518" s="9" t="s">
        <v>60</v>
      </c>
      <c r="F518" s="9">
        <v>3</v>
      </c>
      <c r="G518" s="9">
        <v>0</v>
      </c>
      <c r="H518" s="9">
        <v>0</v>
      </c>
      <c r="I518" s="9">
        <v>0</v>
      </c>
      <c r="J518" s="10">
        <v>45623</v>
      </c>
      <c r="K518" s="9" t="s">
        <v>44</v>
      </c>
      <c r="L518" s="9" t="s">
        <v>26</v>
      </c>
      <c r="M518" s="9">
        <v>689.62</v>
      </c>
    </row>
    <row r="519" spans="1:13" x14ac:dyDescent="0.35">
      <c r="A519" s="9">
        <v>2646</v>
      </c>
      <c r="B519" s="9" t="s">
        <v>31</v>
      </c>
      <c r="C519" s="9" t="s">
        <v>19</v>
      </c>
      <c r="D519" s="9" t="s">
        <v>39</v>
      </c>
      <c r="E519" s="9" t="s">
        <v>62</v>
      </c>
      <c r="F519" s="9">
        <v>1</v>
      </c>
      <c r="G519" s="9">
        <v>0</v>
      </c>
      <c r="H519" s="9">
        <v>0.89</v>
      </c>
      <c r="I519" s="9">
        <v>0</v>
      </c>
      <c r="J519" s="10">
        <v>45585</v>
      </c>
      <c r="K519" s="9" t="s">
        <v>44</v>
      </c>
      <c r="L519" s="9" t="s">
        <v>27</v>
      </c>
      <c r="M519" s="9">
        <v>2676.52</v>
      </c>
    </row>
    <row r="520" spans="1:13" x14ac:dyDescent="0.35">
      <c r="A520" s="9">
        <v>2648</v>
      </c>
      <c r="B520" s="9" t="s">
        <v>31</v>
      </c>
      <c r="C520" s="9" t="s">
        <v>20</v>
      </c>
      <c r="D520" s="9" t="s">
        <v>61</v>
      </c>
      <c r="E520" s="9" t="s">
        <v>60</v>
      </c>
      <c r="F520" s="9">
        <v>0</v>
      </c>
      <c r="G520" s="9">
        <v>3477.49</v>
      </c>
      <c r="H520" s="9">
        <v>0.54</v>
      </c>
      <c r="I520" s="9">
        <v>0</v>
      </c>
      <c r="J520" s="10">
        <v>45722</v>
      </c>
      <c r="K520" s="9" t="s">
        <v>44</v>
      </c>
      <c r="L520" s="9" t="s">
        <v>29</v>
      </c>
      <c r="M520" s="9">
        <v>3487.39</v>
      </c>
    </row>
    <row r="521" spans="1:13" x14ac:dyDescent="0.35">
      <c r="A521" s="9">
        <v>2649</v>
      </c>
      <c r="B521" s="9" t="s">
        <v>28</v>
      </c>
      <c r="C521" s="9" t="s">
        <v>22</v>
      </c>
      <c r="D521" s="9" t="s">
        <v>67</v>
      </c>
      <c r="E521" s="9" t="s">
        <v>60</v>
      </c>
      <c r="F521" s="9">
        <v>0</v>
      </c>
      <c r="G521" s="9">
        <v>6798.48</v>
      </c>
      <c r="H521" s="9">
        <v>1.18</v>
      </c>
      <c r="I521" s="9">
        <v>0</v>
      </c>
      <c r="J521" s="10">
        <v>45689</v>
      </c>
      <c r="K521" s="9" t="s">
        <v>44</v>
      </c>
      <c r="L521" s="9" t="s">
        <v>26</v>
      </c>
      <c r="M521" s="9">
        <v>2297.4</v>
      </c>
    </row>
    <row r="522" spans="1:13" x14ac:dyDescent="0.35">
      <c r="A522" s="9">
        <v>2651</v>
      </c>
      <c r="B522" s="9" t="s">
        <v>34</v>
      </c>
      <c r="C522" s="9" t="s">
        <v>22</v>
      </c>
      <c r="D522" s="9" t="s">
        <v>65</v>
      </c>
      <c r="E522" s="9" t="s">
        <v>60</v>
      </c>
      <c r="F522" s="9">
        <v>1</v>
      </c>
      <c r="G522" s="9">
        <v>0</v>
      </c>
      <c r="H522" s="9">
        <v>0</v>
      </c>
      <c r="I522" s="9">
        <v>0</v>
      </c>
      <c r="J522" s="10">
        <v>45592</v>
      </c>
      <c r="K522" s="9" t="s">
        <v>45</v>
      </c>
      <c r="L522" s="9" t="s">
        <v>27</v>
      </c>
      <c r="M522" s="9">
        <v>-819.33</v>
      </c>
    </row>
    <row r="523" spans="1:13" x14ac:dyDescent="0.35">
      <c r="A523" s="9">
        <v>2653</v>
      </c>
      <c r="B523" s="9" t="s">
        <v>31</v>
      </c>
      <c r="C523" s="9" t="s">
        <v>20</v>
      </c>
      <c r="D523" s="9" t="s">
        <v>70</v>
      </c>
      <c r="E523" s="9" t="s">
        <v>59</v>
      </c>
      <c r="F523" s="9">
        <v>0</v>
      </c>
      <c r="G523" s="9">
        <v>6178.85</v>
      </c>
      <c r="H523" s="9">
        <v>1.04</v>
      </c>
      <c r="I523" s="9">
        <v>0</v>
      </c>
      <c r="J523" s="10">
        <v>45636</v>
      </c>
      <c r="K523" s="9" t="s">
        <v>45</v>
      </c>
      <c r="L523" s="9" t="s">
        <v>32</v>
      </c>
      <c r="M523" s="9">
        <v>2550.88</v>
      </c>
    </row>
    <row r="524" spans="1:13" x14ac:dyDescent="0.35">
      <c r="A524" s="9">
        <v>2654</v>
      </c>
      <c r="B524" s="9" t="s">
        <v>34</v>
      </c>
      <c r="C524" s="9" t="s">
        <v>19</v>
      </c>
      <c r="D524" s="9" t="s">
        <v>42</v>
      </c>
      <c r="E524" s="9" t="s">
        <v>59</v>
      </c>
      <c r="F524" s="9">
        <v>0</v>
      </c>
      <c r="G524" s="9">
        <v>0</v>
      </c>
      <c r="H524" s="9">
        <v>0</v>
      </c>
      <c r="I524" s="9">
        <v>0</v>
      </c>
      <c r="J524" s="10">
        <v>45494</v>
      </c>
      <c r="K524" s="9" t="s">
        <v>45</v>
      </c>
      <c r="L524" s="9" t="s">
        <v>25</v>
      </c>
      <c r="M524" s="9">
        <v>2933.02</v>
      </c>
    </row>
    <row r="525" spans="1:13" x14ac:dyDescent="0.35">
      <c r="A525" s="9">
        <v>2655</v>
      </c>
      <c r="B525" s="9" t="s">
        <v>34</v>
      </c>
      <c r="C525" s="9" t="s">
        <v>18</v>
      </c>
      <c r="D525" s="9" t="s">
        <v>37</v>
      </c>
      <c r="E525" s="9" t="s">
        <v>59</v>
      </c>
      <c r="F525" s="9">
        <v>0</v>
      </c>
      <c r="G525" s="9">
        <v>4993.9399999999996</v>
      </c>
      <c r="H525" s="9">
        <v>0</v>
      </c>
      <c r="I525" s="9">
        <v>0</v>
      </c>
      <c r="J525" s="10">
        <v>45494</v>
      </c>
      <c r="K525" s="9" t="s">
        <v>44</v>
      </c>
      <c r="L525" s="9" t="s">
        <v>26</v>
      </c>
      <c r="M525" s="9">
        <v>2420.85</v>
      </c>
    </row>
    <row r="526" spans="1:13" x14ac:dyDescent="0.35">
      <c r="A526" s="9">
        <v>2656</v>
      </c>
      <c r="B526" s="9" t="s">
        <v>28</v>
      </c>
      <c r="C526" s="9" t="s">
        <v>19</v>
      </c>
      <c r="D526" s="9" t="s">
        <v>39</v>
      </c>
      <c r="E526" s="9" t="s">
        <v>59</v>
      </c>
      <c r="F526" s="9">
        <v>1</v>
      </c>
      <c r="G526" s="9">
        <v>5246.43</v>
      </c>
      <c r="H526" s="9">
        <v>0</v>
      </c>
      <c r="I526" s="9">
        <v>0</v>
      </c>
      <c r="J526" s="10">
        <v>45494</v>
      </c>
      <c r="K526" s="9" t="s">
        <v>44</v>
      </c>
      <c r="L526" s="9" t="s">
        <v>25</v>
      </c>
      <c r="M526" s="9">
        <v>1891.48</v>
      </c>
    </row>
    <row r="527" spans="1:13" x14ac:dyDescent="0.35">
      <c r="A527" s="9">
        <v>2657</v>
      </c>
      <c r="B527" s="9" t="s">
        <v>34</v>
      </c>
      <c r="C527" s="9" t="s">
        <v>20</v>
      </c>
      <c r="D527" s="9" t="s">
        <v>43</v>
      </c>
      <c r="E527" s="9" t="s">
        <v>59</v>
      </c>
      <c r="F527" s="9">
        <v>4</v>
      </c>
      <c r="G527" s="9">
        <v>0</v>
      </c>
      <c r="H527" s="9">
        <v>0</v>
      </c>
      <c r="I527" s="9">
        <v>0</v>
      </c>
      <c r="J527" s="10">
        <v>45754</v>
      </c>
      <c r="K527" s="9" t="s">
        <v>45</v>
      </c>
      <c r="L527" s="9" t="s">
        <v>29</v>
      </c>
      <c r="M527" s="9">
        <v>494.45</v>
      </c>
    </row>
    <row r="528" spans="1:13" x14ac:dyDescent="0.35">
      <c r="A528" s="9">
        <v>2658</v>
      </c>
      <c r="B528" s="9" t="s">
        <v>28</v>
      </c>
      <c r="C528" s="9" t="s">
        <v>21</v>
      </c>
      <c r="D528" s="9" t="s">
        <v>71</v>
      </c>
      <c r="E528" s="9" t="s">
        <v>60</v>
      </c>
      <c r="F528" s="9">
        <v>1</v>
      </c>
      <c r="G528" s="9">
        <v>0</v>
      </c>
      <c r="H528" s="9">
        <v>0</v>
      </c>
      <c r="I528" s="9">
        <v>0</v>
      </c>
      <c r="J528" s="10">
        <v>45773</v>
      </c>
      <c r="K528" s="9" t="s">
        <v>45</v>
      </c>
      <c r="L528" s="9" t="s">
        <v>29</v>
      </c>
      <c r="M528" s="9">
        <v>155.53</v>
      </c>
    </row>
    <row r="529" spans="1:13" x14ac:dyDescent="0.35">
      <c r="A529" s="9">
        <v>2659</v>
      </c>
      <c r="B529" s="9" t="s">
        <v>34</v>
      </c>
      <c r="C529" s="9" t="s">
        <v>22</v>
      </c>
      <c r="D529" s="9" t="s">
        <v>30</v>
      </c>
      <c r="E529" s="9" t="s">
        <v>59</v>
      </c>
      <c r="F529" s="9">
        <v>0</v>
      </c>
      <c r="G529" s="9">
        <v>9945.56</v>
      </c>
      <c r="H529" s="9">
        <v>1.01</v>
      </c>
      <c r="I529" s="9">
        <v>0</v>
      </c>
      <c r="J529" s="10">
        <v>45789</v>
      </c>
      <c r="K529" s="9" t="s">
        <v>45</v>
      </c>
      <c r="L529" s="9" t="s">
        <v>32</v>
      </c>
      <c r="M529" s="9">
        <v>-1116.54</v>
      </c>
    </row>
    <row r="530" spans="1:13" x14ac:dyDescent="0.35">
      <c r="A530" s="9">
        <v>2661</v>
      </c>
      <c r="B530" s="9" t="s">
        <v>34</v>
      </c>
      <c r="C530" s="9" t="s">
        <v>19</v>
      </c>
      <c r="D530" s="9" t="s">
        <v>42</v>
      </c>
      <c r="E530" s="9" t="s">
        <v>62</v>
      </c>
      <c r="F530" s="9">
        <v>0</v>
      </c>
      <c r="G530" s="9">
        <v>2006.63</v>
      </c>
      <c r="H530" s="9">
        <v>0</v>
      </c>
      <c r="I530" s="9">
        <v>0</v>
      </c>
      <c r="J530" s="10">
        <v>45789</v>
      </c>
      <c r="K530" s="9" t="s">
        <v>45</v>
      </c>
      <c r="L530" s="9" t="s">
        <v>29</v>
      </c>
      <c r="M530" s="9">
        <v>3171.69</v>
      </c>
    </row>
    <row r="531" spans="1:13" x14ac:dyDescent="0.35">
      <c r="A531" s="9">
        <v>2662</v>
      </c>
      <c r="B531" s="9" t="s">
        <v>34</v>
      </c>
      <c r="C531" s="9" t="s">
        <v>18</v>
      </c>
      <c r="D531" s="9" t="s">
        <v>37</v>
      </c>
      <c r="E531" s="9" t="s">
        <v>59</v>
      </c>
      <c r="F531" s="9">
        <v>0</v>
      </c>
      <c r="G531" s="9">
        <v>0</v>
      </c>
      <c r="H531" s="9">
        <v>0</v>
      </c>
      <c r="I531" s="9">
        <v>0</v>
      </c>
      <c r="J531" s="10">
        <v>45789</v>
      </c>
      <c r="K531" s="9" t="s">
        <v>45</v>
      </c>
      <c r="L531" s="9" t="s">
        <v>29</v>
      </c>
      <c r="M531" s="9">
        <v>2104.46</v>
      </c>
    </row>
    <row r="532" spans="1:13" x14ac:dyDescent="0.35">
      <c r="A532" s="9">
        <v>2663</v>
      </c>
      <c r="B532" s="9" t="s">
        <v>34</v>
      </c>
      <c r="C532" s="9" t="s">
        <v>18</v>
      </c>
      <c r="D532" s="9" t="s">
        <v>41</v>
      </c>
      <c r="E532" s="9" t="s">
        <v>60</v>
      </c>
      <c r="F532" s="9">
        <v>2</v>
      </c>
      <c r="G532" s="9">
        <v>0</v>
      </c>
      <c r="H532" s="9">
        <v>0.43</v>
      </c>
      <c r="I532" s="9">
        <v>0</v>
      </c>
      <c r="J532" s="10">
        <v>45825</v>
      </c>
      <c r="K532" s="9" t="s">
        <v>44</v>
      </c>
      <c r="L532" s="9" t="s">
        <v>29</v>
      </c>
      <c r="M532" s="9">
        <v>3174.81</v>
      </c>
    </row>
    <row r="533" spans="1:13" x14ac:dyDescent="0.35">
      <c r="A533" s="9">
        <v>2664</v>
      </c>
      <c r="B533" s="9" t="s">
        <v>34</v>
      </c>
      <c r="C533" s="9" t="s">
        <v>20</v>
      </c>
      <c r="D533" s="9" t="s">
        <v>70</v>
      </c>
      <c r="E533" s="9" t="s">
        <v>60</v>
      </c>
      <c r="F533" s="9">
        <v>2</v>
      </c>
      <c r="G533" s="9">
        <v>9103.08</v>
      </c>
      <c r="H533" s="9">
        <v>0</v>
      </c>
      <c r="I533" s="9">
        <v>0</v>
      </c>
      <c r="J533" s="10">
        <v>45637</v>
      </c>
      <c r="K533" s="9" t="s">
        <v>45</v>
      </c>
      <c r="L533" s="9" t="s">
        <v>26</v>
      </c>
      <c r="M533" s="9">
        <v>1726.8</v>
      </c>
    </row>
    <row r="534" spans="1:13" x14ac:dyDescent="0.35">
      <c r="A534" s="9">
        <v>2665</v>
      </c>
      <c r="B534" s="9" t="s">
        <v>31</v>
      </c>
      <c r="C534" s="9" t="s">
        <v>21</v>
      </c>
      <c r="D534" s="9" t="s">
        <v>64</v>
      </c>
      <c r="E534" s="9" t="s">
        <v>60</v>
      </c>
      <c r="F534" s="9">
        <v>0</v>
      </c>
      <c r="G534" s="9">
        <v>6140.7</v>
      </c>
      <c r="H534" s="9">
        <v>0</v>
      </c>
      <c r="I534" s="9">
        <v>0</v>
      </c>
      <c r="J534" s="10">
        <v>45637</v>
      </c>
      <c r="K534" s="9" t="s">
        <v>45</v>
      </c>
      <c r="L534" s="9" t="s">
        <v>29</v>
      </c>
      <c r="M534" s="9">
        <v>506.87</v>
      </c>
    </row>
    <row r="535" spans="1:13" x14ac:dyDescent="0.35">
      <c r="A535" s="9">
        <v>2666</v>
      </c>
      <c r="B535" s="9" t="s">
        <v>28</v>
      </c>
      <c r="C535" s="9" t="s">
        <v>19</v>
      </c>
      <c r="D535" s="9" t="s">
        <v>69</v>
      </c>
      <c r="E535" s="9" t="s">
        <v>59</v>
      </c>
      <c r="F535" s="9">
        <v>0</v>
      </c>
      <c r="G535" s="9">
        <v>3700.75</v>
      </c>
      <c r="H535" s="9">
        <v>0</v>
      </c>
      <c r="I535" s="9">
        <v>0</v>
      </c>
      <c r="J535" s="10">
        <v>45637</v>
      </c>
      <c r="K535" s="9" t="s">
        <v>45</v>
      </c>
      <c r="L535" s="9" t="s">
        <v>27</v>
      </c>
      <c r="M535" s="9">
        <v>-963.73</v>
      </c>
    </row>
    <row r="536" spans="1:13" x14ac:dyDescent="0.35">
      <c r="A536" s="9">
        <v>2667</v>
      </c>
      <c r="B536" s="9" t="s">
        <v>28</v>
      </c>
      <c r="C536" s="9" t="s">
        <v>21</v>
      </c>
      <c r="D536" s="9" t="s">
        <v>40</v>
      </c>
      <c r="E536" s="9" t="s">
        <v>62</v>
      </c>
      <c r="F536" s="9">
        <v>3</v>
      </c>
      <c r="G536" s="9">
        <v>9367.66</v>
      </c>
      <c r="H536" s="9">
        <v>0</v>
      </c>
      <c r="I536" s="9">
        <v>0</v>
      </c>
      <c r="J536" s="10">
        <v>45739</v>
      </c>
      <c r="K536" s="9" t="s">
        <v>45</v>
      </c>
      <c r="L536" s="9" t="s">
        <v>29</v>
      </c>
      <c r="M536" s="9">
        <v>-623.95000000000005</v>
      </c>
    </row>
    <row r="537" spans="1:13" x14ac:dyDescent="0.35">
      <c r="A537" s="9">
        <v>2668</v>
      </c>
      <c r="B537" s="9" t="s">
        <v>28</v>
      </c>
      <c r="C537" s="9" t="s">
        <v>18</v>
      </c>
      <c r="D537" s="9" t="s">
        <v>38</v>
      </c>
      <c r="E537" s="9" t="s">
        <v>59</v>
      </c>
      <c r="F537" s="9">
        <v>0</v>
      </c>
      <c r="G537" s="9">
        <v>0</v>
      </c>
      <c r="H537" s="9">
        <v>0.45</v>
      </c>
      <c r="I537" s="9">
        <v>0</v>
      </c>
      <c r="J537" s="10">
        <v>45646</v>
      </c>
      <c r="K537" s="9" t="s">
        <v>44</v>
      </c>
      <c r="L537" s="9" t="s">
        <v>25</v>
      </c>
      <c r="M537" s="9">
        <v>3138.32</v>
      </c>
    </row>
    <row r="538" spans="1:13" x14ac:dyDescent="0.35">
      <c r="A538" s="9">
        <v>2669</v>
      </c>
      <c r="B538" s="9" t="s">
        <v>28</v>
      </c>
      <c r="C538" s="9" t="s">
        <v>18</v>
      </c>
      <c r="D538" s="9" t="s">
        <v>33</v>
      </c>
      <c r="E538" s="9" t="s">
        <v>62</v>
      </c>
      <c r="F538" s="9">
        <v>0</v>
      </c>
      <c r="G538" s="9">
        <v>0</v>
      </c>
      <c r="H538" s="9">
        <v>0.51</v>
      </c>
      <c r="I538" s="9">
        <v>0</v>
      </c>
      <c r="J538" s="10">
        <v>45646</v>
      </c>
      <c r="K538" s="9" t="s">
        <v>44</v>
      </c>
      <c r="L538" s="9" t="s">
        <v>35</v>
      </c>
      <c r="M538" s="9">
        <v>1737.23</v>
      </c>
    </row>
    <row r="539" spans="1:13" x14ac:dyDescent="0.35">
      <c r="A539" s="9">
        <v>2027</v>
      </c>
      <c r="B539" s="9" t="s">
        <v>31</v>
      </c>
      <c r="C539" s="9" t="s">
        <v>19</v>
      </c>
      <c r="D539" s="9" t="s">
        <v>39</v>
      </c>
      <c r="E539" s="9" t="s">
        <v>59</v>
      </c>
      <c r="F539" s="9">
        <v>4</v>
      </c>
      <c r="G539" s="9">
        <v>7204.01</v>
      </c>
      <c r="H539" s="9">
        <v>0</v>
      </c>
      <c r="I539" s="9">
        <v>0</v>
      </c>
      <c r="J539" s="10">
        <v>45823</v>
      </c>
      <c r="K539" s="9" t="s">
        <v>44</v>
      </c>
      <c r="L539" s="9" t="s">
        <v>29</v>
      </c>
      <c r="M539" s="9">
        <v>3951.42</v>
      </c>
    </row>
    <row r="540" spans="1:13" x14ac:dyDescent="0.35">
      <c r="A540" s="9">
        <v>2671</v>
      </c>
      <c r="B540" s="9" t="s">
        <v>34</v>
      </c>
      <c r="C540" s="9" t="s">
        <v>20</v>
      </c>
      <c r="D540" s="9" t="s">
        <v>43</v>
      </c>
      <c r="E540" s="9" t="s">
        <v>62</v>
      </c>
      <c r="F540" s="9">
        <v>0</v>
      </c>
      <c r="G540" s="9">
        <v>9264.49</v>
      </c>
      <c r="H540" s="9">
        <v>0</v>
      </c>
      <c r="I540" s="9">
        <v>0</v>
      </c>
      <c r="J540" s="10">
        <v>45834</v>
      </c>
      <c r="K540" s="9" t="s">
        <v>44</v>
      </c>
      <c r="L540" s="9" t="s">
        <v>35</v>
      </c>
      <c r="M540" s="9">
        <v>491.18</v>
      </c>
    </row>
    <row r="541" spans="1:13" x14ac:dyDescent="0.35">
      <c r="A541" s="9">
        <v>2672</v>
      </c>
      <c r="B541" s="9" t="s">
        <v>28</v>
      </c>
      <c r="C541" s="9" t="s">
        <v>21</v>
      </c>
      <c r="D541" s="9" t="s">
        <v>40</v>
      </c>
      <c r="E541" s="9" t="s">
        <v>62</v>
      </c>
      <c r="F541" s="9">
        <v>2</v>
      </c>
      <c r="G541" s="9">
        <v>0</v>
      </c>
      <c r="H541" s="9">
        <v>0</v>
      </c>
      <c r="I541" s="9">
        <v>0</v>
      </c>
      <c r="J541" s="10">
        <v>45508</v>
      </c>
      <c r="K541" s="9" t="s">
        <v>45</v>
      </c>
      <c r="L541" s="9" t="s">
        <v>26</v>
      </c>
      <c r="M541" s="9">
        <v>67.58</v>
      </c>
    </row>
    <row r="542" spans="1:13" x14ac:dyDescent="0.35">
      <c r="A542" s="9">
        <v>2673</v>
      </c>
      <c r="B542" s="9" t="s">
        <v>34</v>
      </c>
      <c r="C542" s="9" t="s">
        <v>20</v>
      </c>
      <c r="D542" s="9" t="s">
        <v>70</v>
      </c>
      <c r="E542" s="9" t="s">
        <v>59</v>
      </c>
      <c r="F542" s="9">
        <v>0</v>
      </c>
      <c r="G542" s="9">
        <v>6891.25</v>
      </c>
      <c r="H542" s="9">
        <v>0.63</v>
      </c>
      <c r="I542" s="9">
        <v>0</v>
      </c>
      <c r="J542" s="10">
        <v>45508</v>
      </c>
      <c r="K542" s="9" t="s">
        <v>44</v>
      </c>
      <c r="L542" s="9" t="s">
        <v>35</v>
      </c>
      <c r="M542" s="9">
        <v>-742.85</v>
      </c>
    </row>
    <row r="543" spans="1:13" x14ac:dyDescent="0.35">
      <c r="A543" s="9">
        <v>2674</v>
      </c>
      <c r="B543" s="9" t="s">
        <v>28</v>
      </c>
      <c r="C543" s="9" t="s">
        <v>21</v>
      </c>
      <c r="D543" s="9" t="s">
        <v>64</v>
      </c>
      <c r="E543" s="9" t="s">
        <v>59</v>
      </c>
      <c r="F543" s="9">
        <v>-1</v>
      </c>
      <c r="G543" s="9">
        <v>4784.45</v>
      </c>
      <c r="H543" s="9">
        <v>0</v>
      </c>
      <c r="I543" s="9">
        <v>0</v>
      </c>
      <c r="J543" s="10">
        <v>45682</v>
      </c>
      <c r="K543" s="9" t="s">
        <v>45</v>
      </c>
      <c r="L543" s="9" t="s">
        <v>35</v>
      </c>
      <c r="M543" s="9">
        <v>3357.12</v>
      </c>
    </row>
    <row r="544" spans="1:13" x14ac:dyDescent="0.35">
      <c r="A544" s="9">
        <v>2675</v>
      </c>
      <c r="B544" s="9" t="s">
        <v>28</v>
      </c>
      <c r="C544" s="9" t="s">
        <v>19</v>
      </c>
      <c r="D544" s="9" t="s">
        <v>39</v>
      </c>
      <c r="E544" s="9" t="s">
        <v>59</v>
      </c>
      <c r="F544" s="9">
        <v>3</v>
      </c>
      <c r="G544" s="9">
        <v>0</v>
      </c>
      <c r="H544" s="9">
        <v>0</v>
      </c>
      <c r="I544" s="9">
        <v>0</v>
      </c>
      <c r="J544" s="10">
        <v>45751</v>
      </c>
      <c r="K544" s="9" t="s">
        <v>45</v>
      </c>
      <c r="L544" s="9" t="s">
        <v>32</v>
      </c>
      <c r="M544" s="9">
        <v>2731.71</v>
      </c>
    </row>
    <row r="545" spans="1:13" x14ac:dyDescent="0.35">
      <c r="A545" s="9">
        <v>2676</v>
      </c>
      <c r="B545" s="9" t="s">
        <v>31</v>
      </c>
      <c r="C545" s="9" t="s">
        <v>20</v>
      </c>
      <c r="D545" s="9" t="s">
        <v>43</v>
      </c>
      <c r="E545" s="9" t="s">
        <v>59</v>
      </c>
      <c r="F545" s="9">
        <v>0</v>
      </c>
      <c r="G545" s="9">
        <v>0</v>
      </c>
      <c r="H545" s="9">
        <v>0</v>
      </c>
      <c r="I545" s="9">
        <v>0</v>
      </c>
      <c r="J545" s="10">
        <v>45790</v>
      </c>
      <c r="K545" s="9" t="s">
        <v>45</v>
      </c>
      <c r="L545" s="9" t="s">
        <v>29</v>
      </c>
      <c r="M545" s="9">
        <v>3932.36</v>
      </c>
    </row>
    <row r="546" spans="1:13" x14ac:dyDescent="0.35">
      <c r="A546" s="9">
        <v>2677</v>
      </c>
      <c r="B546" s="9" t="s">
        <v>31</v>
      </c>
      <c r="C546" s="9" t="s">
        <v>21</v>
      </c>
      <c r="D546" s="9" t="s">
        <v>40</v>
      </c>
      <c r="E546" s="9" t="s">
        <v>59</v>
      </c>
      <c r="F546" s="9">
        <v>2</v>
      </c>
      <c r="G546" s="9">
        <v>5618.62</v>
      </c>
      <c r="H546" s="9">
        <v>0</v>
      </c>
      <c r="I546" s="9">
        <v>0</v>
      </c>
      <c r="J546" s="10">
        <v>45790</v>
      </c>
      <c r="K546" s="9" t="s">
        <v>44</v>
      </c>
      <c r="L546" s="9" t="s">
        <v>25</v>
      </c>
      <c r="M546" s="9">
        <v>1745.96</v>
      </c>
    </row>
    <row r="547" spans="1:13" x14ac:dyDescent="0.35">
      <c r="A547" s="9">
        <v>2679</v>
      </c>
      <c r="B547" s="9" t="s">
        <v>31</v>
      </c>
      <c r="C547" s="9" t="s">
        <v>18</v>
      </c>
      <c r="D547" s="9" t="s">
        <v>33</v>
      </c>
      <c r="E547" s="9" t="s">
        <v>59</v>
      </c>
      <c r="F547" s="9">
        <v>0</v>
      </c>
      <c r="G547" s="9">
        <v>2758.08</v>
      </c>
      <c r="H547" s="9">
        <v>0.04</v>
      </c>
      <c r="I547" s="9">
        <v>0</v>
      </c>
      <c r="J547" s="10">
        <v>45478</v>
      </c>
      <c r="K547" s="9" t="s">
        <v>45</v>
      </c>
      <c r="L547" s="9" t="s">
        <v>25</v>
      </c>
      <c r="M547" s="9">
        <v>2447.58</v>
      </c>
    </row>
    <row r="548" spans="1:13" x14ac:dyDescent="0.35">
      <c r="A548" s="9">
        <v>2681</v>
      </c>
      <c r="B548" s="9" t="s">
        <v>28</v>
      </c>
      <c r="C548" s="9" t="s">
        <v>20</v>
      </c>
      <c r="D548" s="9" t="s">
        <v>70</v>
      </c>
      <c r="E548" s="9" t="s">
        <v>59</v>
      </c>
      <c r="F548" s="9">
        <v>0</v>
      </c>
      <c r="G548" s="9">
        <v>5996.09</v>
      </c>
      <c r="H548" s="9">
        <v>0</v>
      </c>
      <c r="I548" s="9">
        <v>0</v>
      </c>
      <c r="J548" s="10">
        <v>45478</v>
      </c>
      <c r="K548" s="9" t="s">
        <v>45</v>
      </c>
      <c r="L548" s="9" t="s">
        <v>29</v>
      </c>
      <c r="M548" s="9">
        <v>3597.08</v>
      </c>
    </row>
    <row r="549" spans="1:13" x14ac:dyDescent="0.35">
      <c r="A549" s="9">
        <v>2682</v>
      </c>
      <c r="B549" s="9" t="s">
        <v>31</v>
      </c>
      <c r="C549" s="9" t="s">
        <v>22</v>
      </c>
      <c r="D549" s="9" t="s">
        <v>30</v>
      </c>
      <c r="E549" s="9" t="s">
        <v>62</v>
      </c>
      <c r="F549" s="9">
        <v>4</v>
      </c>
      <c r="G549" s="9">
        <v>0</v>
      </c>
      <c r="H549" s="9">
        <v>0.41</v>
      </c>
      <c r="I549" s="9">
        <v>0</v>
      </c>
      <c r="J549" s="10">
        <v>45532</v>
      </c>
      <c r="K549" s="9" t="s">
        <v>44</v>
      </c>
      <c r="L549" s="9" t="s">
        <v>35</v>
      </c>
      <c r="M549" s="9">
        <v>3614.76</v>
      </c>
    </row>
    <row r="550" spans="1:13" x14ac:dyDescent="0.35">
      <c r="A550" s="9">
        <v>2683</v>
      </c>
      <c r="B550" s="9" t="s">
        <v>34</v>
      </c>
      <c r="C550" s="9" t="s">
        <v>21</v>
      </c>
      <c r="D550" s="9" t="s">
        <v>71</v>
      </c>
      <c r="E550" s="9" t="s">
        <v>62</v>
      </c>
      <c r="F550" s="9">
        <v>1</v>
      </c>
      <c r="G550" s="9">
        <v>0</v>
      </c>
      <c r="H550" s="9">
        <v>0</v>
      </c>
      <c r="I550" s="9">
        <v>0</v>
      </c>
      <c r="J550" s="10">
        <v>45820</v>
      </c>
      <c r="K550" s="9" t="s">
        <v>45</v>
      </c>
      <c r="L550" s="9" t="s">
        <v>26</v>
      </c>
      <c r="M550" s="9">
        <v>1119.71</v>
      </c>
    </row>
    <row r="551" spans="1:13" x14ac:dyDescent="0.35">
      <c r="A551" s="9">
        <v>2684</v>
      </c>
      <c r="B551" s="9" t="s">
        <v>31</v>
      </c>
      <c r="C551" s="9" t="s">
        <v>21</v>
      </c>
      <c r="D551" s="9" t="s">
        <v>36</v>
      </c>
      <c r="E551" s="9" t="s">
        <v>60</v>
      </c>
      <c r="F551" s="9">
        <v>0</v>
      </c>
      <c r="G551" s="9">
        <v>0</v>
      </c>
      <c r="H551" s="9">
        <v>0.73</v>
      </c>
      <c r="I551" s="9">
        <v>0</v>
      </c>
      <c r="J551" s="10">
        <v>45758</v>
      </c>
      <c r="K551" s="9" t="s">
        <v>44</v>
      </c>
      <c r="L551" s="9" t="s">
        <v>26</v>
      </c>
      <c r="M551" s="9">
        <v>1556.61</v>
      </c>
    </row>
    <row r="552" spans="1:13" x14ac:dyDescent="0.35">
      <c r="A552" s="9">
        <v>2685</v>
      </c>
      <c r="B552" s="9" t="s">
        <v>34</v>
      </c>
      <c r="C552" s="9" t="s">
        <v>21</v>
      </c>
      <c r="D552" s="9" t="s">
        <v>71</v>
      </c>
      <c r="E552" s="9" t="s">
        <v>59</v>
      </c>
      <c r="F552" s="9">
        <v>4</v>
      </c>
      <c r="G552" s="9">
        <v>0</v>
      </c>
      <c r="H552" s="9">
        <v>0</v>
      </c>
      <c r="I552" s="9">
        <v>0</v>
      </c>
      <c r="J552" s="10">
        <v>45799</v>
      </c>
      <c r="K552" s="9" t="s">
        <v>44</v>
      </c>
      <c r="L552" s="9" t="s">
        <v>32</v>
      </c>
      <c r="M552" s="9">
        <v>1377.72</v>
      </c>
    </row>
    <row r="553" spans="1:13" x14ac:dyDescent="0.35">
      <c r="A553" s="9">
        <v>2686</v>
      </c>
      <c r="B553" s="9" t="s">
        <v>28</v>
      </c>
      <c r="C553" s="9" t="s">
        <v>21</v>
      </c>
      <c r="D553" s="9" t="s">
        <v>36</v>
      </c>
      <c r="E553" s="9" t="s">
        <v>60</v>
      </c>
      <c r="F553" s="9">
        <v>0</v>
      </c>
      <c r="G553" s="9">
        <v>9585.39</v>
      </c>
      <c r="H553" s="9">
        <v>1.03</v>
      </c>
      <c r="I553" s="9">
        <v>0</v>
      </c>
      <c r="J553" s="10">
        <v>45841</v>
      </c>
      <c r="K553" s="9" t="s">
        <v>44</v>
      </c>
      <c r="L553" s="9" t="s">
        <v>32</v>
      </c>
      <c r="M553" s="9">
        <v>761.26</v>
      </c>
    </row>
    <row r="554" spans="1:13" x14ac:dyDescent="0.35">
      <c r="A554" s="9">
        <v>2687</v>
      </c>
      <c r="B554" s="9" t="s">
        <v>28</v>
      </c>
      <c r="C554" s="9" t="s">
        <v>21</v>
      </c>
      <c r="D554" s="9" t="s">
        <v>64</v>
      </c>
      <c r="E554" s="9" t="s">
        <v>59</v>
      </c>
      <c r="F554" s="9">
        <v>-1</v>
      </c>
      <c r="G554" s="9">
        <v>2381.94</v>
      </c>
      <c r="H554" s="9">
        <v>0</v>
      </c>
      <c r="I554" s="9">
        <v>0</v>
      </c>
      <c r="J554" s="10">
        <v>45565</v>
      </c>
      <c r="K554" s="9" t="s">
        <v>44</v>
      </c>
      <c r="L554" s="9" t="s">
        <v>29</v>
      </c>
      <c r="M554" s="9">
        <v>1457.93</v>
      </c>
    </row>
    <row r="555" spans="1:13" x14ac:dyDescent="0.35">
      <c r="A555" s="9">
        <v>2031</v>
      </c>
      <c r="B555" s="9" t="s">
        <v>28</v>
      </c>
      <c r="C555" s="9" t="s">
        <v>19</v>
      </c>
      <c r="D555" s="9" t="s">
        <v>69</v>
      </c>
      <c r="E555" s="9" t="s">
        <v>60</v>
      </c>
      <c r="F555" s="9">
        <v>0</v>
      </c>
      <c r="G555" s="9">
        <v>0</v>
      </c>
      <c r="H555" s="9">
        <v>0</v>
      </c>
      <c r="I555" s="9">
        <v>0</v>
      </c>
      <c r="J555" s="10">
        <v>45485</v>
      </c>
      <c r="K555" s="9" t="s">
        <v>45</v>
      </c>
      <c r="L555" s="9" t="s">
        <v>26</v>
      </c>
      <c r="M555" s="9">
        <v>3119.37</v>
      </c>
    </row>
    <row r="556" spans="1:13" x14ac:dyDescent="0.35">
      <c r="A556" s="9">
        <v>2690</v>
      </c>
      <c r="B556" s="9" t="s">
        <v>34</v>
      </c>
      <c r="C556" s="9" t="s">
        <v>18</v>
      </c>
      <c r="D556" s="9" t="s">
        <v>41</v>
      </c>
      <c r="E556" s="9" t="s">
        <v>59</v>
      </c>
      <c r="F556" s="9">
        <v>0</v>
      </c>
      <c r="G556" s="9">
        <v>0</v>
      </c>
      <c r="H556" s="9">
        <v>0</v>
      </c>
      <c r="I556" s="9">
        <v>0</v>
      </c>
      <c r="J556" s="10">
        <v>45617</v>
      </c>
      <c r="K556" s="9" t="s">
        <v>45</v>
      </c>
      <c r="L556" s="9" t="s">
        <v>26</v>
      </c>
      <c r="M556" s="9">
        <v>1125.71</v>
      </c>
    </row>
    <row r="557" spans="1:13" x14ac:dyDescent="0.35">
      <c r="A557" s="9">
        <v>2692</v>
      </c>
      <c r="B557" s="9" t="s">
        <v>28</v>
      </c>
      <c r="C557" s="9" t="s">
        <v>18</v>
      </c>
      <c r="D557" s="9" t="s">
        <v>41</v>
      </c>
      <c r="E557" s="9" t="s">
        <v>62</v>
      </c>
      <c r="F557" s="9">
        <v>0</v>
      </c>
      <c r="G557" s="9">
        <v>0</v>
      </c>
      <c r="H557" s="9">
        <v>0.47</v>
      </c>
      <c r="I557" s="9">
        <v>0</v>
      </c>
      <c r="J557" s="10">
        <v>45445</v>
      </c>
      <c r="K557" s="9" t="s">
        <v>45</v>
      </c>
      <c r="L557" s="9" t="s">
        <v>25</v>
      </c>
      <c r="M557" s="9">
        <v>2528.27</v>
      </c>
    </row>
    <row r="558" spans="1:13" x14ac:dyDescent="0.35">
      <c r="A558" s="9">
        <v>2693</v>
      </c>
      <c r="B558" s="9" t="s">
        <v>34</v>
      </c>
      <c r="C558" s="9" t="s">
        <v>18</v>
      </c>
      <c r="D558" s="9" t="s">
        <v>38</v>
      </c>
      <c r="E558" s="9" t="s">
        <v>59</v>
      </c>
      <c r="F558" s="9">
        <v>0</v>
      </c>
      <c r="G558" s="9">
        <v>0</v>
      </c>
      <c r="H558" s="9">
        <v>0</v>
      </c>
      <c r="I558" s="9">
        <v>0</v>
      </c>
      <c r="J558" s="10">
        <v>45788</v>
      </c>
      <c r="K558" s="9" t="s">
        <v>45</v>
      </c>
      <c r="L558" s="9" t="s">
        <v>25</v>
      </c>
      <c r="M558" s="9">
        <v>262.12</v>
      </c>
    </row>
    <row r="559" spans="1:13" x14ac:dyDescent="0.35">
      <c r="A559" s="9">
        <v>2694</v>
      </c>
      <c r="B559" s="9" t="s">
        <v>28</v>
      </c>
      <c r="C559" s="9" t="s">
        <v>18</v>
      </c>
      <c r="D559" s="9" t="s">
        <v>41</v>
      </c>
      <c r="E559" s="9" t="s">
        <v>59</v>
      </c>
      <c r="F559" s="9">
        <v>0</v>
      </c>
      <c r="G559" s="9">
        <v>0</v>
      </c>
      <c r="H559" s="9">
        <v>0</v>
      </c>
      <c r="I559" s="9">
        <v>0</v>
      </c>
      <c r="J559" s="10">
        <v>45498</v>
      </c>
      <c r="K559" s="9" t="s">
        <v>45</v>
      </c>
      <c r="L559" s="9" t="s">
        <v>32</v>
      </c>
      <c r="M559" s="9">
        <v>-249.45</v>
      </c>
    </row>
    <row r="560" spans="1:13" x14ac:dyDescent="0.35">
      <c r="A560" s="9">
        <v>2695</v>
      </c>
      <c r="B560" s="9" t="s">
        <v>31</v>
      </c>
      <c r="C560" s="9" t="s">
        <v>22</v>
      </c>
      <c r="D560" s="9" t="s">
        <v>65</v>
      </c>
      <c r="E560" s="9" t="s">
        <v>60</v>
      </c>
      <c r="F560" s="9">
        <v>-1</v>
      </c>
      <c r="G560" s="9">
        <v>0</v>
      </c>
      <c r="H560" s="9">
        <v>0</v>
      </c>
      <c r="I560" s="9">
        <v>0</v>
      </c>
      <c r="J560" s="10">
        <v>45577</v>
      </c>
      <c r="K560" s="9" t="s">
        <v>45</v>
      </c>
      <c r="L560" s="9" t="s">
        <v>32</v>
      </c>
      <c r="M560" s="9">
        <v>3234.28</v>
      </c>
    </row>
    <row r="561" spans="1:13" x14ac:dyDescent="0.35">
      <c r="A561" s="9">
        <v>2696</v>
      </c>
      <c r="B561" s="9" t="s">
        <v>28</v>
      </c>
      <c r="C561" s="9" t="s">
        <v>21</v>
      </c>
      <c r="D561" s="9" t="s">
        <v>36</v>
      </c>
      <c r="E561" s="9" t="s">
        <v>60</v>
      </c>
      <c r="F561" s="9">
        <v>0</v>
      </c>
      <c r="G561" s="9">
        <v>0</v>
      </c>
      <c r="H561" s="9">
        <v>1</v>
      </c>
      <c r="I561" s="9">
        <v>0</v>
      </c>
      <c r="J561" s="10">
        <v>45618</v>
      </c>
      <c r="K561" s="9" t="s">
        <v>45</v>
      </c>
      <c r="L561" s="9" t="s">
        <v>26</v>
      </c>
      <c r="M561" s="9">
        <v>66.430000000000007</v>
      </c>
    </row>
    <row r="562" spans="1:13" x14ac:dyDescent="0.35">
      <c r="A562" s="9">
        <v>2697</v>
      </c>
      <c r="B562" s="9" t="s">
        <v>31</v>
      </c>
      <c r="C562" s="9" t="s">
        <v>22</v>
      </c>
      <c r="D562" s="9" t="s">
        <v>65</v>
      </c>
      <c r="E562" s="9" t="s">
        <v>59</v>
      </c>
      <c r="F562" s="9">
        <v>-1</v>
      </c>
      <c r="G562" s="9">
        <v>0</v>
      </c>
      <c r="H562" s="9">
        <v>0.09</v>
      </c>
      <c r="I562" s="9">
        <v>0</v>
      </c>
      <c r="J562" s="10">
        <v>45833</v>
      </c>
      <c r="K562" s="9" t="s">
        <v>45</v>
      </c>
      <c r="L562" s="9" t="s">
        <v>29</v>
      </c>
      <c r="M562" s="9">
        <v>681.86</v>
      </c>
    </row>
    <row r="563" spans="1:13" x14ac:dyDescent="0.35">
      <c r="A563" s="9">
        <v>2698</v>
      </c>
      <c r="B563" s="9" t="s">
        <v>31</v>
      </c>
      <c r="C563" s="9" t="s">
        <v>22</v>
      </c>
      <c r="D563" s="9" t="s">
        <v>30</v>
      </c>
      <c r="E563" s="9" t="s">
        <v>62</v>
      </c>
      <c r="F563" s="9">
        <v>0</v>
      </c>
      <c r="G563" s="9">
        <v>0</v>
      </c>
      <c r="H563" s="9">
        <v>0.02</v>
      </c>
      <c r="I563" s="9">
        <v>0</v>
      </c>
      <c r="J563" s="10">
        <v>45833</v>
      </c>
      <c r="K563" s="9" t="s">
        <v>44</v>
      </c>
      <c r="L563" s="9" t="s">
        <v>26</v>
      </c>
      <c r="M563" s="9">
        <v>1680.5</v>
      </c>
    </row>
    <row r="564" spans="1:13" x14ac:dyDescent="0.35">
      <c r="A564" s="9">
        <v>2699</v>
      </c>
      <c r="B564" s="9" t="s">
        <v>31</v>
      </c>
      <c r="C564" s="9" t="s">
        <v>21</v>
      </c>
      <c r="D564" s="9" t="s">
        <v>71</v>
      </c>
      <c r="E564" s="9" t="s">
        <v>62</v>
      </c>
      <c r="F564" s="9">
        <v>0</v>
      </c>
      <c r="G564" s="9">
        <v>0</v>
      </c>
      <c r="H564" s="9">
        <v>0</v>
      </c>
      <c r="I564" s="9">
        <v>0</v>
      </c>
      <c r="J564" s="10">
        <v>45709</v>
      </c>
      <c r="K564" s="9" t="s">
        <v>45</v>
      </c>
      <c r="L564" s="9" t="s">
        <v>26</v>
      </c>
      <c r="M564" s="9">
        <v>1052.6500000000001</v>
      </c>
    </row>
    <row r="565" spans="1:13" x14ac:dyDescent="0.35">
      <c r="A565" s="9">
        <v>2700</v>
      </c>
      <c r="B565" s="9" t="s">
        <v>34</v>
      </c>
      <c r="C565" s="9" t="s">
        <v>18</v>
      </c>
      <c r="D565" s="9" t="s">
        <v>41</v>
      </c>
      <c r="E565" s="9" t="s">
        <v>62</v>
      </c>
      <c r="F565" s="9">
        <v>0</v>
      </c>
      <c r="G565" s="9">
        <v>0</v>
      </c>
      <c r="H565" s="9">
        <v>0.48</v>
      </c>
      <c r="I565" s="9">
        <v>0</v>
      </c>
      <c r="J565" s="10">
        <v>45849</v>
      </c>
      <c r="K565" s="9" t="s">
        <v>44</v>
      </c>
      <c r="L565" s="9" t="s">
        <v>25</v>
      </c>
      <c r="M565" s="9">
        <v>1423.83</v>
      </c>
    </row>
    <row r="566" spans="1:13" x14ac:dyDescent="0.35">
      <c r="A566" s="9">
        <v>2701</v>
      </c>
      <c r="B566" s="9" t="s">
        <v>31</v>
      </c>
      <c r="C566" s="9" t="s">
        <v>18</v>
      </c>
      <c r="D566" s="9" t="s">
        <v>37</v>
      </c>
      <c r="E566" s="9" t="s">
        <v>62</v>
      </c>
      <c r="F566" s="9">
        <v>0</v>
      </c>
      <c r="G566" s="9">
        <v>0</v>
      </c>
      <c r="H566" s="9">
        <v>0</v>
      </c>
      <c r="I566" s="9">
        <v>0</v>
      </c>
      <c r="J566" s="10">
        <v>45625</v>
      </c>
      <c r="K566" s="9" t="s">
        <v>45</v>
      </c>
      <c r="L566" s="9" t="s">
        <v>29</v>
      </c>
      <c r="M566" s="9">
        <v>2007.01</v>
      </c>
    </row>
    <row r="567" spans="1:13" x14ac:dyDescent="0.35">
      <c r="A567" s="9">
        <v>2702</v>
      </c>
      <c r="B567" s="9" t="s">
        <v>31</v>
      </c>
      <c r="C567" s="9" t="s">
        <v>22</v>
      </c>
      <c r="D567" s="9" t="s">
        <v>67</v>
      </c>
      <c r="E567" s="9" t="s">
        <v>62</v>
      </c>
      <c r="F567" s="9">
        <v>0</v>
      </c>
      <c r="G567" s="9">
        <v>0</v>
      </c>
      <c r="H567" s="9">
        <v>0</v>
      </c>
      <c r="I567" s="9">
        <v>0</v>
      </c>
      <c r="J567" s="10">
        <v>45642</v>
      </c>
      <c r="K567" s="9" t="s">
        <v>45</v>
      </c>
      <c r="L567" s="9" t="s">
        <v>35</v>
      </c>
      <c r="M567" s="9">
        <v>687.32</v>
      </c>
    </row>
    <row r="568" spans="1:13" x14ac:dyDescent="0.35">
      <c r="A568" s="9">
        <v>2703</v>
      </c>
      <c r="B568" s="9" t="s">
        <v>34</v>
      </c>
      <c r="C568" s="9" t="s">
        <v>20</v>
      </c>
      <c r="D568" s="9" t="s">
        <v>70</v>
      </c>
      <c r="E568" s="9" t="s">
        <v>60</v>
      </c>
      <c r="F568" s="9">
        <v>0</v>
      </c>
      <c r="G568" s="9">
        <v>5214.32</v>
      </c>
      <c r="H568" s="9">
        <v>0</v>
      </c>
      <c r="I568" s="9">
        <v>0</v>
      </c>
      <c r="J568" s="10">
        <v>45832</v>
      </c>
      <c r="K568" s="9" t="s">
        <v>45</v>
      </c>
      <c r="L568" s="9" t="s">
        <v>27</v>
      </c>
      <c r="M568" s="9">
        <v>-637.13</v>
      </c>
    </row>
    <row r="569" spans="1:13" x14ac:dyDescent="0.35">
      <c r="A569" s="9">
        <v>2704</v>
      </c>
      <c r="B569" s="9" t="s">
        <v>28</v>
      </c>
      <c r="C569" s="9" t="s">
        <v>22</v>
      </c>
      <c r="D569" s="9" t="s">
        <v>30</v>
      </c>
      <c r="E569" s="9" t="s">
        <v>60</v>
      </c>
      <c r="F569" s="9">
        <v>0</v>
      </c>
      <c r="G569" s="9">
        <v>5094.43</v>
      </c>
      <c r="H569" s="9">
        <v>0</v>
      </c>
      <c r="I569" s="9">
        <v>0</v>
      </c>
      <c r="J569" s="10">
        <v>45832</v>
      </c>
      <c r="K569" s="9" t="s">
        <v>45</v>
      </c>
      <c r="L569" s="9" t="s">
        <v>32</v>
      </c>
      <c r="M569" s="9">
        <v>1765.36</v>
      </c>
    </row>
    <row r="570" spans="1:13" x14ac:dyDescent="0.35">
      <c r="A570" s="9">
        <v>2706</v>
      </c>
      <c r="B570" s="9" t="s">
        <v>28</v>
      </c>
      <c r="C570" s="9" t="s">
        <v>18</v>
      </c>
      <c r="D570" s="9" t="s">
        <v>38</v>
      </c>
      <c r="E570" s="9" t="s">
        <v>62</v>
      </c>
      <c r="F570" s="9">
        <v>0</v>
      </c>
      <c r="G570" s="9">
        <v>0</v>
      </c>
      <c r="H570" s="9">
        <v>0</v>
      </c>
      <c r="I570" s="9">
        <v>0</v>
      </c>
      <c r="J570" s="10">
        <v>45785</v>
      </c>
      <c r="K570" s="9" t="s">
        <v>44</v>
      </c>
      <c r="L570" s="9" t="s">
        <v>27</v>
      </c>
      <c r="M570" s="9">
        <v>3153.1</v>
      </c>
    </row>
    <row r="571" spans="1:13" x14ac:dyDescent="0.35">
      <c r="A571" s="9">
        <v>2707</v>
      </c>
      <c r="B571" s="9" t="s">
        <v>31</v>
      </c>
      <c r="C571" s="9" t="s">
        <v>20</v>
      </c>
      <c r="D571" s="9" t="s">
        <v>66</v>
      </c>
      <c r="E571" s="9" t="s">
        <v>62</v>
      </c>
      <c r="F571" s="9">
        <v>0</v>
      </c>
      <c r="G571" s="9">
        <v>2996.2</v>
      </c>
      <c r="H571" s="9">
        <v>0.49</v>
      </c>
      <c r="I571" s="9">
        <v>0</v>
      </c>
      <c r="J571" s="10">
        <v>45785</v>
      </c>
      <c r="K571" s="9" t="s">
        <v>45</v>
      </c>
      <c r="L571" s="9" t="s">
        <v>32</v>
      </c>
      <c r="M571" s="9">
        <v>2913.41</v>
      </c>
    </row>
    <row r="572" spans="1:13" x14ac:dyDescent="0.35">
      <c r="A572" s="9">
        <v>2708</v>
      </c>
      <c r="B572" s="9" t="s">
        <v>34</v>
      </c>
      <c r="C572" s="9" t="s">
        <v>22</v>
      </c>
      <c r="D572" s="9" t="s">
        <v>67</v>
      </c>
      <c r="E572" s="9" t="s">
        <v>60</v>
      </c>
      <c r="F572" s="9">
        <v>0</v>
      </c>
      <c r="G572" s="9">
        <v>4523.72</v>
      </c>
      <c r="H572" s="9">
        <v>0</v>
      </c>
      <c r="I572" s="9">
        <v>0</v>
      </c>
      <c r="J572" s="10">
        <v>45579</v>
      </c>
      <c r="K572" s="9" t="s">
        <v>45</v>
      </c>
      <c r="L572" s="9" t="s">
        <v>32</v>
      </c>
      <c r="M572" s="9">
        <v>-237.9</v>
      </c>
    </row>
    <row r="573" spans="1:13" x14ac:dyDescent="0.35">
      <c r="A573" s="9">
        <v>2709</v>
      </c>
      <c r="B573" s="9" t="s">
        <v>34</v>
      </c>
      <c r="C573" s="9" t="s">
        <v>20</v>
      </c>
      <c r="D573" s="9" t="s">
        <v>66</v>
      </c>
      <c r="E573" s="9" t="s">
        <v>59</v>
      </c>
      <c r="F573" s="9">
        <v>1</v>
      </c>
      <c r="G573" s="9">
        <v>6302.98</v>
      </c>
      <c r="H573" s="9">
        <v>0.48</v>
      </c>
      <c r="I573" s="9">
        <v>3277.55</v>
      </c>
      <c r="J573" s="10">
        <v>45724</v>
      </c>
      <c r="K573" s="9" t="s">
        <v>44</v>
      </c>
      <c r="L573" s="9" t="s">
        <v>29</v>
      </c>
      <c r="M573" s="9">
        <v>2835.93</v>
      </c>
    </row>
    <row r="574" spans="1:13" x14ac:dyDescent="0.35">
      <c r="A574" s="9">
        <v>2710</v>
      </c>
      <c r="B574" s="9" t="s">
        <v>28</v>
      </c>
      <c r="C574" s="9" t="s">
        <v>21</v>
      </c>
      <c r="D574" s="9" t="s">
        <v>36</v>
      </c>
      <c r="E574" s="9" t="s">
        <v>59</v>
      </c>
      <c r="F574" s="9">
        <v>2</v>
      </c>
      <c r="G574" s="9">
        <v>4669.75</v>
      </c>
      <c r="H574" s="9">
        <v>0</v>
      </c>
      <c r="I574" s="9">
        <v>0</v>
      </c>
      <c r="J574" s="10">
        <v>45724</v>
      </c>
      <c r="K574" s="9" t="s">
        <v>44</v>
      </c>
      <c r="L574" s="9" t="s">
        <v>25</v>
      </c>
      <c r="M574" s="9">
        <v>-987.12</v>
      </c>
    </row>
    <row r="575" spans="1:13" x14ac:dyDescent="0.35">
      <c r="A575" s="9">
        <v>2711</v>
      </c>
      <c r="B575" s="9" t="s">
        <v>31</v>
      </c>
      <c r="C575" s="9" t="s">
        <v>19</v>
      </c>
      <c r="D575" s="9" t="s">
        <v>63</v>
      </c>
      <c r="E575" s="9" t="s">
        <v>59</v>
      </c>
      <c r="F575" s="9">
        <v>2</v>
      </c>
      <c r="G575" s="9">
        <v>0</v>
      </c>
      <c r="H575" s="9">
        <v>0</v>
      </c>
      <c r="I575" s="9">
        <v>0</v>
      </c>
      <c r="J575" s="10">
        <v>45724</v>
      </c>
      <c r="K575" s="9" t="s">
        <v>45</v>
      </c>
      <c r="L575" s="9" t="s">
        <v>29</v>
      </c>
      <c r="M575" s="9">
        <v>756.18</v>
      </c>
    </row>
    <row r="576" spans="1:13" x14ac:dyDescent="0.35">
      <c r="A576" s="9">
        <v>2712</v>
      </c>
      <c r="B576" s="9" t="s">
        <v>28</v>
      </c>
      <c r="C576" s="9" t="s">
        <v>20</v>
      </c>
      <c r="D576" s="9" t="s">
        <v>70</v>
      </c>
      <c r="E576" s="9" t="s">
        <v>62</v>
      </c>
      <c r="F576" s="9">
        <v>0</v>
      </c>
      <c r="G576" s="9">
        <v>0</v>
      </c>
      <c r="H576" s="9">
        <v>0</v>
      </c>
      <c r="I576" s="9">
        <v>0</v>
      </c>
      <c r="J576" s="10">
        <v>45495</v>
      </c>
      <c r="K576" s="9" t="s">
        <v>44</v>
      </c>
      <c r="L576" s="9" t="s">
        <v>29</v>
      </c>
      <c r="M576" s="9">
        <v>3024.11</v>
      </c>
    </row>
    <row r="577" spans="1:13" x14ac:dyDescent="0.35">
      <c r="A577" s="9">
        <v>2713</v>
      </c>
      <c r="B577" s="9" t="s">
        <v>31</v>
      </c>
      <c r="C577" s="9" t="s">
        <v>21</v>
      </c>
      <c r="D577" s="9" t="s">
        <v>40</v>
      </c>
      <c r="E577" s="9" t="s">
        <v>60</v>
      </c>
      <c r="F577" s="9">
        <v>1</v>
      </c>
      <c r="G577" s="9">
        <v>7877.36</v>
      </c>
      <c r="H577" s="9">
        <v>0.55000000000000004</v>
      </c>
      <c r="I577" s="9">
        <v>3544.81</v>
      </c>
      <c r="J577" s="10">
        <v>45787</v>
      </c>
      <c r="K577" s="9" t="s">
        <v>44</v>
      </c>
      <c r="L577" s="9" t="s">
        <v>27</v>
      </c>
      <c r="M577" s="9">
        <v>3663.49</v>
      </c>
    </row>
    <row r="578" spans="1:13" x14ac:dyDescent="0.35">
      <c r="A578" s="9">
        <v>2715</v>
      </c>
      <c r="B578" s="9" t="s">
        <v>34</v>
      </c>
      <c r="C578" s="9" t="s">
        <v>22</v>
      </c>
      <c r="D578" s="9" t="s">
        <v>30</v>
      </c>
      <c r="E578" s="9" t="s">
        <v>60</v>
      </c>
      <c r="F578" s="9">
        <v>0</v>
      </c>
      <c r="G578" s="9">
        <v>0</v>
      </c>
      <c r="H578" s="9">
        <v>1.07</v>
      </c>
      <c r="I578" s="9">
        <v>0</v>
      </c>
      <c r="J578" s="10">
        <v>45821</v>
      </c>
      <c r="K578" s="9" t="s">
        <v>45</v>
      </c>
      <c r="L578" s="9" t="s">
        <v>27</v>
      </c>
      <c r="M578" s="9">
        <v>-1164.3699999999999</v>
      </c>
    </row>
    <row r="579" spans="1:13" x14ac:dyDescent="0.35">
      <c r="A579" s="9">
        <v>2716</v>
      </c>
      <c r="B579" s="9" t="s">
        <v>34</v>
      </c>
      <c r="C579" s="9" t="s">
        <v>18</v>
      </c>
      <c r="D579" s="9" t="s">
        <v>37</v>
      </c>
      <c r="E579" s="9" t="s">
        <v>59</v>
      </c>
      <c r="F579" s="9">
        <v>0</v>
      </c>
      <c r="G579" s="9">
        <v>4830.96</v>
      </c>
      <c r="H579" s="9">
        <v>0</v>
      </c>
      <c r="I579" s="9">
        <v>0</v>
      </c>
      <c r="J579" s="10">
        <v>45613</v>
      </c>
      <c r="K579" s="9" t="s">
        <v>45</v>
      </c>
      <c r="L579" s="9" t="s">
        <v>35</v>
      </c>
      <c r="M579" s="9">
        <v>1344.73</v>
      </c>
    </row>
    <row r="580" spans="1:13" x14ac:dyDescent="0.35">
      <c r="A580" s="9">
        <v>2717</v>
      </c>
      <c r="B580" s="9" t="s">
        <v>31</v>
      </c>
      <c r="C580" s="9" t="s">
        <v>20</v>
      </c>
      <c r="D580" s="9" t="s">
        <v>66</v>
      </c>
      <c r="E580" s="9" t="s">
        <v>59</v>
      </c>
      <c r="F580" s="9">
        <v>0</v>
      </c>
      <c r="G580" s="9">
        <v>9473.09</v>
      </c>
      <c r="H580" s="9">
        <v>0</v>
      </c>
      <c r="I580" s="9">
        <v>0</v>
      </c>
      <c r="J580" s="10">
        <v>45613</v>
      </c>
      <c r="K580" s="9" t="s">
        <v>45</v>
      </c>
      <c r="L580" s="9" t="s">
        <v>29</v>
      </c>
      <c r="M580" s="9">
        <v>3055.36</v>
      </c>
    </row>
    <row r="581" spans="1:13" x14ac:dyDescent="0.35">
      <c r="A581" s="9">
        <v>2718</v>
      </c>
      <c r="B581" s="9" t="s">
        <v>31</v>
      </c>
      <c r="C581" s="9" t="s">
        <v>22</v>
      </c>
      <c r="D581" s="9" t="s">
        <v>30</v>
      </c>
      <c r="E581" s="9" t="s">
        <v>59</v>
      </c>
      <c r="F581" s="9">
        <v>0</v>
      </c>
      <c r="G581" s="9">
        <v>8485.23</v>
      </c>
      <c r="H581" s="9">
        <v>0</v>
      </c>
      <c r="I581" s="9">
        <v>0</v>
      </c>
      <c r="J581" s="10">
        <v>45613</v>
      </c>
      <c r="K581" s="9" t="s">
        <v>44</v>
      </c>
      <c r="L581" s="9" t="s">
        <v>25</v>
      </c>
      <c r="M581" s="9">
        <v>637.62</v>
      </c>
    </row>
    <row r="582" spans="1:13" x14ac:dyDescent="0.35">
      <c r="A582" s="9">
        <v>2720</v>
      </c>
      <c r="B582" s="9" t="s">
        <v>34</v>
      </c>
      <c r="C582" s="9" t="s">
        <v>18</v>
      </c>
      <c r="D582" s="9" t="s">
        <v>38</v>
      </c>
      <c r="E582" s="9" t="s">
        <v>59</v>
      </c>
      <c r="F582" s="9">
        <v>0</v>
      </c>
      <c r="G582" s="9">
        <v>0</v>
      </c>
      <c r="H582" s="9">
        <v>0</v>
      </c>
      <c r="I582" s="9">
        <v>0</v>
      </c>
      <c r="J582" s="10">
        <v>45613</v>
      </c>
      <c r="K582" s="9" t="s">
        <v>44</v>
      </c>
      <c r="L582" s="9" t="s">
        <v>29</v>
      </c>
      <c r="M582" s="9">
        <v>2548.7800000000002</v>
      </c>
    </row>
    <row r="583" spans="1:13" x14ac:dyDescent="0.35">
      <c r="A583" s="9">
        <v>2721</v>
      </c>
      <c r="B583" s="9" t="s">
        <v>34</v>
      </c>
      <c r="C583" s="9" t="s">
        <v>18</v>
      </c>
      <c r="D583" s="9" t="s">
        <v>33</v>
      </c>
      <c r="E583" s="9" t="s">
        <v>60</v>
      </c>
      <c r="F583" s="9">
        <v>0</v>
      </c>
      <c r="G583" s="9">
        <v>0</v>
      </c>
      <c r="H583" s="9">
        <v>0</v>
      </c>
      <c r="I583" s="9">
        <v>0</v>
      </c>
      <c r="J583" s="10">
        <v>45241</v>
      </c>
      <c r="K583" s="9" t="s">
        <v>45</v>
      </c>
      <c r="L583" s="9" t="s">
        <v>25</v>
      </c>
      <c r="M583" s="9">
        <v>1275.23</v>
      </c>
    </row>
    <row r="584" spans="1:13" x14ac:dyDescent="0.35">
      <c r="A584" s="9">
        <v>2722</v>
      </c>
      <c r="B584" s="9" t="s">
        <v>28</v>
      </c>
      <c r="C584" s="9" t="s">
        <v>21</v>
      </c>
      <c r="D584" s="9" t="s">
        <v>71</v>
      </c>
      <c r="E584" s="9" t="s">
        <v>60</v>
      </c>
      <c r="F584" s="9">
        <v>0</v>
      </c>
      <c r="G584" s="9">
        <v>0</v>
      </c>
      <c r="H584" s="9">
        <v>0.09</v>
      </c>
      <c r="I584" s="9">
        <v>0</v>
      </c>
      <c r="J584" s="10">
        <v>45565</v>
      </c>
      <c r="K584" s="9" t="s">
        <v>45</v>
      </c>
      <c r="L584" s="9" t="s">
        <v>27</v>
      </c>
      <c r="M584" s="9">
        <v>818.65</v>
      </c>
    </row>
    <row r="585" spans="1:13" x14ac:dyDescent="0.35">
      <c r="A585" s="9">
        <v>2723</v>
      </c>
      <c r="B585" s="9" t="s">
        <v>28</v>
      </c>
      <c r="C585" s="9" t="s">
        <v>21</v>
      </c>
      <c r="D585" s="9" t="s">
        <v>71</v>
      </c>
      <c r="E585" s="9" t="s">
        <v>62</v>
      </c>
      <c r="F585" s="9">
        <v>0</v>
      </c>
      <c r="G585" s="9">
        <v>3403.54</v>
      </c>
      <c r="H585" s="9">
        <v>0</v>
      </c>
      <c r="I585" s="9">
        <v>0</v>
      </c>
      <c r="J585" s="10">
        <v>45726</v>
      </c>
      <c r="K585" s="9" t="s">
        <v>45</v>
      </c>
      <c r="L585" s="9" t="s">
        <v>27</v>
      </c>
      <c r="M585" s="9">
        <v>221.41</v>
      </c>
    </row>
    <row r="586" spans="1:13" x14ac:dyDescent="0.35">
      <c r="A586" s="9">
        <v>2724</v>
      </c>
      <c r="B586" s="9" t="s">
        <v>28</v>
      </c>
      <c r="C586" s="9" t="s">
        <v>18</v>
      </c>
      <c r="D586" s="9" t="s">
        <v>33</v>
      </c>
      <c r="E586" s="9" t="s">
        <v>60</v>
      </c>
      <c r="F586" s="9">
        <v>0</v>
      </c>
      <c r="G586" s="9">
        <v>8007.22</v>
      </c>
      <c r="H586" s="9">
        <v>0</v>
      </c>
      <c r="I586" s="9">
        <v>0</v>
      </c>
      <c r="J586" s="10">
        <v>45673</v>
      </c>
      <c r="K586" s="9" t="s">
        <v>45</v>
      </c>
      <c r="L586" s="9" t="s">
        <v>29</v>
      </c>
      <c r="M586" s="9">
        <v>1190.2</v>
      </c>
    </row>
    <row r="587" spans="1:13" x14ac:dyDescent="0.35">
      <c r="A587" s="9">
        <v>2012</v>
      </c>
      <c r="B587" s="9" t="s">
        <v>31</v>
      </c>
      <c r="C587" s="9" t="s">
        <v>21</v>
      </c>
      <c r="D587" s="9" t="s">
        <v>71</v>
      </c>
      <c r="E587" s="9" t="s">
        <v>62</v>
      </c>
      <c r="F587" s="9">
        <v>0</v>
      </c>
      <c r="G587" s="9">
        <v>2174.89</v>
      </c>
      <c r="H587" s="9">
        <v>0</v>
      </c>
      <c r="I587" s="9">
        <v>0</v>
      </c>
      <c r="J587" s="10">
        <v>45673</v>
      </c>
      <c r="K587" s="9" t="s">
        <v>44</v>
      </c>
      <c r="L587" s="9" t="s">
        <v>27</v>
      </c>
      <c r="M587" s="9">
        <v>-406.38</v>
      </c>
    </row>
    <row r="588" spans="1:13" x14ac:dyDescent="0.35">
      <c r="A588" s="9">
        <v>2727</v>
      </c>
      <c r="B588" s="9" t="s">
        <v>31</v>
      </c>
      <c r="C588" s="9" t="s">
        <v>21</v>
      </c>
      <c r="D588" s="9" t="s">
        <v>64</v>
      </c>
      <c r="E588" s="9" t="s">
        <v>59</v>
      </c>
      <c r="F588" s="9">
        <v>0</v>
      </c>
      <c r="G588" s="9">
        <v>6154.32</v>
      </c>
      <c r="H588" s="9">
        <v>0.94</v>
      </c>
      <c r="I588" s="9">
        <v>0</v>
      </c>
      <c r="J588" s="10">
        <v>45673</v>
      </c>
      <c r="K588" s="9" t="s">
        <v>45</v>
      </c>
      <c r="L588" s="9" t="s">
        <v>27</v>
      </c>
      <c r="M588" s="9">
        <v>2004.4</v>
      </c>
    </row>
    <row r="589" spans="1:13" x14ac:dyDescent="0.35">
      <c r="A589" s="9">
        <v>2018</v>
      </c>
      <c r="B589" s="9" t="s">
        <v>34</v>
      </c>
      <c r="C589" s="9" t="s">
        <v>19</v>
      </c>
      <c r="D589" s="9" t="s">
        <v>42</v>
      </c>
      <c r="E589" s="9" t="s">
        <v>60</v>
      </c>
      <c r="F589" s="9">
        <v>0</v>
      </c>
      <c r="G589" s="9">
        <v>0</v>
      </c>
      <c r="H589" s="9">
        <v>0</v>
      </c>
      <c r="I589" s="9">
        <v>0</v>
      </c>
      <c r="J589" s="10">
        <v>45703</v>
      </c>
      <c r="K589" s="9" t="s">
        <v>44</v>
      </c>
      <c r="L589" s="9" t="s">
        <v>25</v>
      </c>
      <c r="M589" s="9">
        <v>-701.28</v>
      </c>
    </row>
    <row r="590" spans="1:13" x14ac:dyDescent="0.35">
      <c r="A590" s="9">
        <v>2731</v>
      </c>
      <c r="B590" s="9" t="s">
        <v>34</v>
      </c>
      <c r="C590" s="9" t="s">
        <v>21</v>
      </c>
      <c r="D590" s="9" t="s">
        <v>71</v>
      </c>
      <c r="E590" s="9" t="s">
        <v>59</v>
      </c>
      <c r="F590" s="9">
        <v>3</v>
      </c>
      <c r="G590" s="9">
        <v>0</v>
      </c>
      <c r="H590" s="9">
        <v>0</v>
      </c>
      <c r="I590" s="9">
        <v>0</v>
      </c>
      <c r="J590" s="10">
        <v>45744</v>
      </c>
      <c r="K590" s="9" t="s">
        <v>45</v>
      </c>
      <c r="L590" s="9" t="s">
        <v>27</v>
      </c>
      <c r="M590" s="9">
        <v>3961.27</v>
      </c>
    </row>
    <row r="591" spans="1:13" x14ac:dyDescent="0.35">
      <c r="A591" s="9">
        <v>2732</v>
      </c>
      <c r="B591" s="9" t="s">
        <v>28</v>
      </c>
      <c r="C591" s="9" t="s">
        <v>18</v>
      </c>
      <c r="D591" s="9" t="s">
        <v>37</v>
      </c>
      <c r="E591" s="9" t="s">
        <v>59</v>
      </c>
      <c r="F591" s="9">
        <v>0</v>
      </c>
      <c r="G591" s="9">
        <v>3402.8</v>
      </c>
      <c r="H591" s="9">
        <v>0</v>
      </c>
      <c r="I591" s="9">
        <v>0</v>
      </c>
      <c r="J591" s="10">
        <v>45717</v>
      </c>
      <c r="K591" s="9" t="s">
        <v>45</v>
      </c>
      <c r="L591" s="9" t="s">
        <v>32</v>
      </c>
      <c r="M591" s="9">
        <v>1045.5</v>
      </c>
    </row>
    <row r="592" spans="1:13" x14ac:dyDescent="0.35">
      <c r="A592" s="9">
        <v>2733</v>
      </c>
      <c r="B592" s="9" t="s">
        <v>28</v>
      </c>
      <c r="C592" s="9" t="s">
        <v>20</v>
      </c>
      <c r="D592" s="9" t="s">
        <v>66</v>
      </c>
      <c r="E592" s="9" t="s">
        <v>60</v>
      </c>
      <c r="F592" s="9">
        <v>0</v>
      </c>
      <c r="G592" s="9">
        <v>6743.38</v>
      </c>
      <c r="H592" s="9">
        <v>0</v>
      </c>
      <c r="I592" s="9">
        <v>0</v>
      </c>
      <c r="J592" s="10">
        <v>45618</v>
      </c>
      <c r="K592" s="9" t="s">
        <v>45</v>
      </c>
      <c r="L592" s="9" t="s">
        <v>35</v>
      </c>
      <c r="M592" s="9">
        <v>1908.63</v>
      </c>
    </row>
    <row r="593" spans="1:13" x14ac:dyDescent="0.35">
      <c r="A593" s="9">
        <v>2735</v>
      </c>
      <c r="B593" s="9" t="s">
        <v>34</v>
      </c>
      <c r="C593" s="9" t="s">
        <v>20</v>
      </c>
      <c r="D593" s="9" t="s">
        <v>66</v>
      </c>
      <c r="E593" s="9" t="s">
        <v>62</v>
      </c>
      <c r="F593" s="9">
        <v>0</v>
      </c>
      <c r="G593" s="9">
        <v>0</v>
      </c>
      <c r="H593" s="9">
        <v>0</v>
      </c>
      <c r="I593" s="9">
        <v>0</v>
      </c>
      <c r="J593" s="10">
        <v>45509</v>
      </c>
      <c r="K593" s="9" t="s">
        <v>45</v>
      </c>
      <c r="L593" s="9" t="s">
        <v>27</v>
      </c>
      <c r="M593" s="9">
        <v>928.63</v>
      </c>
    </row>
    <row r="594" spans="1:13" x14ac:dyDescent="0.35">
      <c r="A594" s="9">
        <v>2737</v>
      </c>
      <c r="B594" s="9" t="s">
        <v>34</v>
      </c>
      <c r="C594" s="9" t="s">
        <v>22</v>
      </c>
      <c r="D594" s="9" t="s">
        <v>67</v>
      </c>
      <c r="E594" s="9" t="s">
        <v>62</v>
      </c>
      <c r="F594" s="9">
        <v>0</v>
      </c>
      <c r="G594" s="9">
        <v>0</v>
      </c>
      <c r="H594" s="9">
        <v>0</v>
      </c>
      <c r="I594" s="9">
        <v>0</v>
      </c>
      <c r="J594" s="10">
        <v>45545</v>
      </c>
      <c r="K594" s="9" t="s">
        <v>44</v>
      </c>
      <c r="L594" s="9" t="s">
        <v>26</v>
      </c>
      <c r="M594" s="9">
        <v>144.37</v>
      </c>
    </row>
    <row r="595" spans="1:13" x14ac:dyDescent="0.35">
      <c r="A595" s="9">
        <v>2738</v>
      </c>
      <c r="B595" s="9" t="s">
        <v>28</v>
      </c>
      <c r="C595" s="9" t="s">
        <v>18</v>
      </c>
      <c r="D595" s="9" t="s">
        <v>38</v>
      </c>
      <c r="E595" s="9" t="s">
        <v>59</v>
      </c>
      <c r="F595" s="9">
        <v>3</v>
      </c>
      <c r="G595" s="9">
        <v>0</v>
      </c>
      <c r="H595" s="9">
        <v>0.39</v>
      </c>
      <c r="I595" s="9">
        <v>0</v>
      </c>
      <c r="J595" s="10">
        <v>45788</v>
      </c>
      <c r="K595" s="9" t="s">
        <v>44</v>
      </c>
      <c r="L595" s="9" t="s">
        <v>35</v>
      </c>
      <c r="M595" s="9">
        <v>-712.53</v>
      </c>
    </row>
    <row r="596" spans="1:13" x14ac:dyDescent="0.35">
      <c r="A596" s="9">
        <v>2739</v>
      </c>
      <c r="B596" s="9" t="s">
        <v>34</v>
      </c>
      <c r="C596" s="9" t="s">
        <v>20</v>
      </c>
      <c r="D596" s="9" t="s">
        <v>66</v>
      </c>
      <c r="E596" s="9" t="s">
        <v>60</v>
      </c>
      <c r="F596" s="9">
        <v>2</v>
      </c>
      <c r="G596" s="9">
        <v>0</v>
      </c>
      <c r="H596" s="9">
        <v>0.26</v>
      </c>
      <c r="I596" s="9">
        <v>0</v>
      </c>
      <c r="J596" s="10">
        <v>45692</v>
      </c>
      <c r="K596" s="9" t="s">
        <v>45</v>
      </c>
      <c r="L596" s="9" t="s">
        <v>27</v>
      </c>
      <c r="M596" s="9">
        <v>2350.69</v>
      </c>
    </row>
    <row r="597" spans="1:13" x14ac:dyDescent="0.35">
      <c r="A597" s="9">
        <v>2740</v>
      </c>
      <c r="B597" s="9" t="s">
        <v>28</v>
      </c>
      <c r="C597" s="9" t="s">
        <v>21</v>
      </c>
      <c r="D597" s="9" t="s">
        <v>40</v>
      </c>
      <c r="E597" s="9" t="s">
        <v>62</v>
      </c>
      <c r="F597" s="9">
        <v>1</v>
      </c>
      <c r="G597" s="9">
        <v>4922.1899999999996</v>
      </c>
      <c r="H597" s="9">
        <v>0</v>
      </c>
      <c r="I597" s="9">
        <v>0</v>
      </c>
      <c r="J597" s="10">
        <v>45692</v>
      </c>
      <c r="K597" s="9" t="s">
        <v>44</v>
      </c>
      <c r="L597" s="9" t="s">
        <v>25</v>
      </c>
      <c r="M597" s="9">
        <v>3820.48</v>
      </c>
    </row>
    <row r="598" spans="1:13" x14ac:dyDescent="0.35">
      <c r="A598" s="9">
        <v>2741</v>
      </c>
      <c r="B598" s="9" t="s">
        <v>28</v>
      </c>
      <c r="C598" s="9" t="s">
        <v>18</v>
      </c>
      <c r="D598" s="9" t="s">
        <v>37</v>
      </c>
      <c r="E598" s="9" t="s">
        <v>60</v>
      </c>
      <c r="F598" s="9">
        <v>0</v>
      </c>
      <c r="G598" s="9">
        <v>5241.8999999999996</v>
      </c>
      <c r="H598" s="9">
        <v>0</v>
      </c>
      <c r="I598" s="9">
        <v>0</v>
      </c>
      <c r="J598" s="10">
        <v>45672</v>
      </c>
      <c r="K598" s="9" t="s">
        <v>45</v>
      </c>
      <c r="L598" s="9" t="s">
        <v>32</v>
      </c>
      <c r="M598" s="9">
        <v>-295.49</v>
      </c>
    </row>
    <row r="599" spans="1:13" x14ac:dyDescent="0.35">
      <c r="A599" s="9">
        <v>2742</v>
      </c>
      <c r="B599" s="9" t="s">
        <v>34</v>
      </c>
      <c r="C599" s="9" t="s">
        <v>21</v>
      </c>
      <c r="D599" s="9" t="s">
        <v>36</v>
      </c>
      <c r="E599" s="9" t="s">
        <v>62</v>
      </c>
      <c r="F599" s="9">
        <v>0</v>
      </c>
      <c r="G599" s="9">
        <v>7063.25</v>
      </c>
      <c r="H599" s="9">
        <v>0</v>
      </c>
      <c r="I599" s="9">
        <v>0</v>
      </c>
      <c r="J599" s="10">
        <v>45610</v>
      </c>
      <c r="K599" s="9" t="s">
        <v>45</v>
      </c>
      <c r="L599" s="9" t="s">
        <v>26</v>
      </c>
      <c r="M599" s="9">
        <v>3746.48</v>
      </c>
    </row>
    <row r="600" spans="1:13" x14ac:dyDescent="0.35">
      <c r="A600" s="9">
        <v>2003</v>
      </c>
      <c r="B600" s="9" t="s">
        <v>28</v>
      </c>
      <c r="C600" s="9" t="s">
        <v>18</v>
      </c>
      <c r="D600" s="9" t="s">
        <v>38</v>
      </c>
      <c r="E600" s="9" t="s">
        <v>62</v>
      </c>
      <c r="F600" s="9">
        <v>4</v>
      </c>
      <c r="G600" s="9">
        <v>7850.87</v>
      </c>
      <c r="H600" s="9">
        <v>1.02</v>
      </c>
      <c r="I600" s="9">
        <v>-628.07000000000005</v>
      </c>
      <c r="J600" s="10">
        <v>45748</v>
      </c>
      <c r="K600" s="9" t="s">
        <v>45</v>
      </c>
      <c r="L600" s="9" t="s">
        <v>27</v>
      </c>
      <c r="M600" s="9">
        <v>992.14</v>
      </c>
    </row>
    <row r="601" spans="1:13" x14ac:dyDescent="0.35">
      <c r="A601" s="9">
        <v>2745</v>
      </c>
      <c r="B601" s="9" t="s">
        <v>31</v>
      </c>
      <c r="C601" s="9" t="s">
        <v>19</v>
      </c>
      <c r="D601" s="9" t="s">
        <v>69</v>
      </c>
      <c r="E601" s="9" t="s">
        <v>62</v>
      </c>
      <c r="F601" s="9">
        <v>-1</v>
      </c>
      <c r="G601" s="9">
        <v>0</v>
      </c>
      <c r="H601" s="9">
        <v>0.94</v>
      </c>
      <c r="I601" s="9">
        <v>0</v>
      </c>
      <c r="J601" s="10">
        <v>45657</v>
      </c>
      <c r="K601" s="9" t="s">
        <v>44</v>
      </c>
      <c r="L601" s="9" t="s">
        <v>32</v>
      </c>
      <c r="M601" s="9">
        <v>501.65</v>
      </c>
    </row>
    <row r="602" spans="1:13" x14ac:dyDescent="0.35">
      <c r="A602" s="9">
        <v>2746</v>
      </c>
      <c r="B602" s="9" t="s">
        <v>28</v>
      </c>
      <c r="C602" s="9" t="s">
        <v>22</v>
      </c>
      <c r="D602" s="9" t="s">
        <v>65</v>
      </c>
      <c r="E602" s="9" t="s">
        <v>60</v>
      </c>
      <c r="F602" s="9">
        <v>-1</v>
      </c>
      <c r="G602" s="9">
        <v>9795.69</v>
      </c>
      <c r="H602" s="9">
        <v>0</v>
      </c>
      <c r="I602" s="9">
        <v>0</v>
      </c>
      <c r="J602" s="10">
        <v>45556</v>
      </c>
      <c r="K602" s="9" t="s">
        <v>45</v>
      </c>
      <c r="L602" s="9" t="s">
        <v>26</v>
      </c>
      <c r="M602" s="9">
        <v>1044.46</v>
      </c>
    </row>
    <row r="603" spans="1:13" x14ac:dyDescent="0.35">
      <c r="A603" s="9">
        <v>2747</v>
      </c>
      <c r="B603" s="9" t="s">
        <v>31</v>
      </c>
      <c r="C603" s="9" t="s">
        <v>19</v>
      </c>
      <c r="D603" s="9" t="s">
        <v>42</v>
      </c>
      <c r="E603" s="9" t="s">
        <v>62</v>
      </c>
      <c r="F603" s="9">
        <v>4</v>
      </c>
      <c r="G603" s="9">
        <v>2483.9699999999998</v>
      </c>
      <c r="H603" s="9">
        <v>0</v>
      </c>
      <c r="I603" s="9">
        <v>0</v>
      </c>
      <c r="J603" s="10">
        <v>45556</v>
      </c>
      <c r="K603" s="9" t="s">
        <v>45</v>
      </c>
      <c r="L603" s="9" t="s">
        <v>29</v>
      </c>
      <c r="M603" s="9">
        <v>-609.36</v>
      </c>
    </row>
    <row r="604" spans="1:13" x14ac:dyDescent="0.35">
      <c r="A604" s="9">
        <v>2748</v>
      </c>
      <c r="B604" s="9" t="s">
        <v>31</v>
      </c>
      <c r="C604" s="9" t="s">
        <v>22</v>
      </c>
      <c r="D604" s="9" t="s">
        <v>67</v>
      </c>
      <c r="E604" s="9" t="s">
        <v>62</v>
      </c>
      <c r="F604" s="9">
        <v>0</v>
      </c>
      <c r="G604" s="9">
        <v>0</v>
      </c>
      <c r="H604" s="9">
        <v>0.05</v>
      </c>
      <c r="I604" s="9">
        <v>0</v>
      </c>
      <c r="J604" s="10">
        <v>45518</v>
      </c>
      <c r="K604" s="9" t="s">
        <v>44</v>
      </c>
      <c r="L604" s="9" t="s">
        <v>35</v>
      </c>
      <c r="M604" s="9">
        <v>1010.96</v>
      </c>
    </row>
    <row r="605" spans="1:13" x14ac:dyDescent="0.35">
      <c r="A605" s="9">
        <v>2750</v>
      </c>
      <c r="B605" s="9" t="s">
        <v>28</v>
      </c>
      <c r="C605" s="9" t="s">
        <v>21</v>
      </c>
      <c r="D605" s="9" t="s">
        <v>71</v>
      </c>
      <c r="E605" s="9" t="s">
        <v>60</v>
      </c>
      <c r="F605" s="9">
        <v>0</v>
      </c>
      <c r="G605" s="9">
        <v>0</v>
      </c>
      <c r="H605" s="9">
        <v>0</v>
      </c>
      <c r="I605" s="9">
        <v>0</v>
      </c>
      <c r="J605" s="10">
        <v>45518</v>
      </c>
      <c r="K605" s="9" t="s">
        <v>45</v>
      </c>
      <c r="L605" s="9" t="s">
        <v>32</v>
      </c>
      <c r="M605" s="9">
        <v>2924.09</v>
      </c>
    </row>
    <row r="606" spans="1:13" x14ac:dyDescent="0.35">
      <c r="A606" s="9">
        <v>2751</v>
      </c>
      <c r="B606" s="9" t="s">
        <v>31</v>
      </c>
      <c r="C606" s="9" t="s">
        <v>22</v>
      </c>
      <c r="D606" s="9" t="s">
        <v>65</v>
      </c>
      <c r="E606" s="9" t="s">
        <v>62</v>
      </c>
      <c r="F606" s="9">
        <v>0</v>
      </c>
      <c r="G606" s="9">
        <v>4776.83</v>
      </c>
      <c r="H606" s="9">
        <v>0</v>
      </c>
      <c r="I606" s="9">
        <v>0</v>
      </c>
      <c r="J606" s="10">
        <v>45725</v>
      </c>
      <c r="K606" s="9" t="s">
        <v>44</v>
      </c>
      <c r="L606" s="9" t="s">
        <v>29</v>
      </c>
      <c r="M606" s="9">
        <v>2857.99</v>
      </c>
    </row>
    <row r="607" spans="1:13" x14ac:dyDescent="0.35">
      <c r="A607" s="9">
        <v>2753</v>
      </c>
      <c r="B607" s="9" t="s">
        <v>31</v>
      </c>
      <c r="C607" s="9" t="s">
        <v>20</v>
      </c>
      <c r="D607" s="9" t="s">
        <v>70</v>
      </c>
      <c r="E607" s="9" t="s">
        <v>60</v>
      </c>
      <c r="F607" s="9">
        <v>0</v>
      </c>
      <c r="G607" s="9">
        <v>0</v>
      </c>
      <c r="H607" s="9">
        <v>0</v>
      </c>
      <c r="I607" s="9">
        <v>0</v>
      </c>
      <c r="J607" s="10">
        <v>45628</v>
      </c>
      <c r="K607" s="9" t="s">
        <v>44</v>
      </c>
      <c r="L607" s="9" t="s">
        <v>27</v>
      </c>
      <c r="M607" s="9">
        <v>-364.23</v>
      </c>
    </row>
    <row r="608" spans="1:13" x14ac:dyDescent="0.35">
      <c r="A608" s="9">
        <v>2754</v>
      </c>
      <c r="B608" s="9" t="s">
        <v>34</v>
      </c>
      <c r="C608" s="9" t="s">
        <v>18</v>
      </c>
      <c r="D608" s="9" t="s">
        <v>38</v>
      </c>
      <c r="E608" s="9" t="s">
        <v>62</v>
      </c>
      <c r="F608" s="9">
        <v>1</v>
      </c>
      <c r="G608" s="9">
        <v>0</v>
      </c>
      <c r="H608" s="9">
        <v>0</v>
      </c>
      <c r="I608" s="9">
        <v>0</v>
      </c>
      <c r="J608" s="10">
        <v>45660</v>
      </c>
      <c r="K608" s="9" t="s">
        <v>45</v>
      </c>
      <c r="L608" s="9" t="s">
        <v>27</v>
      </c>
      <c r="M608" s="9">
        <v>3565.12</v>
      </c>
    </row>
    <row r="609" spans="1:13" x14ac:dyDescent="0.35">
      <c r="A609" s="9">
        <v>2755</v>
      </c>
      <c r="B609" s="9" t="s">
        <v>31</v>
      </c>
      <c r="C609" s="9" t="s">
        <v>20</v>
      </c>
      <c r="D609" s="9" t="s">
        <v>61</v>
      </c>
      <c r="E609" s="9" t="s">
        <v>59</v>
      </c>
      <c r="F609" s="9">
        <v>3</v>
      </c>
      <c r="G609" s="9">
        <v>8574</v>
      </c>
      <c r="H609" s="9">
        <v>0</v>
      </c>
      <c r="I609" s="9">
        <v>0</v>
      </c>
      <c r="J609" s="10">
        <v>45650</v>
      </c>
      <c r="K609" s="9" t="s">
        <v>45</v>
      </c>
      <c r="L609" s="9" t="s">
        <v>25</v>
      </c>
      <c r="M609" s="9">
        <v>161.94999999999999</v>
      </c>
    </row>
    <row r="610" spans="1:13" x14ac:dyDescent="0.35">
      <c r="A610" s="9">
        <v>2758</v>
      </c>
      <c r="B610" s="9" t="s">
        <v>28</v>
      </c>
      <c r="C610" s="9" t="s">
        <v>21</v>
      </c>
      <c r="D610" s="9" t="s">
        <v>64</v>
      </c>
      <c r="E610" s="9" t="s">
        <v>59</v>
      </c>
      <c r="F610" s="9">
        <v>0</v>
      </c>
      <c r="G610" s="9">
        <v>0</v>
      </c>
      <c r="H610" s="9">
        <v>0</v>
      </c>
      <c r="I610" s="9">
        <v>0</v>
      </c>
      <c r="J610" s="10">
        <v>45650</v>
      </c>
      <c r="K610" s="9" t="s">
        <v>45</v>
      </c>
      <c r="L610" s="9" t="s">
        <v>35</v>
      </c>
      <c r="M610" s="9">
        <v>3986.03</v>
      </c>
    </row>
    <row r="611" spans="1:13" x14ac:dyDescent="0.35">
      <c r="A611" s="9">
        <v>2760</v>
      </c>
      <c r="B611" s="9" t="s">
        <v>31</v>
      </c>
      <c r="C611" s="9" t="s">
        <v>18</v>
      </c>
      <c r="D611" s="9" t="s">
        <v>37</v>
      </c>
      <c r="E611" s="9" t="s">
        <v>59</v>
      </c>
      <c r="F611" s="9">
        <v>0</v>
      </c>
      <c r="G611" s="9">
        <v>0</v>
      </c>
      <c r="H611" s="9">
        <v>0</v>
      </c>
      <c r="I611" s="9">
        <v>0</v>
      </c>
      <c r="J611" s="10">
        <v>45805</v>
      </c>
      <c r="K611" s="9" t="s">
        <v>45</v>
      </c>
      <c r="L611" s="9" t="s">
        <v>26</v>
      </c>
      <c r="M611" s="9">
        <v>1496.19</v>
      </c>
    </row>
    <row r="612" spans="1:13" x14ac:dyDescent="0.35">
      <c r="A612" s="9">
        <v>2761</v>
      </c>
      <c r="B612" s="9" t="s">
        <v>34</v>
      </c>
      <c r="C612" s="9" t="s">
        <v>19</v>
      </c>
      <c r="D612" s="9" t="s">
        <v>39</v>
      </c>
      <c r="E612" s="9" t="s">
        <v>59</v>
      </c>
      <c r="F612" s="9">
        <v>4</v>
      </c>
      <c r="G612" s="9">
        <v>0</v>
      </c>
      <c r="H612" s="9">
        <v>0</v>
      </c>
      <c r="I612" s="9">
        <v>0</v>
      </c>
      <c r="J612" s="10">
        <v>45805</v>
      </c>
      <c r="K612" s="9" t="s">
        <v>44</v>
      </c>
      <c r="L612" s="9" t="s">
        <v>29</v>
      </c>
      <c r="M612" s="9">
        <v>2588.0300000000002</v>
      </c>
    </row>
    <row r="613" spans="1:13" x14ac:dyDescent="0.35">
      <c r="A613" s="9">
        <v>2762</v>
      </c>
      <c r="B613" s="9" t="s">
        <v>28</v>
      </c>
      <c r="C613" s="9" t="s">
        <v>20</v>
      </c>
      <c r="D613" s="9" t="s">
        <v>70</v>
      </c>
      <c r="E613" s="9" t="s">
        <v>60</v>
      </c>
      <c r="F613" s="9">
        <v>2</v>
      </c>
      <c r="G613" s="9">
        <v>0</v>
      </c>
      <c r="H613" s="9">
        <v>0</v>
      </c>
      <c r="I613" s="9">
        <v>0</v>
      </c>
      <c r="J613" s="10">
        <v>45805</v>
      </c>
      <c r="K613" s="9" t="s">
        <v>44</v>
      </c>
      <c r="L613" s="9" t="s">
        <v>26</v>
      </c>
      <c r="M613" s="9">
        <v>-355.55</v>
      </c>
    </row>
    <row r="614" spans="1:13" x14ac:dyDescent="0.35">
      <c r="A614" s="9">
        <v>2763</v>
      </c>
      <c r="B614" s="9" t="s">
        <v>28</v>
      </c>
      <c r="C614" s="9" t="s">
        <v>19</v>
      </c>
      <c r="D614" s="9" t="s">
        <v>69</v>
      </c>
      <c r="E614" s="9" t="s">
        <v>59</v>
      </c>
      <c r="F614" s="9">
        <v>4</v>
      </c>
      <c r="G614" s="9">
        <v>3328.58</v>
      </c>
      <c r="H614" s="9">
        <v>0</v>
      </c>
      <c r="I614" s="9">
        <v>0</v>
      </c>
      <c r="J614" s="10">
        <v>45504</v>
      </c>
      <c r="K614" s="9" t="s">
        <v>45</v>
      </c>
      <c r="L614" s="9" t="s">
        <v>35</v>
      </c>
      <c r="M614" s="9">
        <v>-763.34</v>
      </c>
    </row>
    <row r="615" spans="1:13" x14ac:dyDescent="0.35">
      <c r="A615" s="9">
        <v>2765</v>
      </c>
      <c r="B615" s="9" t="s">
        <v>28</v>
      </c>
      <c r="C615" s="9" t="s">
        <v>19</v>
      </c>
      <c r="D615" s="9" t="s">
        <v>39</v>
      </c>
      <c r="E615" s="9" t="s">
        <v>59</v>
      </c>
      <c r="F615" s="9">
        <v>0</v>
      </c>
      <c r="G615" s="9">
        <v>6370.84</v>
      </c>
      <c r="H615" s="9">
        <v>0</v>
      </c>
      <c r="I615" s="9">
        <v>0</v>
      </c>
      <c r="J615" s="10">
        <v>45832</v>
      </c>
      <c r="K615" s="9" t="s">
        <v>45</v>
      </c>
      <c r="L615" s="9" t="s">
        <v>26</v>
      </c>
      <c r="M615" s="9">
        <v>1609.7</v>
      </c>
    </row>
    <row r="616" spans="1:13" x14ac:dyDescent="0.35">
      <c r="A616" s="9">
        <v>2767</v>
      </c>
      <c r="B616" s="9" t="s">
        <v>34</v>
      </c>
      <c r="C616" s="9" t="s">
        <v>22</v>
      </c>
      <c r="D616" s="9" t="s">
        <v>68</v>
      </c>
      <c r="E616" s="9" t="s">
        <v>60</v>
      </c>
      <c r="F616" s="9">
        <v>0</v>
      </c>
      <c r="G616" s="9">
        <v>6887.39</v>
      </c>
      <c r="H616" s="9">
        <v>0</v>
      </c>
      <c r="I616" s="9">
        <v>0</v>
      </c>
      <c r="J616" s="10">
        <v>45859</v>
      </c>
      <c r="K616" s="9" t="s">
        <v>45</v>
      </c>
      <c r="L616" s="9" t="s">
        <v>29</v>
      </c>
      <c r="M616" s="9">
        <v>1562.76</v>
      </c>
    </row>
    <row r="617" spans="1:13" x14ac:dyDescent="0.35">
      <c r="A617" s="9">
        <v>2770</v>
      </c>
      <c r="B617" s="9" t="s">
        <v>31</v>
      </c>
      <c r="C617" s="9" t="s">
        <v>19</v>
      </c>
      <c r="D617" s="9" t="s">
        <v>42</v>
      </c>
      <c r="E617" s="9" t="s">
        <v>59</v>
      </c>
      <c r="F617" s="9">
        <v>0</v>
      </c>
      <c r="G617" s="9">
        <v>0</v>
      </c>
      <c r="H617" s="9">
        <v>0.7</v>
      </c>
      <c r="I617" s="9">
        <v>0</v>
      </c>
      <c r="J617" s="10">
        <v>45526</v>
      </c>
      <c r="K617" s="9" t="s">
        <v>45</v>
      </c>
      <c r="L617" s="9" t="s">
        <v>27</v>
      </c>
      <c r="M617" s="9">
        <v>-1095.1199999999999</v>
      </c>
    </row>
    <row r="618" spans="1:13" x14ac:dyDescent="0.35">
      <c r="A618" s="9">
        <v>2771</v>
      </c>
      <c r="B618" s="9" t="s">
        <v>31</v>
      </c>
      <c r="C618" s="9" t="s">
        <v>20</v>
      </c>
      <c r="D618" s="9" t="s">
        <v>70</v>
      </c>
      <c r="E618" s="9" t="s">
        <v>59</v>
      </c>
      <c r="F618" s="9">
        <v>0</v>
      </c>
      <c r="G618" s="9">
        <v>5222.92</v>
      </c>
      <c r="H618" s="9">
        <v>0</v>
      </c>
      <c r="I618" s="9">
        <v>0</v>
      </c>
      <c r="J618" s="10">
        <v>45803</v>
      </c>
      <c r="K618" s="9" t="s">
        <v>45</v>
      </c>
      <c r="L618" s="9" t="s">
        <v>29</v>
      </c>
      <c r="M618" s="9">
        <v>1804.67</v>
      </c>
    </row>
    <row r="619" spans="1:13" x14ac:dyDescent="0.35">
      <c r="A619" s="9">
        <v>2772</v>
      </c>
      <c r="B619" s="9" t="s">
        <v>34</v>
      </c>
      <c r="C619" s="9" t="s">
        <v>22</v>
      </c>
      <c r="D619" s="9" t="s">
        <v>68</v>
      </c>
      <c r="E619" s="9" t="s">
        <v>59</v>
      </c>
      <c r="F619" s="9">
        <v>0</v>
      </c>
      <c r="G619" s="9">
        <v>0</v>
      </c>
      <c r="H619" s="9">
        <v>0</v>
      </c>
      <c r="I619" s="9">
        <v>0</v>
      </c>
      <c r="J619" s="10">
        <v>45661</v>
      </c>
      <c r="K619" s="9" t="s">
        <v>45</v>
      </c>
      <c r="L619" s="9" t="s">
        <v>35</v>
      </c>
      <c r="M619" s="9">
        <v>2332.29</v>
      </c>
    </row>
    <row r="620" spans="1:13" x14ac:dyDescent="0.35">
      <c r="A620" s="9">
        <v>2773</v>
      </c>
      <c r="B620" s="9" t="s">
        <v>28</v>
      </c>
      <c r="C620" s="9" t="s">
        <v>18</v>
      </c>
      <c r="D620" s="9" t="s">
        <v>38</v>
      </c>
      <c r="E620" s="9" t="s">
        <v>59</v>
      </c>
      <c r="F620" s="9">
        <v>1</v>
      </c>
      <c r="G620" s="9">
        <v>5045.62</v>
      </c>
      <c r="H620" s="9">
        <v>1.21</v>
      </c>
      <c r="I620" s="9">
        <v>-1059.58</v>
      </c>
      <c r="J620" s="10">
        <v>45749</v>
      </c>
      <c r="K620" s="9" t="s">
        <v>45</v>
      </c>
      <c r="L620" s="9" t="s">
        <v>32</v>
      </c>
      <c r="M620" s="9">
        <v>1191.02</v>
      </c>
    </row>
    <row r="621" spans="1:13" x14ac:dyDescent="0.35">
      <c r="A621" s="9">
        <v>2774</v>
      </c>
      <c r="B621" s="9" t="s">
        <v>28</v>
      </c>
      <c r="C621" s="9" t="s">
        <v>20</v>
      </c>
      <c r="D621" s="9" t="s">
        <v>66</v>
      </c>
      <c r="E621" s="9" t="s">
        <v>62</v>
      </c>
      <c r="F621" s="9">
        <v>0</v>
      </c>
      <c r="G621" s="9">
        <v>0</v>
      </c>
      <c r="H621" s="9">
        <v>0</v>
      </c>
      <c r="I621" s="9">
        <v>0</v>
      </c>
      <c r="J621" s="10">
        <v>45749</v>
      </c>
      <c r="K621" s="9" t="s">
        <v>45</v>
      </c>
      <c r="L621" s="9" t="s">
        <v>25</v>
      </c>
      <c r="M621" s="9">
        <v>585.97</v>
      </c>
    </row>
    <row r="622" spans="1:13" x14ac:dyDescent="0.35">
      <c r="A622" s="9">
        <v>2776</v>
      </c>
      <c r="B622" s="9" t="s">
        <v>31</v>
      </c>
      <c r="C622" s="9" t="s">
        <v>18</v>
      </c>
      <c r="D622" s="9" t="s">
        <v>33</v>
      </c>
      <c r="E622" s="9" t="s">
        <v>60</v>
      </c>
      <c r="F622" s="9">
        <v>0</v>
      </c>
      <c r="G622" s="9">
        <v>0</v>
      </c>
      <c r="H622" s="9">
        <v>0</v>
      </c>
      <c r="I622" s="9">
        <v>0</v>
      </c>
      <c r="J622" s="10">
        <v>45733</v>
      </c>
      <c r="K622" s="9" t="s">
        <v>44</v>
      </c>
      <c r="L622" s="9" t="s">
        <v>26</v>
      </c>
      <c r="M622" s="9">
        <v>1143.68</v>
      </c>
    </row>
    <row r="623" spans="1:13" x14ac:dyDescent="0.35">
      <c r="A623" s="9">
        <v>2777</v>
      </c>
      <c r="B623" s="9" t="s">
        <v>34</v>
      </c>
      <c r="C623" s="9" t="s">
        <v>22</v>
      </c>
      <c r="D623" s="9" t="s">
        <v>65</v>
      </c>
      <c r="E623" s="9" t="s">
        <v>62</v>
      </c>
      <c r="F623" s="9">
        <v>0</v>
      </c>
      <c r="G623" s="9">
        <v>9062.25</v>
      </c>
      <c r="H623" s="9">
        <v>0</v>
      </c>
      <c r="I623" s="9">
        <v>0</v>
      </c>
      <c r="J623" s="10">
        <v>45733</v>
      </c>
      <c r="K623" s="9" t="s">
        <v>44</v>
      </c>
      <c r="L623" s="9" t="s">
        <v>27</v>
      </c>
      <c r="M623" s="9">
        <v>-9.69</v>
      </c>
    </row>
    <row r="624" spans="1:13" x14ac:dyDescent="0.35">
      <c r="A624" s="9">
        <v>2778</v>
      </c>
      <c r="B624" s="9" t="s">
        <v>34</v>
      </c>
      <c r="C624" s="9" t="s">
        <v>19</v>
      </c>
      <c r="D624" s="9" t="s">
        <v>69</v>
      </c>
      <c r="E624" s="9" t="s">
        <v>59</v>
      </c>
      <c r="F624" s="9">
        <v>0</v>
      </c>
      <c r="G624" s="9">
        <v>4462.26</v>
      </c>
      <c r="H624" s="9">
        <v>0</v>
      </c>
      <c r="I624" s="9">
        <v>0</v>
      </c>
      <c r="J624" s="10">
        <v>45828</v>
      </c>
      <c r="K624" s="9" t="s">
        <v>45</v>
      </c>
      <c r="L624" s="9" t="s">
        <v>32</v>
      </c>
      <c r="M624" s="9">
        <v>1006.73</v>
      </c>
    </row>
    <row r="625" spans="1:13" x14ac:dyDescent="0.35">
      <c r="A625" s="9">
        <v>2780</v>
      </c>
      <c r="B625" s="9" t="s">
        <v>31</v>
      </c>
      <c r="C625" s="9" t="s">
        <v>18</v>
      </c>
      <c r="D625" s="9" t="s">
        <v>41</v>
      </c>
      <c r="E625" s="9" t="s">
        <v>59</v>
      </c>
      <c r="F625" s="9">
        <v>1</v>
      </c>
      <c r="G625" s="9">
        <v>4308.75</v>
      </c>
      <c r="H625" s="9">
        <v>0.32</v>
      </c>
      <c r="I625" s="9">
        <v>2929.95</v>
      </c>
      <c r="J625" s="10">
        <v>45828</v>
      </c>
      <c r="K625" s="9" t="s">
        <v>45</v>
      </c>
      <c r="L625" s="9" t="s">
        <v>32</v>
      </c>
      <c r="M625" s="9">
        <v>799.35</v>
      </c>
    </row>
    <row r="626" spans="1:13" x14ac:dyDescent="0.35">
      <c r="A626" s="9">
        <v>2781</v>
      </c>
      <c r="B626" s="9" t="s">
        <v>31</v>
      </c>
      <c r="C626" s="9" t="s">
        <v>18</v>
      </c>
      <c r="D626" s="9" t="s">
        <v>41</v>
      </c>
      <c r="E626" s="9" t="s">
        <v>59</v>
      </c>
      <c r="F626" s="9">
        <v>1</v>
      </c>
      <c r="G626" s="9">
        <v>6546.59</v>
      </c>
      <c r="H626" s="9">
        <v>0.68</v>
      </c>
      <c r="I626" s="9">
        <v>2094.91</v>
      </c>
      <c r="J626" s="10">
        <v>45172</v>
      </c>
      <c r="K626" s="9" t="s">
        <v>44</v>
      </c>
      <c r="L626" s="9" t="s">
        <v>25</v>
      </c>
      <c r="M626" s="9">
        <v>1504.31</v>
      </c>
    </row>
    <row r="627" spans="1:13" x14ac:dyDescent="0.35">
      <c r="A627" s="9">
        <v>2782</v>
      </c>
      <c r="B627" s="9" t="s">
        <v>28</v>
      </c>
      <c r="C627" s="9" t="s">
        <v>18</v>
      </c>
      <c r="D627" s="9" t="s">
        <v>38</v>
      </c>
      <c r="E627" s="9" t="s">
        <v>59</v>
      </c>
      <c r="F627" s="9">
        <v>0</v>
      </c>
      <c r="G627" s="9">
        <v>8292.3700000000008</v>
      </c>
      <c r="H627" s="9">
        <v>0</v>
      </c>
      <c r="I627" s="9">
        <v>0</v>
      </c>
      <c r="J627" s="10">
        <v>45172</v>
      </c>
      <c r="K627" s="9" t="s">
        <v>45</v>
      </c>
      <c r="L627" s="9" t="s">
        <v>35</v>
      </c>
      <c r="M627" s="9">
        <v>-816.55</v>
      </c>
    </row>
    <row r="628" spans="1:13" x14ac:dyDescent="0.35">
      <c r="A628" s="9">
        <v>2784</v>
      </c>
      <c r="B628" s="9" t="s">
        <v>28</v>
      </c>
      <c r="C628" s="9" t="s">
        <v>22</v>
      </c>
      <c r="D628" s="9" t="s">
        <v>67</v>
      </c>
      <c r="E628" s="9" t="s">
        <v>59</v>
      </c>
      <c r="F628" s="9">
        <v>0</v>
      </c>
      <c r="G628" s="9">
        <v>0</v>
      </c>
      <c r="H628" s="9">
        <v>0</v>
      </c>
      <c r="I628" s="9">
        <v>0</v>
      </c>
      <c r="J628" s="10">
        <v>45685</v>
      </c>
      <c r="K628" s="9" t="s">
        <v>45</v>
      </c>
      <c r="L628" s="9" t="s">
        <v>35</v>
      </c>
      <c r="M628" s="9">
        <v>2982.03</v>
      </c>
    </row>
    <row r="629" spans="1:13" x14ac:dyDescent="0.35">
      <c r="A629" s="9">
        <v>2785</v>
      </c>
      <c r="B629" s="9" t="s">
        <v>28</v>
      </c>
      <c r="C629" s="9" t="s">
        <v>21</v>
      </c>
      <c r="D629" s="9" t="s">
        <v>36</v>
      </c>
      <c r="E629" s="9" t="s">
        <v>60</v>
      </c>
      <c r="F629" s="9">
        <v>2</v>
      </c>
      <c r="G629" s="9">
        <v>0</v>
      </c>
      <c r="H629" s="9">
        <v>0</v>
      </c>
      <c r="I629" s="9">
        <v>0</v>
      </c>
      <c r="J629" s="10">
        <v>45585</v>
      </c>
      <c r="K629" s="9" t="s">
        <v>44</v>
      </c>
      <c r="L629" s="9" t="s">
        <v>32</v>
      </c>
      <c r="M629" s="9">
        <v>-834.71</v>
      </c>
    </row>
    <row r="630" spans="1:13" x14ac:dyDescent="0.35">
      <c r="A630" s="9">
        <v>2786</v>
      </c>
      <c r="B630" s="9" t="s">
        <v>28</v>
      </c>
      <c r="C630" s="9" t="s">
        <v>21</v>
      </c>
      <c r="D630" s="9" t="s">
        <v>36</v>
      </c>
      <c r="E630" s="9" t="s">
        <v>59</v>
      </c>
      <c r="F630" s="9">
        <v>0</v>
      </c>
      <c r="G630" s="9">
        <v>0</v>
      </c>
      <c r="H630" s="9">
        <v>0.59</v>
      </c>
      <c r="I630" s="9">
        <v>0</v>
      </c>
      <c r="J630" s="10">
        <v>45585</v>
      </c>
      <c r="K630" s="9" t="s">
        <v>45</v>
      </c>
      <c r="L630" s="9" t="s">
        <v>32</v>
      </c>
      <c r="M630" s="9">
        <v>3872.35</v>
      </c>
    </row>
    <row r="631" spans="1:13" x14ac:dyDescent="0.35">
      <c r="A631" s="9">
        <v>2787</v>
      </c>
      <c r="B631" s="9" t="s">
        <v>34</v>
      </c>
      <c r="C631" s="9" t="s">
        <v>18</v>
      </c>
      <c r="D631" s="9" t="s">
        <v>41</v>
      </c>
      <c r="E631" s="9" t="s">
        <v>59</v>
      </c>
      <c r="F631" s="9">
        <v>3</v>
      </c>
      <c r="G631" s="9">
        <v>3440.88</v>
      </c>
      <c r="H631" s="9">
        <v>0</v>
      </c>
      <c r="I631" s="9">
        <v>0</v>
      </c>
      <c r="J631" s="10">
        <v>45535</v>
      </c>
      <c r="K631" s="9" t="s">
        <v>45</v>
      </c>
      <c r="L631" s="9" t="s">
        <v>35</v>
      </c>
      <c r="M631" s="9">
        <v>22.93</v>
      </c>
    </row>
    <row r="632" spans="1:13" x14ac:dyDescent="0.35">
      <c r="A632" s="9">
        <v>2788</v>
      </c>
      <c r="B632" s="9" t="s">
        <v>28</v>
      </c>
      <c r="C632" s="9" t="s">
        <v>19</v>
      </c>
      <c r="D632" s="9" t="s">
        <v>63</v>
      </c>
      <c r="E632" s="9" t="s">
        <v>59</v>
      </c>
      <c r="F632" s="9">
        <v>0</v>
      </c>
      <c r="G632" s="9">
        <v>7478.84</v>
      </c>
      <c r="H632" s="9">
        <v>0</v>
      </c>
      <c r="I632" s="9">
        <v>0</v>
      </c>
      <c r="J632" s="10">
        <v>45295</v>
      </c>
      <c r="K632" s="9" t="s">
        <v>44</v>
      </c>
      <c r="L632" s="9" t="s">
        <v>32</v>
      </c>
      <c r="M632" s="9">
        <v>-18.399999999999999</v>
      </c>
    </row>
    <row r="633" spans="1:13" x14ac:dyDescent="0.35">
      <c r="A633" s="9">
        <v>2789</v>
      </c>
      <c r="B633" s="9" t="s">
        <v>34</v>
      </c>
      <c r="C633" s="9" t="s">
        <v>21</v>
      </c>
      <c r="D633" s="9" t="s">
        <v>71</v>
      </c>
      <c r="E633" s="9" t="s">
        <v>59</v>
      </c>
      <c r="F633" s="9">
        <v>0</v>
      </c>
      <c r="G633" s="9">
        <v>0</v>
      </c>
      <c r="H633" s="9">
        <v>0</v>
      </c>
      <c r="I633" s="9">
        <v>0</v>
      </c>
      <c r="J633" s="10">
        <v>45306</v>
      </c>
      <c r="K633" s="9" t="s">
        <v>44</v>
      </c>
      <c r="L633" s="9" t="s">
        <v>27</v>
      </c>
      <c r="M633" s="9">
        <v>1756.75</v>
      </c>
    </row>
    <row r="634" spans="1:13" x14ac:dyDescent="0.35">
      <c r="A634" s="9">
        <v>2790</v>
      </c>
      <c r="B634" s="9" t="s">
        <v>34</v>
      </c>
      <c r="C634" s="9" t="s">
        <v>20</v>
      </c>
      <c r="D634" s="9" t="s">
        <v>61</v>
      </c>
      <c r="E634" s="9" t="s">
        <v>62</v>
      </c>
      <c r="F634" s="9">
        <v>0</v>
      </c>
      <c r="G634" s="9">
        <v>0</v>
      </c>
      <c r="H634" s="9">
        <v>0</v>
      </c>
      <c r="I634" s="9">
        <v>0</v>
      </c>
      <c r="J634" s="10">
        <v>45521</v>
      </c>
      <c r="K634" s="9" t="s">
        <v>44</v>
      </c>
      <c r="L634" s="9" t="s">
        <v>29</v>
      </c>
      <c r="M634" s="9">
        <v>2554.8200000000002</v>
      </c>
    </row>
    <row r="635" spans="1:13" x14ac:dyDescent="0.35">
      <c r="A635" s="9">
        <v>2791</v>
      </c>
      <c r="B635" s="9" t="s">
        <v>34</v>
      </c>
      <c r="C635" s="9" t="s">
        <v>18</v>
      </c>
      <c r="D635" s="9" t="s">
        <v>41</v>
      </c>
      <c r="E635" s="9" t="s">
        <v>59</v>
      </c>
      <c r="F635" s="9">
        <v>0</v>
      </c>
      <c r="G635" s="9">
        <v>0</v>
      </c>
      <c r="H635" s="9">
        <v>0</v>
      </c>
      <c r="I635" s="9">
        <v>0</v>
      </c>
      <c r="J635" s="10">
        <v>45441</v>
      </c>
      <c r="K635" s="9" t="s">
        <v>44</v>
      </c>
      <c r="L635" s="9" t="s">
        <v>29</v>
      </c>
      <c r="M635" s="9">
        <v>1194.43</v>
      </c>
    </row>
    <row r="636" spans="1:13" x14ac:dyDescent="0.35">
      <c r="A636" s="9">
        <v>2792</v>
      </c>
      <c r="B636" s="9" t="s">
        <v>34</v>
      </c>
      <c r="C636" s="9" t="s">
        <v>21</v>
      </c>
      <c r="D636" s="9" t="s">
        <v>64</v>
      </c>
      <c r="E636" s="9" t="s">
        <v>60</v>
      </c>
      <c r="F636" s="9">
        <v>-1</v>
      </c>
      <c r="G636" s="9">
        <v>4338.16</v>
      </c>
      <c r="H636" s="9">
        <v>0</v>
      </c>
      <c r="I636" s="9">
        <v>0</v>
      </c>
      <c r="J636" s="10">
        <v>45785</v>
      </c>
      <c r="K636" s="9" t="s">
        <v>45</v>
      </c>
      <c r="L636" s="9" t="s">
        <v>27</v>
      </c>
      <c r="M636" s="9">
        <v>-328.05</v>
      </c>
    </row>
    <row r="637" spans="1:13" x14ac:dyDescent="0.35">
      <c r="A637" s="9">
        <v>2793</v>
      </c>
      <c r="B637" s="9" t="s">
        <v>31</v>
      </c>
      <c r="C637" s="9" t="s">
        <v>20</v>
      </c>
      <c r="D637" s="9" t="s">
        <v>70</v>
      </c>
      <c r="E637" s="9" t="s">
        <v>62</v>
      </c>
      <c r="F637" s="9">
        <v>0</v>
      </c>
      <c r="G637" s="9">
        <v>0</v>
      </c>
      <c r="H637" s="9">
        <v>0</v>
      </c>
      <c r="I637" s="9">
        <v>0</v>
      </c>
      <c r="J637" s="10">
        <v>45577</v>
      </c>
      <c r="K637" s="9" t="s">
        <v>44</v>
      </c>
      <c r="L637" s="9" t="s">
        <v>25</v>
      </c>
      <c r="M637" s="9">
        <v>922.24</v>
      </c>
    </row>
    <row r="638" spans="1:13" x14ac:dyDescent="0.35">
      <c r="A638" s="9">
        <v>2795</v>
      </c>
      <c r="B638" s="9" t="s">
        <v>28</v>
      </c>
      <c r="C638" s="9" t="s">
        <v>20</v>
      </c>
      <c r="D638" s="9" t="s">
        <v>61</v>
      </c>
      <c r="E638" s="9" t="s">
        <v>60</v>
      </c>
      <c r="F638" s="9">
        <v>0</v>
      </c>
      <c r="G638" s="9">
        <v>0</v>
      </c>
      <c r="H638" s="9">
        <v>0</v>
      </c>
      <c r="I638" s="9">
        <v>0</v>
      </c>
      <c r="J638" s="10">
        <v>45577</v>
      </c>
      <c r="K638" s="9" t="s">
        <v>44</v>
      </c>
      <c r="L638" s="9" t="s">
        <v>29</v>
      </c>
      <c r="M638" s="9">
        <v>-615.37</v>
      </c>
    </row>
    <row r="639" spans="1:13" x14ac:dyDescent="0.35">
      <c r="A639" s="9">
        <v>2796</v>
      </c>
      <c r="B639" s="9" t="s">
        <v>31</v>
      </c>
      <c r="C639" s="9" t="s">
        <v>21</v>
      </c>
      <c r="D639" s="9" t="s">
        <v>71</v>
      </c>
      <c r="E639" s="9" t="s">
        <v>59</v>
      </c>
      <c r="F639" s="9">
        <v>-1</v>
      </c>
      <c r="G639" s="9">
        <v>2849.49</v>
      </c>
      <c r="H639" s="9">
        <v>0</v>
      </c>
      <c r="I639" s="9">
        <v>0</v>
      </c>
      <c r="J639" s="10">
        <v>45238</v>
      </c>
      <c r="K639" s="9" t="s">
        <v>44</v>
      </c>
      <c r="L639" s="9" t="s">
        <v>26</v>
      </c>
      <c r="M639" s="9">
        <v>2597.58</v>
      </c>
    </row>
    <row r="640" spans="1:13" x14ac:dyDescent="0.35">
      <c r="A640" s="9">
        <v>2798</v>
      </c>
      <c r="B640" s="9" t="s">
        <v>34</v>
      </c>
      <c r="C640" s="9" t="s">
        <v>21</v>
      </c>
      <c r="D640" s="9" t="s">
        <v>71</v>
      </c>
      <c r="E640" s="9" t="s">
        <v>59</v>
      </c>
      <c r="F640" s="9">
        <v>0</v>
      </c>
      <c r="G640" s="9">
        <v>8546.98</v>
      </c>
      <c r="H640" s="9">
        <v>0</v>
      </c>
      <c r="I640" s="9">
        <v>0</v>
      </c>
      <c r="J640" s="10">
        <v>45238</v>
      </c>
      <c r="K640" s="9" t="s">
        <v>44</v>
      </c>
      <c r="L640" s="9" t="s">
        <v>26</v>
      </c>
      <c r="M640" s="9">
        <v>430.88</v>
      </c>
    </row>
    <row r="641" spans="1:13" x14ac:dyDescent="0.35">
      <c r="A641" s="9">
        <v>2800</v>
      </c>
      <c r="B641" s="9" t="s">
        <v>28</v>
      </c>
      <c r="C641" s="9" t="s">
        <v>20</v>
      </c>
      <c r="D641" s="9" t="s">
        <v>61</v>
      </c>
      <c r="E641" s="9" t="s">
        <v>59</v>
      </c>
      <c r="F641" s="9">
        <v>0</v>
      </c>
      <c r="G641" s="9">
        <v>8737.08</v>
      </c>
      <c r="H641" s="9">
        <v>0.9</v>
      </c>
      <c r="I641" s="9">
        <v>0</v>
      </c>
      <c r="J641" s="10">
        <v>45729</v>
      </c>
      <c r="K641" s="9" t="s">
        <v>45</v>
      </c>
      <c r="L641" s="9" t="s">
        <v>29</v>
      </c>
      <c r="M641" s="9">
        <v>1737</v>
      </c>
    </row>
    <row r="642" spans="1:13" x14ac:dyDescent="0.35">
      <c r="A642" s="9">
        <v>2801</v>
      </c>
      <c r="B642" s="9" t="s">
        <v>28</v>
      </c>
      <c r="C642" s="9" t="s">
        <v>20</v>
      </c>
      <c r="D642" s="9" t="s">
        <v>61</v>
      </c>
      <c r="E642" s="9" t="s">
        <v>59</v>
      </c>
      <c r="F642" s="9">
        <v>2</v>
      </c>
      <c r="G642" s="9">
        <v>0</v>
      </c>
      <c r="H642" s="9">
        <v>0</v>
      </c>
      <c r="I642" s="9">
        <v>0</v>
      </c>
      <c r="J642" s="10">
        <v>45335</v>
      </c>
      <c r="K642" s="9" t="s">
        <v>44</v>
      </c>
      <c r="L642" s="9" t="s">
        <v>26</v>
      </c>
      <c r="M642" s="9">
        <v>2966.12</v>
      </c>
    </row>
    <row r="643" spans="1:13" x14ac:dyDescent="0.35">
      <c r="A643" s="9">
        <v>2802</v>
      </c>
      <c r="B643" s="9" t="s">
        <v>31</v>
      </c>
      <c r="C643" s="9" t="s">
        <v>20</v>
      </c>
      <c r="D643" s="9" t="s">
        <v>66</v>
      </c>
      <c r="E643" s="9" t="s">
        <v>60</v>
      </c>
      <c r="F643" s="9">
        <v>3</v>
      </c>
      <c r="G643" s="9">
        <v>0</v>
      </c>
      <c r="H643" s="9">
        <v>0</v>
      </c>
      <c r="I643" s="9">
        <v>0</v>
      </c>
      <c r="J643" s="10">
        <v>45310</v>
      </c>
      <c r="K643" s="9" t="s">
        <v>45</v>
      </c>
      <c r="L643" s="9" t="s">
        <v>27</v>
      </c>
      <c r="M643" s="9">
        <v>-231.73</v>
      </c>
    </row>
    <row r="644" spans="1:13" x14ac:dyDescent="0.35">
      <c r="A644" s="9">
        <v>2803</v>
      </c>
      <c r="B644" s="9" t="s">
        <v>28</v>
      </c>
      <c r="C644" s="9" t="s">
        <v>19</v>
      </c>
      <c r="D644" s="9" t="s">
        <v>63</v>
      </c>
      <c r="E644" s="9" t="s">
        <v>62</v>
      </c>
      <c r="F644" s="9">
        <v>0</v>
      </c>
      <c r="G644" s="9">
        <v>0</v>
      </c>
      <c r="H644" s="9">
        <v>0</v>
      </c>
      <c r="I644" s="9">
        <v>0</v>
      </c>
      <c r="J644" s="10">
        <v>45232</v>
      </c>
      <c r="K644" s="9" t="s">
        <v>45</v>
      </c>
      <c r="L644" s="9" t="s">
        <v>32</v>
      </c>
      <c r="M644" s="9">
        <v>83.11</v>
      </c>
    </row>
    <row r="645" spans="1:13" x14ac:dyDescent="0.35">
      <c r="A645" s="9">
        <v>2804</v>
      </c>
      <c r="B645" s="9" t="s">
        <v>34</v>
      </c>
      <c r="C645" s="9" t="s">
        <v>20</v>
      </c>
      <c r="D645" s="9" t="s">
        <v>70</v>
      </c>
      <c r="E645" s="9" t="s">
        <v>62</v>
      </c>
      <c r="F645" s="9">
        <v>-1</v>
      </c>
      <c r="G645" s="9">
        <v>0</v>
      </c>
      <c r="H645" s="9">
        <v>0</v>
      </c>
      <c r="I645" s="9">
        <v>0</v>
      </c>
      <c r="J645" s="10">
        <v>45232</v>
      </c>
      <c r="K645" s="9" t="s">
        <v>45</v>
      </c>
      <c r="L645" s="9" t="s">
        <v>32</v>
      </c>
      <c r="M645" s="9">
        <v>2270.96</v>
      </c>
    </row>
    <row r="646" spans="1:13" x14ac:dyDescent="0.35">
      <c r="A646" s="9">
        <v>2805</v>
      </c>
      <c r="B646" s="9" t="s">
        <v>28</v>
      </c>
      <c r="C646" s="9" t="s">
        <v>20</v>
      </c>
      <c r="D646" s="9" t="s">
        <v>70</v>
      </c>
      <c r="E646" s="9" t="s">
        <v>60</v>
      </c>
      <c r="F646" s="9">
        <v>-1</v>
      </c>
      <c r="G646" s="9">
        <v>0</v>
      </c>
      <c r="H646" s="9">
        <v>0.82</v>
      </c>
      <c r="I646" s="9">
        <v>0</v>
      </c>
      <c r="J646" s="10">
        <v>45166</v>
      </c>
      <c r="K646" s="9" t="s">
        <v>45</v>
      </c>
      <c r="L646" s="9" t="s">
        <v>35</v>
      </c>
      <c r="M646" s="9">
        <v>2037.76</v>
      </c>
    </row>
    <row r="647" spans="1:13" x14ac:dyDescent="0.35">
      <c r="A647" s="9">
        <v>2806</v>
      </c>
      <c r="B647" s="9" t="s">
        <v>34</v>
      </c>
      <c r="C647" s="9" t="s">
        <v>22</v>
      </c>
      <c r="D647" s="9" t="s">
        <v>67</v>
      </c>
      <c r="E647" s="9" t="s">
        <v>59</v>
      </c>
      <c r="F647" s="9">
        <v>3</v>
      </c>
      <c r="G647" s="9">
        <v>4466.78</v>
      </c>
      <c r="H647" s="9">
        <v>0</v>
      </c>
      <c r="I647" s="9">
        <v>0</v>
      </c>
      <c r="J647" s="10">
        <v>45332</v>
      </c>
      <c r="K647" s="9" t="s">
        <v>45</v>
      </c>
      <c r="L647" s="9" t="s">
        <v>25</v>
      </c>
      <c r="M647" s="9">
        <v>2407.08</v>
      </c>
    </row>
    <row r="648" spans="1:13" x14ac:dyDescent="0.35">
      <c r="A648" s="9">
        <v>2807</v>
      </c>
      <c r="B648" s="9" t="s">
        <v>34</v>
      </c>
      <c r="C648" s="9" t="s">
        <v>18</v>
      </c>
      <c r="D648" s="9" t="s">
        <v>38</v>
      </c>
      <c r="E648" s="9" t="s">
        <v>60</v>
      </c>
      <c r="F648" s="9">
        <v>2</v>
      </c>
      <c r="G648" s="9">
        <v>0</v>
      </c>
      <c r="H648" s="9">
        <v>0</v>
      </c>
      <c r="I648" s="9">
        <v>0</v>
      </c>
      <c r="J648" s="10">
        <v>45566</v>
      </c>
      <c r="K648" s="9" t="s">
        <v>45</v>
      </c>
      <c r="L648" s="9" t="s">
        <v>32</v>
      </c>
      <c r="M648" s="9">
        <v>875.36</v>
      </c>
    </row>
    <row r="649" spans="1:13" x14ac:dyDescent="0.35">
      <c r="A649" s="9">
        <v>2808</v>
      </c>
      <c r="B649" s="9" t="s">
        <v>28</v>
      </c>
      <c r="C649" s="9" t="s">
        <v>20</v>
      </c>
      <c r="D649" s="9" t="s">
        <v>70</v>
      </c>
      <c r="E649" s="9" t="s">
        <v>60</v>
      </c>
      <c r="F649" s="9">
        <v>0</v>
      </c>
      <c r="G649" s="9">
        <v>7810.49</v>
      </c>
      <c r="H649" s="9">
        <v>0</v>
      </c>
      <c r="I649" s="9">
        <v>0</v>
      </c>
      <c r="J649" s="10">
        <v>45566</v>
      </c>
      <c r="K649" s="9" t="s">
        <v>45</v>
      </c>
      <c r="L649" s="9" t="s">
        <v>25</v>
      </c>
      <c r="M649" s="9">
        <v>-65.849999999999994</v>
      </c>
    </row>
    <row r="650" spans="1:13" x14ac:dyDescent="0.35">
      <c r="A650" s="9">
        <v>2810</v>
      </c>
      <c r="B650" s="9" t="s">
        <v>31</v>
      </c>
      <c r="C650" s="9" t="s">
        <v>20</v>
      </c>
      <c r="D650" s="9" t="s">
        <v>43</v>
      </c>
      <c r="E650" s="9" t="s">
        <v>59</v>
      </c>
      <c r="F650" s="9">
        <v>2</v>
      </c>
      <c r="G650" s="9">
        <v>2943.44</v>
      </c>
      <c r="H650" s="9">
        <v>0.53</v>
      </c>
      <c r="I650" s="9">
        <v>2766.83</v>
      </c>
      <c r="J650" s="10">
        <v>45566</v>
      </c>
      <c r="K650" s="9" t="s">
        <v>44</v>
      </c>
      <c r="L650" s="9" t="s">
        <v>32</v>
      </c>
      <c r="M650" s="9">
        <v>405.67</v>
      </c>
    </row>
    <row r="651" spans="1:13" x14ac:dyDescent="0.35">
      <c r="A651" s="9">
        <v>2811</v>
      </c>
      <c r="B651" s="9" t="s">
        <v>31</v>
      </c>
      <c r="C651" s="9" t="s">
        <v>22</v>
      </c>
      <c r="D651" s="9" t="s">
        <v>68</v>
      </c>
      <c r="E651" s="9" t="s">
        <v>59</v>
      </c>
      <c r="F651" s="9">
        <v>3</v>
      </c>
      <c r="G651" s="9">
        <v>9153.02</v>
      </c>
      <c r="H651" s="9">
        <v>0</v>
      </c>
      <c r="I651" s="9">
        <v>0</v>
      </c>
      <c r="J651" s="10">
        <v>45681</v>
      </c>
      <c r="K651" s="9" t="s">
        <v>44</v>
      </c>
      <c r="L651" s="9" t="s">
        <v>25</v>
      </c>
      <c r="M651" s="9">
        <v>-77.61</v>
      </c>
    </row>
    <row r="652" spans="1:13" x14ac:dyDescent="0.35">
      <c r="A652" s="9">
        <v>2813</v>
      </c>
      <c r="B652" s="9" t="s">
        <v>31</v>
      </c>
      <c r="C652" s="9" t="s">
        <v>20</v>
      </c>
      <c r="D652" s="9" t="s">
        <v>66</v>
      </c>
      <c r="E652" s="9" t="s">
        <v>59</v>
      </c>
      <c r="F652" s="9">
        <v>4</v>
      </c>
      <c r="G652" s="9">
        <v>7450.8</v>
      </c>
      <c r="H652" s="9">
        <v>0</v>
      </c>
      <c r="I652" s="9">
        <v>0</v>
      </c>
      <c r="J652" s="10">
        <v>45681</v>
      </c>
      <c r="K652" s="9" t="s">
        <v>45</v>
      </c>
      <c r="L652" s="9" t="s">
        <v>25</v>
      </c>
      <c r="M652" s="9">
        <v>2098.29</v>
      </c>
    </row>
    <row r="653" spans="1:13" x14ac:dyDescent="0.35">
      <c r="A653" s="9">
        <v>2814</v>
      </c>
      <c r="B653" s="9" t="s">
        <v>34</v>
      </c>
      <c r="C653" s="9" t="s">
        <v>20</v>
      </c>
      <c r="D653" s="9" t="s">
        <v>61</v>
      </c>
      <c r="E653" s="9" t="s">
        <v>59</v>
      </c>
      <c r="F653" s="9">
        <v>0</v>
      </c>
      <c r="G653" s="9">
        <v>0</v>
      </c>
      <c r="H653" s="9">
        <v>0</v>
      </c>
      <c r="I653" s="9">
        <v>0</v>
      </c>
      <c r="J653" s="10">
        <v>45572</v>
      </c>
      <c r="K653" s="9" t="s">
        <v>45</v>
      </c>
      <c r="L653" s="9" t="s">
        <v>29</v>
      </c>
      <c r="M653" s="9">
        <v>1702.06</v>
      </c>
    </row>
    <row r="654" spans="1:13" x14ac:dyDescent="0.35">
      <c r="A654" s="9">
        <v>2815</v>
      </c>
      <c r="B654" s="9" t="s">
        <v>34</v>
      </c>
      <c r="C654" s="9" t="s">
        <v>18</v>
      </c>
      <c r="D654" s="9" t="s">
        <v>33</v>
      </c>
      <c r="E654" s="9" t="s">
        <v>60</v>
      </c>
      <c r="F654" s="9">
        <v>0</v>
      </c>
      <c r="G654" s="9">
        <v>0</v>
      </c>
      <c r="H654" s="9">
        <v>1.1599999999999999</v>
      </c>
      <c r="I654" s="9">
        <v>0</v>
      </c>
      <c r="J654" s="10">
        <v>45572</v>
      </c>
      <c r="K654" s="9" t="s">
        <v>45</v>
      </c>
      <c r="L654" s="9" t="s">
        <v>27</v>
      </c>
      <c r="M654" s="9">
        <v>3281.98</v>
      </c>
    </row>
    <row r="655" spans="1:13" x14ac:dyDescent="0.35">
      <c r="A655" s="9">
        <v>2816</v>
      </c>
      <c r="B655" s="9" t="s">
        <v>31</v>
      </c>
      <c r="C655" s="9" t="s">
        <v>22</v>
      </c>
      <c r="D655" s="9" t="s">
        <v>30</v>
      </c>
      <c r="E655" s="9" t="s">
        <v>59</v>
      </c>
      <c r="F655" s="9">
        <v>3</v>
      </c>
      <c r="G655" s="9">
        <v>5983.35</v>
      </c>
      <c r="H655" s="9">
        <v>0</v>
      </c>
      <c r="I655" s="9">
        <v>0</v>
      </c>
      <c r="J655" s="10">
        <v>45679</v>
      </c>
      <c r="K655" s="9" t="s">
        <v>44</v>
      </c>
      <c r="L655" s="9" t="s">
        <v>32</v>
      </c>
      <c r="M655" s="9">
        <v>916.13</v>
      </c>
    </row>
    <row r="656" spans="1:13" x14ac:dyDescent="0.35">
      <c r="A656" s="9">
        <v>2032</v>
      </c>
      <c r="B656" s="9" t="s">
        <v>28</v>
      </c>
      <c r="C656" s="9" t="s">
        <v>19</v>
      </c>
      <c r="D656" s="9" t="s">
        <v>63</v>
      </c>
      <c r="E656" s="9" t="s">
        <v>59</v>
      </c>
      <c r="F656" s="9">
        <v>2</v>
      </c>
      <c r="G656" s="9">
        <v>0</v>
      </c>
      <c r="H656" s="9">
        <v>0.96</v>
      </c>
      <c r="I656" s="9">
        <v>0</v>
      </c>
      <c r="J656" s="10">
        <v>45581</v>
      </c>
      <c r="K656" s="9" t="s">
        <v>45</v>
      </c>
      <c r="L656" s="9" t="s">
        <v>27</v>
      </c>
      <c r="M656" s="9">
        <v>-596.41</v>
      </c>
    </row>
    <row r="657" spans="1:13" x14ac:dyDescent="0.35">
      <c r="A657" s="9">
        <v>2819</v>
      </c>
      <c r="B657" s="9" t="s">
        <v>34</v>
      </c>
      <c r="C657" s="9" t="s">
        <v>19</v>
      </c>
      <c r="D657" s="9" t="s">
        <v>39</v>
      </c>
      <c r="E657" s="9" t="s">
        <v>59</v>
      </c>
      <c r="F657" s="9">
        <v>0</v>
      </c>
      <c r="G657" s="9">
        <v>7645.41</v>
      </c>
      <c r="H657" s="9">
        <v>0</v>
      </c>
      <c r="I657" s="9">
        <v>0</v>
      </c>
      <c r="J657" s="10">
        <v>45677</v>
      </c>
      <c r="K657" s="9" t="s">
        <v>44</v>
      </c>
      <c r="L657" s="9" t="s">
        <v>25</v>
      </c>
      <c r="M657" s="9">
        <v>593.62</v>
      </c>
    </row>
    <row r="658" spans="1:13" x14ac:dyDescent="0.35">
      <c r="A658" s="9">
        <v>2820</v>
      </c>
      <c r="B658" s="9" t="s">
        <v>28</v>
      </c>
      <c r="C658" s="9" t="s">
        <v>21</v>
      </c>
      <c r="D658" s="9" t="s">
        <v>36</v>
      </c>
      <c r="E658" s="9" t="s">
        <v>59</v>
      </c>
      <c r="F658" s="9">
        <v>4</v>
      </c>
      <c r="G658" s="9">
        <v>8659.15</v>
      </c>
      <c r="H658" s="9">
        <v>0</v>
      </c>
      <c r="I658" s="9">
        <v>0</v>
      </c>
      <c r="J658" s="10">
        <v>45509</v>
      </c>
      <c r="K658" s="9" t="s">
        <v>45</v>
      </c>
      <c r="L658" s="9" t="s">
        <v>26</v>
      </c>
      <c r="M658" s="9">
        <v>2078.39</v>
      </c>
    </row>
    <row r="659" spans="1:13" x14ac:dyDescent="0.35">
      <c r="A659" s="9">
        <v>2822</v>
      </c>
      <c r="B659" s="9" t="s">
        <v>28</v>
      </c>
      <c r="C659" s="9" t="s">
        <v>21</v>
      </c>
      <c r="D659" s="9" t="s">
        <v>36</v>
      </c>
      <c r="E659" s="9" t="s">
        <v>59</v>
      </c>
      <c r="F659" s="9">
        <v>0</v>
      </c>
      <c r="G659" s="9">
        <v>8314.34</v>
      </c>
      <c r="H659" s="9">
        <v>0</v>
      </c>
      <c r="I659" s="9">
        <v>0</v>
      </c>
      <c r="J659" s="10">
        <v>45848</v>
      </c>
      <c r="K659" s="9" t="s">
        <v>44</v>
      </c>
      <c r="L659" s="9" t="s">
        <v>25</v>
      </c>
      <c r="M659" s="9">
        <v>-1145.98</v>
      </c>
    </row>
    <row r="660" spans="1:13" x14ac:dyDescent="0.35">
      <c r="A660" s="9">
        <v>2823</v>
      </c>
      <c r="B660" s="9" t="s">
        <v>31</v>
      </c>
      <c r="C660" s="9" t="s">
        <v>19</v>
      </c>
      <c r="D660" s="9" t="s">
        <v>63</v>
      </c>
      <c r="E660" s="9" t="s">
        <v>60</v>
      </c>
      <c r="F660" s="9">
        <v>1</v>
      </c>
      <c r="G660" s="9">
        <v>0</v>
      </c>
      <c r="H660" s="9">
        <v>0</v>
      </c>
      <c r="I660" s="9">
        <v>0</v>
      </c>
      <c r="J660" s="10">
        <v>45500</v>
      </c>
      <c r="K660" s="9" t="s">
        <v>44</v>
      </c>
      <c r="L660" s="9" t="s">
        <v>26</v>
      </c>
      <c r="M660" s="9">
        <v>-1125.9100000000001</v>
      </c>
    </row>
    <row r="661" spans="1:13" x14ac:dyDescent="0.35">
      <c r="A661" s="9">
        <v>2824</v>
      </c>
      <c r="B661" s="9" t="s">
        <v>31</v>
      </c>
      <c r="C661" s="9" t="s">
        <v>22</v>
      </c>
      <c r="D661" s="9" t="s">
        <v>65</v>
      </c>
      <c r="E661" s="9" t="s">
        <v>60</v>
      </c>
      <c r="F661" s="9">
        <v>4</v>
      </c>
      <c r="G661" s="9">
        <v>5123.3500000000004</v>
      </c>
      <c r="H661" s="9">
        <v>0</v>
      </c>
      <c r="I661" s="9">
        <v>0</v>
      </c>
      <c r="J661" s="10">
        <v>45598</v>
      </c>
      <c r="K661" s="9" t="s">
        <v>45</v>
      </c>
      <c r="L661" s="9" t="s">
        <v>26</v>
      </c>
      <c r="M661" s="9">
        <v>1620.37</v>
      </c>
    </row>
    <row r="662" spans="1:13" x14ac:dyDescent="0.35">
      <c r="A662" s="9">
        <v>2825</v>
      </c>
      <c r="B662" s="9" t="s">
        <v>34</v>
      </c>
      <c r="C662" s="9" t="s">
        <v>18</v>
      </c>
      <c r="D662" s="9" t="s">
        <v>37</v>
      </c>
      <c r="E662" s="9" t="s">
        <v>59</v>
      </c>
      <c r="F662" s="9">
        <v>0</v>
      </c>
      <c r="G662" s="9">
        <v>0</v>
      </c>
      <c r="H662" s="9">
        <v>0</v>
      </c>
      <c r="I662" s="9">
        <v>0</v>
      </c>
      <c r="J662" s="10">
        <v>45598</v>
      </c>
      <c r="K662" s="9" t="s">
        <v>44</v>
      </c>
      <c r="L662" s="9" t="s">
        <v>35</v>
      </c>
      <c r="M662" s="9">
        <v>2322.87</v>
      </c>
    </row>
    <row r="663" spans="1:13" x14ac:dyDescent="0.35">
      <c r="A663" s="9">
        <v>2826</v>
      </c>
      <c r="B663" s="9" t="s">
        <v>34</v>
      </c>
      <c r="C663" s="9" t="s">
        <v>21</v>
      </c>
      <c r="D663" s="9" t="s">
        <v>36</v>
      </c>
      <c r="E663" s="9" t="s">
        <v>59</v>
      </c>
      <c r="F663" s="9">
        <v>2</v>
      </c>
      <c r="G663" s="9">
        <v>0</v>
      </c>
      <c r="H663" s="9">
        <v>0.01</v>
      </c>
      <c r="I663" s="9">
        <v>0</v>
      </c>
      <c r="J663" s="10">
        <v>45598</v>
      </c>
      <c r="K663" s="9" t="s">
        <v>44</v>
      </c>
      <c r="L663" s="9" t="s">
        <v>25</v>
      </c>
      <c r="M663" s="9">
        <v>262.81</v>
      </c>
    </row>
    <row r="664" spans="1:13" x14ac:dyDescent="0.35">
      <c r="A664" s="9">
        <v>2827</v>
      </c>
      <c r="B664" s="9" t="s">
        <v>31</v>
      </c>
      <c r="C664" s="9" t="s">
        <v>22</v>
      </c>
      <c r="D664" s="9" t="s">
        <v>65</v>
      </c>
      <c r="E664" s="9" t="s">
        <v>60</v>
      </c>
      <c r="F664" s="9">
        <v>0</v>
      </c>
      <c r="G664" s="9">
        <v>4278.28</v>
      </c>
      <c r="H664" s="9">
        <v>1.17</v>
      </c>
      <c r="I664" s="9">
        <v>0</v>
      </c>
      <c r="J664" s="10">
        <v>45684</v>
      </c>
      <c r="K664" s="9" t="s">
        <v>44</v>
      </c>
      <c r="L664" s="9" t="s">
        <v>32</v>
      </c>
      <c r="M664" s="9">
        <v>860.32</v>
      </c>
    </row>
    <row r="665" spans="1:13" x14ac:dyDescent="0.35">
      <c r="A665" s="9">
        <v>2828</v>
      </c>
      <c r="B665" s="9" t="s">
        <v>28</v>
      </c>
      <c r="C665" s="9" t="s">
        <v>18</v>
      </c>
      <c r="D665" s="9" t="s">
        <v>38</v>
      </c>
      <c r="E665" s="9" t="s">
        <v>62</v>
      </c>
      <c r="F665" s="9">
        <v>0</v>
      </c>
      <c r="G665" s="9">
        <v>2095</v>
      </c>
      <c r="H665" s="9">
        <v>0</v>
      </c>
      <c r="I665" s="9">
        <v>0</v>
      </c>
      <c r="J665" s="10">
        <v>45540</v>
      </c>
      <c r="K665" s="9" t="s">
        <v>45</v>
      </c>
      <c r="L665" s="9" t="s">
        <v>32</v>
      </c>
      <c r="M665" s="9">
        <v>-831.4</v>
      </c>
    </row>
    <row r="666" spans="1:13" x14ac:dyDescent="0.35">
      <c r="A666" s="9">
        <v>2829</v>
      </c>
      <c r="B666" s="9" t="s">
        <v>31</v>
      </c>
      <c r="C666" s="9" t="s">
        <v>22</v>
      </c>
      <c r="D666" s="9" t="s">
        <v>30</v>
      </c>
      <c r="E666" s="9" t="s">
        <v>62</v>
      </c>
      <c r="F666" s="9">
        <v>0</v>
      </c>
      <c r="G666" s="9">
        <v>0</v>
      </c>
      <c r="H666" s="9">
        <v>0</v>
      </c>
      <c r="I666" s="9">
        <v>0</v>
      </c>
      <c r="J666" s="10">
        <v>45490</v>
      </c>
      <c r="K666" s="9" t="s">
        <v>45</v>
      </c>
      <c r="L666" s="9" t="s">
        <v>27</v>
      </c>
      <c r="M666" s="9">
        <v>2539.92</v>
      </c>
    </row>
    <row r="667" spans="1:13" x14ac:dyDescent="0.35">
      <c r="A667" s="9">
        <v>2831</v>
      </c>
      <c r="B667" s="9" t="s">
        <v>28</v>
      </c>
      <c r="C667" s="9" t="s">
        <v>18</v>
      </c>
      <c r="D667" s="9" t="s">
        <v>37</v>
      </c>
      <c r="E667" s="9" t="s">
        <v>59</v>
      </c>
      <c r="F667" s="9">
        <v>4</v>
      </c>
      <c r="G667" s="9">
        <v>0</v>
      </c>
      <c r="H667" s="9">
        <v>0</v>
      </c>
      <c r="I667" s="9">
        <v>0</v>
      </c>
      <c r="J667" s="10">
        <v>45606</v>
      </c>
      <c r="K667" s="9" t="s">
        <v>45</v>
      </c>
      <c r="L667" s="9" t="s">
        <v>26</v>
      </c>
      <c r="M667" s="9">
        <v>3134.87</v>
      </c>
    </row>
    <row r="668" spans="1:13" x14ac:dyDescent="0.35">
      <c r="A668" s="9">
        <v>2833</v>
      </c>
      <c r="B668" s="9" t="s">
        <v>28</v>
      </c>
      <c r="C668" s="9" t="s">
        <v>18</v>
      </c>
      <c r="D668" s="9" t="s">
        <v>33</v>
      </c>
      <c r="E668" s="9" t="s">
        <v>62</v>
      </c>
      <c r="F668" s="9">
        <v>4</v>
      </c>
      <c r="G668" s="9">
        <v>2224.9</v>
      </c>
      <c r="H668" s="9">
        <v>0</v>
      </c>
      <c r="I668" s="9">
        <v>0</v>
      </c>
      <c r="J668" s="10">
        <v>45676</v>
      </c>
      <c r="K668" s="9" t="s">
        <v>45</v>
      </c>
      <c r="L668" s="9" t="s">
        <v>35</v>
      </c>
      <c r="M668" s="9">
        <v>-16.04</v>
      </c>
    </row>
    <row r="669" spans="1:13" x14ac:dyDescent="0.35">
      <c r="A669" s="9">
        <v>2834</v>
      </c>
      <c r="B669" s="9" t="s">
        <v>34</v>
      </c>
      <c r="C669" s="9" t="s">
        <v>18</v>
      </c>
      <c r="D669" s="9" t="s">
        <v>33</v>
      </c>
      <c r="E669" s="9" t="s">
        <v>59</v>
      </c>
      <c r="F669" s="9">
        <v>-1</v>
      </c>
      <c r="G669" s="9">
        <v>9544.08</v>
      </c>
      <c r="H669" s="9">
        <v>0</v>
      </c>
      <c r="I669" s="9">
        <v>0</v>
      </c>
      <c r="J669" s="10">
        <v>45540</v>
      </c>
      <c r="K669" s="9" t="s">
        <v>44</v>
      </c>
      <c r="L669" s="9" t="s">
        <v>27</v>
      </c>
      <c r="M669" s="9">
        <v>575.58000000000004</v>
      </c>
    </row>
    <row r="670" spans="1:13" x14ac:dyDescent="0.35">
      <c r="A670" s="9">
        <v>2836</v>
      </c>
      <c r="B670" s="9" t="s">
        <v>31</v>
      </c>
      <c r="C670" s="9" t="s">
        <v>22</v>
      </c>
      <c r="D670" s="9" t="s">
        <v>67</v>
      </c>
      <c r="E670" s="9" t="s">
        <v>60</v>
      </c>
      <c r="F670" s="9">
        <v>0</v>
      </c>
      <c r="G670" s="9">
        <v>9098.9</v>
      </c>
      <c r="H670" s="9">
        <v>0.75</v>
      </c>
      <c r="I670" s="9">
        <v>0</v>
      </c>
      <c r="J670" s="10">
        <v>45860</v>
      </c>
      <c r="K670" s="9" t="s">
        <v>44</v>
      </c>
      <c r="L670" s="9" t="s">
        <v>29</v>
      </c>
      <c r="M670" s="9">
        <v>2729.87</v>
      </c>
    </row>
    <row r="671" spans="1:13" x14ac:dyDescent="0.35">
      <c r="A671" s="9">
        <v>2837</v>
      </c>
      <c r="B671" s="9" t="s">
        <v>28</v>
      </c>
      <c r="C671" s="9" t="s">
        <v>20</v>
      </c>
      <c r="D671" s="9" t="s">
        <v>70</v>
      </c>
      <c r="E671" s="9" t="s">
        <v>60</v>
      </c>
      <c r="F671" s="9">
        <v>0</v>
      </c>
      <c r="G671" s="9">
        <v>8889.68</v>
      </c>
      <c r="H671" s="9">
        <v>0</v>
      </c>
      <c r="I671" s="9">
        <v>0</v>
      </c>
      <c r="J671" s="10">
        <v>45860</v>
      </c>
      <c r="K671" s="9" t="s">
        <v>45</v>
      </c>
      <c r="L671" s="9" t="s">
        <v>26</v>
      </c>
      <c r="M671" s="9">
        <v>2191.17</v>
      </c>
    </row>
    <row r="672" spans="1:13" x14ac:dyDescent="0.35">
      <c r="A672" s="9">
        <v>2838</v>
      </c>
      <c r="B672" s="9" t="s">
        <v>28</v>
      </c>
      <c r="C672" s="9" t="s">
        <v>22</v>
      </c>
      <c r="D672" s="9" t="s">
        <v>65</v>
      </c>
      <c r="E672" s="9" t="s">
        <v>62</v>
      </c>
      <c r="F672" s="9">
        <v>4</v>
      </c>
      <c r="G672" s="9">
        <v>8605.73</v>
      </c>
      <c r="H672" s="9">
        <v>0</v>
      </c>
      <c r="I672" s="9">
        <v>0</v>
      </c>
      <c r="J672" s="10">
        <v>45665</v>
      </c>
      <c r="K672" s="9" t="s">
        <v>44</v>
      </c>
      <c r="L672" s="9" t="s">
        <v>35</v>
      </c>
      <c r="M672" s="9">
        <v>-990.99</v>
      </c>
    </row>
    <row r="673" spans="1:13" x14ac:dyDescent="0.35">
      <c r="A673" s="9">
        <v>2839</v>
      </c>
      <c r="B673" s="9" t="s">
        <v>31</v>
      </c>
      <c r="C673" s="9" t="s">
        <v>21</v>
      </c>
      <c r="D673" s="9" t="s">
        <v>64</v>
      </c>
      <c r="E673" s="9" t="s">
        <v>59</v>
      </c>
      <c r="F673" s="9">
        <v>0</v>
      </c>
      <c r="G673" s="9">
        <v>0</v>
      </c>
      <c r="H673" s="9">
        <v>0</v>
      </c>
      <c r="I673" s="9">
        <v>0</v>
      </c>
      <c r="J673" s="10">
        <v>45719</v>
      </c>
      <c r="K673" s="9" t="s">
        <v>45</v>
      </c>
      <c r="L673" s="9" t="s">
        <v>32</v>
      </c>
      <c r="M673" s="9">
        <v>2992.52</v>
      </c>
    </row>
    <row r="674" spans="1:13" x14ac:dyDescent="0.35">
      <c r="A674" s="9">
        <v>2050</v>
      </c>
      <c r="B674" s="9" t="s">
        <v>28</v>
      </c>
      <c r="C674" s="9" t="s">
        <v>21</v>
      </c>
      <c r="D674" s="9" t="s">
        <v>36</v>
      </c>
      <c r="E674" s="9" t="s">
        <v>60</v>
      </c>
      <c r="F674" s="9">
        <v>-1</v>
      </c>
      <c r="G674" s="9">
        <v>0</v>
      </c>
      <c r="H674" s="9">
        <v>0</v>
      </c>
      <c r="I674" s="9">
        <v>0</v>
      </c>
      <c r="J674" s="10">
        <v>45624</v>
      </c>
      <c r="K674" s="9" t="s">
        <v>45</v>
      </c>
      <c r="L674" s="9" t="s">
        <v>27</v>
      </c>
      <c r="M674" s="9">
        <v>3407.87</v>
      </c>
    </row>
    <row r="675" spans="1:13" x14ac:dyDescent="0.35">
      <c r="A675" s="9">
        <v>2841</v>
      </c>
      <c r="B675" s="9" t="s">
        <v>31</v>
      </c>
      <c r="C675" s="9" t="s">
        <v>22</v>
      </c>
      <c r="D675" s="9" t="s">
        <v>30</v>
      </c>
      <c r="E675" s="9" t="s">
        <v>59</v>
      </c>
      <c r="F675" s="9">
        <v>1</v>
      </c>
      <c r="G675" s="9">
        <v>4166.9399999999996</v>
      </c>
      <c r="H675" s="9">
        <v>0</v>
      </c>
      <c r="I675" s="9">
        <v>0</v>
      </c>
      <c r="J675" s="10">
        <v>45624</v>
      </c>
      <c r="K675" s="9" t="s">
        <v>45</v>
      </c>
      <c r="L675" s="9" t="s">
        <v>29</v>
      </c>
      <c r="M675" s="9">
        <v>2865.93</v>
      </c>
    </row>
    <row r="676" spans="1:13" x14ac:dyDescent="0.35">
      <c r="A676" s="9">
        <v>2842</v>
      </c>
      <c r="B676" s="9" t="s">
        <v>28</v>
      </c>
      <c r="C676" s="9" t="s">
        <v>19</v>
      </c>
      <c r="D676" s="9" t="s">
        <v>69</v>
      </c>
      <c r="E676" s="9" t="s">
        <v>59</v>
      </c>
      <c r="F676" s="9">
        <v>-1</v>
      </c>
      <c r="G676" s="9">
        <v>0</v>
      </c>
      <c r="H676" s="9">
        <v>0</v>
      </c>
      <c r="I676" s="9">
        <v>0</v>
      </c>
      <c r="J676" s="10">
        <v>45676</v>
      </c>
      <c r="K676" s="9" t="s">
        <v>45</v>
      </c>
      <c r="L676" s="9" t="s">
        <v>25</v>
      </c>
      <c r="M676" s="9">
        <v>-1193.98</v>
      </c>
    </row>
    <row r="677" spans="1:13" x14ac:dyDescent="0.35">
      <c r="A677" s="9">
        <v>2843</v>
      </c>
      <c r="B677" s="9" t="s">
        <v>31</v>
      </c>
      <c r="C677" s="9" t="s">
        <v>18</v>
      </c>
      <c r="D677" s="9" t="s">
        <v>37</v>
      </c>
      <c r="E677" s="9" t="s">
        <v>59</v>
      </c>
      <c r="F677" s="9">
        <v>0</v>
      </c>
      <c r="G677" s="9">
        <v>0</v>
      </c>
      <c r="H677" s="9">
        <v>0</v>
      </c>
      <c r="I677" s="9">
        <v>0</v>
      </c>
      <c r="J677" s="10">
        <v>45772</v>
      </c>
      <c r="K677" s="9" t="s">
        <v>45</v>
      </c>
      <c r="L677" s="9" t="s">
        <v>26</v>
      </c>
      <c r="M677" s="9">
        <v>3574.05</v>
      </c>
    </row>
    <row r="678" spans="1:13" x14ac:dyDescent="0.35">
      <c r="A678" s="9">
        <v>2846</v>
      </c>
      <c r="B678" s="9" t="s">
        <v>34</v>
      </c>
      <c r="C678" s="9" t="s">
        <v>18</v>
      </c>
      <c r="D678" s="9" t="s">
        <v>38</v>
      </c>
      <c r="E678" s="9" t="s">
        <v>60</v>
      </c>
      <c r="F678" s="9">
        <v>0</v>
      </c>
      <c r="G678" s="9">
        <v>2932.99</v>
      </c>
      <c r="H678" s="9">
        <v>0</v>
      </c>
      <c r="I678" s="9">
        <v>0</v>
      </c>
      <c r="J678" s="10">
        <v>45594</v>
      </c>
      <c r="K678" s="9" t="s">
        <v>45</v>
      </c>
      <c r="L678" s="9" t="s">
        <v>35</v>
      </c>
      <c r="M678" s="9">
        <v>-543.26</v>
      </c>
    </row>
    <row r="679" spans="1:13" x14ac:dyDescent="0.35">
      <c r="A679" s="9">
        <v>2847</v>
      </c>
      <c r="B679" s="9" t="s">
        <v>31</v>
      </c>
      <c r="C679" s="9" t="s">
        <v>18</v>
      </c>
      <c r="D679" s="9" t="s">
        <v>41</v>
      </c>
      <c r="E679" s="9" t="s">
        <v>62</v>
      </c>
      <c r="F679" s="9">
        <v>0</v>
      </c>
      <c r="G679" s="9">
        <v>0</v>
      </c>
      <c r="H679" s="9">
        <v>0.16</v>
      </c>
      <c r="I679" s="9">
        <v>0</v>
      </c>
      <c r="J679" s="10">
        <v>45612</v>
      </c>
      <c r="K679" s="9" t="s">
        <v>45</v>
      </c>
      <c r="L679" s="9" t="s">
        <v>25</v>
      </c>
      <c r="M679" s="9">
        <v>3988.85</v>
      </c>
    </row>
    <row r="680" spans="1:13" x14ac:dyDescent="0.35">
      <c r="A680" s="9">
        <v>2848</v>
      </c>
      <c r="B680" s="9" t="s">
        <v>34</v>
      </c>
      <c r="C680" s="9" t="s">
        <v>20</v>
      </c>
      <c r="D680" s="9" t="s">
        <v>66</v>
      </c>
      <c r="E680" s="9" t="s">
        <v>59</v>
      </c>
      <c r="F680" s="9">
        <v>0</v>
      </c>
      <c r="G680" s="9">
        <v>9476.7999999999993</v>
      </c>
      <c r="H680" s="9">
        <v>0.03</v>
      </c>
      <c r="I680" s="9">
        <v>0</v>
      </c>
      <c r="J680" s="10">
        <v>45518</v>
      </c>
      <c r="K680" s="9" t="s">
        <v>45</v>
      </c>
      <c r="L680" s="9" t="s">
        <v>32</v>
      </c>
      <c r="M680" s="9">
        <v>-350.03</v>
      </c>
    </row>
    <row r="681" spans="1:13" x14ac:dyDescent="0.35">
      <c r="A681" s="9">
        <v>2008</v>
      </c>
      <c r="B681" s="9" t="s">
        <v>31</v>
      </c>
      <c r="C681" s="9" t="s">
        <v>20</v>
      </c>
      <c r="D681" s="9" t="s">
        <v>43</v>
      </c>
      <c r="E681" s="9" t="s">
        <v>62</v>
      </c>
      <c r="F681" s="9">
        <v>0</v>
      </c>
      <c r="G681" s="9">
        <v>0</v>
      </c>
      <c r="H681" s="9">
        <v>0</v>
      </c>
      <c r="I681" s="9">
        <v>0</v>
      </c>
      <c r="J681" s="10">
        <v>45498</v>
      </c>
      <c r="K681" s="9" t="s">
        <v>44</v>
      </c>
      <c r="L681" s="9" t="s">
        <v>26</v>
      </c>
      <c r="M681" s="9">
        <v>-639.41999999999996</v>
      </c>
    </row>
    <row r="682" spans="1:13" x14ac:dyDescent="0.35">
      <c r="A682" s="9">
        <v>2850</v>
      </c>
      <c r="B682" s="9" t="s">
        <v>34</v>
      </c>
      <c r="C682" s="9" t="s">
        <v>21</v>
      </c>
      <c r="D682" s="9" t="s">
        <v>64</v>
      </c>
      <c r="E682" s="9" t="s">
        <v>62</v>
      </c>
      <c r="F682" s="9">
        <v>2</v>
      </c>
      <c r="G682" s="9">
        <v>0</v>
      </c>
      <c r="H682" s="9">
        <v>0</v>
      </c>
      <c r="I682" s="9">
        <v>0</v>
      </c>
      <c r="J682" s="10">
        <v>45606</v>
      </c>
      <c r="K682" s="9" t="s">
        <v>44</v>
      </c>
      <c r="L682" s="9" t="s">
        <v>35</v>
      </c>
      <c r="M682" s="9">
        <v>458.86</v>
      </c>
    </row>
    <row r="683" spans="1:13" x14ac:dyDescent="0.35">
      <c r="A683" s="9">
        <v>2851</v>
      </c>
      <c r="B683" s="9" t="s">
        <v>34</v>
      </c>
      <c r="C683" s="9" t="s">
        <v>21</v>
      </c>
      <c r="D683" s="9" t="s">
        <v>36</v>
      </c>
      <c r="E683" s="9" t="s">
        <v>62</v>
      </c>
      <c r="F683" s="9">
        <v>0</v>
      </c>
      <c r="G683" s="9">
        <v>2241.11</v>
      </c>
      <c r="H683" s="9">
        <v>0</v>
      </c>
      <c r="I683" s="9">
        <v>0</v>
      </c>
      <c r="J683" s="10">
        <v>45654</v>
      </c>
      <c r="K683" s="9" t="s">
        <v>45</v>
      </c>
      <c r="L683" s="9" t="s">
        <v>26</v>
      </c>
      <c r="M683" s="9">
        <v>1243.95</v>
      </c>
    </row>
    <row r="684" spans="1:13" x14ac:dyDescent="0.35">
      <c r="A684" s="9">
        <v>2852</v>
      </c>
      <c r="B684" s="9" t="s">
        <v>34</v>
      </c>
      <c r="C684" s="9" t="s">
        <v>20</v>
      </c>
      <c r="D684" s="9" t="s">
        <v>61</v>
      </c>
      <c r="E684" s="9" t="s">
        <v>59</v>
      </c>
      <c r="F684" s="9">
        <v>0</v>
      </c>
      <c r="G684" s="9">
        <v>0</v>
      </c>
      <c r="H684" s="9">
        <v>0</v>
      </c>
      <c r="I684" s="9">
        <v>0</v>
      </c>
      <c r="J684" s="10">
        <v>45654</v>
      </c>
      <c r="K684" s="9" t="s">
        <v>45</v>
      </c>
      <c r="L684" s="9" t="s">
        <v>29</v>
      </c>
      <c r="M684" s="9">
        <v>-234.16</v>
      </c>
    </row>
    <row r="685" spans="1:13" x14ac:dyDescent="0.35">
      <c r="A685" s="9">
        <v>2853</v>
      </c>
      <c r="B685" s="9" t="s">
        <v>28</v>
      </c>
      <c r="C685" s="9" t="s">
        <v>22</v>
      </c>
      <c r="D685" s="9" t="s">
        <v>67</v>
      </c>
      <c r="E685" s="9" t="s">
        <v>62</v>
      </c>
      <c r="F685" s="9">
        <v>0</v>
      </c>
      <c r="G685" s="9">
        <v>0</v>
      </c>
      <c r="H685" s="9">
        <v>0</v>
      </c>
      <c r="I685" s="9">
        <v>0</v>
      </c>
      <c r="J685" s="10">
        <v>45694</v>
      </c>
      <c r="K685" s="9" t="s">
        <v>44</v>
      </c>
      <c r="L685" s="9" t="s">
        <v>32</v>
      </c>
      <c r="M685" s="9">
        <v>3841.05</v>
      </c>
    </row>
    <row r="686" spans="1:13" x14ac:dyDescent="0.35">
      <c r="A686" s="9">
        <v>2856</v>
      </c>
      <c r="B686" s="9" t="s">
        <v>34</v>
      </c>
      <c r="C686" s="9" t="s">
        <v>22</v>
      </c>
      <c r="D686" s="9" t="s">
        <v>67</v>
      </c>
      <c r="E686" s="9" t="s">
        <v>59</v>
      </c>
      <c r="F686" s="9">
        <v>0</v>
      </c>
      <c r="G686" s="9">
        <v>0</v>
      </c>
      <c r="H686" s="9">
        <v>1.1399999999999999</v>
      </c>
      <c r="I686" s="9">
        <v>0</v>
      </c>
      <c r="J686" s="10">
        <v>45211</v>
      </c>
      <c r="K686" s="9" t="s">
        <v>45</v>
      </c>
      <c r="L686" s="9" t="s">
        <v>27</v>
      </c>
      <c r="M686" s="9">
        <v>3137.85</v>
      </c>
    </row>
    <row r="687" spans="1:13" x14ac:dyDescent="0.35">
      <c r="A687" s="9">
        <v>2857</v>
      </c>
      <c r="B687" s="9" t="s">
        <v>28</v>
      </c>
      <c r="C687" s="9" t="s">
        <v>20</v>
      </c>
      <c r="D687" s="9" t="s">
        <v>61</v>
      </c>
      <c r="E687" s="9" t="s">
        <v>59</v>
      </c>
      <c r="F687" s="9">
        <v>0</v>
      </c>
      <c r="G687" s="9">
        <v>4105.4399999999996</v>
      </c>
      <c r="H687" s="9">
        <v>0.73</v>
      </c>
      <c r="I687" s="9">
        <v>0</v>
      </c>
      <c r="J687" s="10">
        <v>45529</v>
      </c>
      <c r="K687" s="9" t="s">
        <v>45</v>
      </c>
      <c r="L687" s="9" t="s">
        <v>27</v>
      </c>
      <c r="M687" s="9">
        <v>3197.09</v>
      </c>
    </row>
    <row r="688" spans="1:13" x14ac:dyDescent="0.35">
      <c r="A688" s="9">
        <v>2859</v>
      </c>
      <c r="B688" s="9" t="s">
        <v>28</v>
      </c>
      <c r="C688" s="9" t="s">
        <v>21</v>
      </c>
      <c r="D688" s="9" t="s">
        <v>40</v>
      </c>
      <c r="E688" s="9" t="s">
        <v>59</v>
      </c>
      <c r="F688" s="9">
        <v>0</v>
      </c>
      <c r="G688" s="9">
        <v>0</v>
      </c>
      <c r="H688" s="9">
        <v>0</v>
      </c>
      <c r="I688" s="9">
        <v>0</v>
      </c>
      <c r="J688" s="10">
        <v>45529</v>
      </c>
      <c r="K688" s="9" t="s">
        <v>45</v>
      </c>
      <c r="L688" s="9" t="s">
        <v>35</v>
      </c>
      <c r="M688" s="9">
        <v>566.34</v>
      </c>
    </row>
    <row r="689" spans="1:13" x14ac:dyDescent="0.35">
      <c r="A689" s="9">
        <v>2860</v>
      </c>
      <c r="B689" s="9" t="s">
        <v>34</v>
      </c>
      <c r="C689" s="9" t="s">
        <v>21</v>
      </c>
      <c r="D689" s="9" t="s">
        <v>40</v>
      </c>
      <c r="E689" s="9" t="s">
        <v>62</v>
      </c>
      <c r="F689" s="9">
        <v>-1</v>
      </c>
      <c r="G689" s="9">
        <v>7568.04</v>
      </c>
      <c r="H689" s="9">
        <v>0</v>
      </c>
      <c r="I689" s="9">
        <v>0</v>
      </c>
      <c r="J689" s="10">
        <v>45754</v>
      </c>
      <c r="K689" s="9" t="s">
        <v>44</v>
      </c>
      <c r="L689" s="9" t="s">
        <v>32</v>
      </c>
      <c r="M689" s="9">
        <v>1365.3</v>
      </c>
    </row>
    <row r="690" spans="1:13" x14ac:dyDescent="0.35">
      <c r="A690" s="9">
        <v>2861</v>
      </c>
      <c r="B690" s="9" t="s">
        <v>34</v>
      </c>
      <c r="C690" s="9" t="s">
        <v>18</v>
      </c>
      <c r="D690" s="9" t="s">
        <v>38</v>
      </c>
      <c r="E690" s="9" t="s">
        <v>62</v>
      </c>
      <c r="F690" s="9">
        <v>0</v>
      </c>
      <c r="G690" s="9">
        <v>0</v>
      </c>
      <c r="H690" s="9">
        <v>0</v>
      </c>
      <c r="I690" s="9">
        <v>0</v>
      </c>
      <c r="J690" s="10">
        <v>45767</v>
      </c>
      <c r="K690" s="9" t="s">
        <v>45</v>
      </c>
      <c r="L690" s="9" t="s">
        <v>35</v>
      </c>
      <c r="M690" s="9">
        <v>650.99</v>
      </c>
    </row>
    <row r="691" spans="1:13" x14ac:dyDescent="0.35">
      <c r="A691" s="9">
        <v>2862</v>
      </c>
      <c r="B691" s="9" t="s">
        <v>34</v>
      </c>
      <c r="C691" s="9" t="s">
        <v>19</v>
      </c>
      <c r="D691" s="9" t="s">
        <v>69</v>
      </c>
      <c r="E691" s="9" t="s">
        <v>59</v>
      </c>
      <c r="F691" s="9">
        <v>4</v>
      </c>
      <c r="G691" s="9">
        <v>7940.29</v>
      </c>
      <c r="H691" s="9">
        <v>1.02</v>
      </c>
      <c r="I691" s="9">
        <v>-635.22</v>
      </c>
      <c r="J691" s="10">
        <v>45607</v>
      </c>
      <c r="K691" s="9" t="s">
        <v>44</v>
      </c>
      <c r="L691" s="9" t="s">
        <v>29</v>
      </c>
      <c r="M691" s="9">
        <v>1803.25</v>
      </c>
    </row>
    <row r="692" spans="1:13" x14ac:dyDescent="0.35">
      <c r="A692" s="9">
        <v>2863</v>
      </c>
      <c r="B692" s="9" t="s">
        <v>28</v>
      </c>
      <c r="C692" s="9" t="s">
        <v>18</v>
      </c>
      <c r="D692" s="9" t="s">
        <v>41</v>
      </c>
      <c r="E692" s="9" t="s">
        <v>59</v>
      </c>
      <c r="F692" s="9">
        <v>0</v>
      </c>
      <c r="G692" s="9">
        <v>8609.77</v>
      </c>
      <c r="H692" s="9">
        <v>0</v>
      </c>
      <c r="I692" s="9">
        <v>0</v>
      </c>
      <c r="J692" s="10">
        <v>45619</v>
      </c>
      <c r="K692" s="9" t="s">
        <v>44</v>
      </c>
      <c r="L692" s="9" t="s">
        <v>35</v>
      </c>
      <c r="M692" s="9">
        <v>-711.07</v>
      </c>
    </row>
    <row r="693" spans="1:13" x14ac:dyDescent="0.35">
      <c r="A693" s="9">
        <v>2866</v>
      </c>
      <c r="B693" s="9" t="s">
        <v>34</v>
      </c>
      <c r="C693" s="9" t="s">
        <v>18</v>
      </c>
      <c r="D693" s="9" t="s">
        <v>37</v>
      </c>
      <c r="E693" s="9" t="s">
        <v>59</v>
      </c>
      <c r="F693" s="9">
        <v>2</v>
      </c>
      <c r="G693" s="9">
        <v>0</v>
      </c>
      <c r="H693" s="9">
        <v>0</v>
      </c>
      <c r="I693" s="9">
        <v>0</v>
      </c>
      <c r="J693" s="10">
        <v>45666</v>
      </c>
      <c r="K693" s="9" t="s">
        <v>45</v>
      </c>
      <c r="L693" s="9" t="s">
        <v>35</v>
      </c>
      <c r="M693" s="9">
        <v>273.27999999999997</v>
      </c>
    </row>
    <row r="694" spans="1:13" x14ac:dyDescent="0.35">
      <c r="A694" s="9">
        <v>2867</v>
      </c>
      <c r="B694" s="9" t="s">
        <v>31</v>
      </c>
      <c r="C694" s="9" t="s">
        <v>19</v>
      </c>
      <c r="D694" s="9" t="s">
        <v>63</v>
      </c>
      <c r="E694" s="9" t="s">
        <v>59</v>
      </c>
      <c r="F694" s="9">
        <v>1</v>
      </c>
      <c r="G694" s="9">
        <v>9936.58</v>
      </c>
      <c r="H694" s="9">
        <v>0</v>
      </c>
      <c r="I694" s="9">
        <v>0</v>
      </c>
      <c r="J694" s="10">
        <v>45708</v>
      </c>
      <c r="K694" s="9" t="s">
        <v>45</v>
      </c>
      <c r="L694" s="9" t="s">
        <v>32</v>
      </c>
      <c r="M694" s="9">
        <v>3190.43</v>
      </c>
    </row>
    <row r="695" spans="1:13" x14ac:dyDescent="0.35">
      <c r="A695" s="9">
        <v>2868</v>
      </c>
      <c r="B695" s="9" t="s">
        <v>28</v>
      </c>
      <c r="C695" s="9" t="s">
        <v>20</v>
      </c>
      <c r="D695" s="9" t="s">
        <v>61</v>
      </c>
      <c r="E695" s="9" t="s">
        <v>59</v>
      </c>
      <c r="F695" s="9">
        <v>0</v>
      </c>
      <c r="G695" s="9">
        <v>7379.45</v>
      </c>
      <c r="H695" s="9">
        <v>0</v>
      </c>
      <c r="I695" s="9">
        <v>0</v>
      </c>
      <c r="J695" s="10">
        <v>45588</v>
      </c>
      <c r="K695" s="9" t="s">
        <v>44</v>
      </c>
      <c r="L695" s="9" t="s">
        <v>29</v>
      </c>
      <c r="M695" s="9">
        <v>-688.14</v>
      </c>
    </row>
    <row r="696" spans="1:13" x14ac:dyDescent="0.35">
      <c r="A696" s="9">
        <v>2869</v>
      </c>
      <c r="B696" s="9" t="s">
        <v>34</v>
      </c>
      <c r="C696" s="9" t="s">
        <v>19</v>
      </c>
      <c r="D696" s="9" t="s">
        <v>39</v>
      </c>
      <c r="E696" s="9" t="s">
        <v>59</v>
      </c>
      <c r="F696" s="9">
        <v>4</v>
      </c>
      <c r="G696" s="9">
        <v>0</v>
      </c>
      <c r="H696" s="9">
        <v>0</v>
      </c>
      <c r="I696" s="9">
        <v>0</v>
      </c>
      <c r="J696" s="10">
        <v>45499</v>
      </c>
      <c r="K696" s="9" t="s">
        <v>45</v>
      </c>
      <c r="L696" s="9" t="s">
        <v>35</v>
      </c>
      <c r="M696" s="9">
        <v>1550.3</v>
      </c>
    </row>
    <row r="697" spans="1:13" x14ac:dyDescent="0.35">
      <c r="A697" s="9">
        <v>2870</v>
      </c>
      <c r="B697" s="9" t="s">
        <v>34</v>
      </c>
      <c r="C697" s="9" t="s">
        <v>18</v>
      </c>
      <c r="D697" s="9" t="s">
        <v>41</v>
      </c>
      <c r="E697" s="9" t="s">
        <v>59</v>
      </c>
      <c r="F697" s="9">
        <v>1</v>
      </c>
      <c r="G697" s="9">
        <v>9633.68</v>
      </c>
      <c r="H697" s="9">
        <v>0</v>
      </c>
      <c r="I697" s="9">
        <v>0</v>
      </c>
      <c r="J697" s="10">
        <v>45570</v>
      </c>
      <c r="K697" s="9" t="s">
        <v>44</v>
      </c>
      <c r="L697" s="9" t="s">
        <v>29</v>
      </c>
      <c r="M697" s="9">
        <v>771.96</v>
      </c>
    </row>
    <row r="698" spans="1:13" x14ac:dyDescent="0.35">
      <c r="A698" s="9">
        <v>2871</v>
      </c>
      <c r="B698" s="9" t="s">
        <v>31</v>
      </c>
      <c r="C698" s="9" t="s">
        <v>18</v>
      </c>
      <c r="D698" s="9" t="s">
        <v>33</v>
      </c>
      <c r="E698" s="9" t="s">
        <v>59</v>
      </c>
      <c r="F698" s="9">
        <v>1</v>
      </c>
      <c r="G698" s="9">
        <v>2294.09</v>
      </c>
      <c r="H698" s="9">
        <v>0</v>
      </c>
      <c r="I698" s="9">
        <v>0</v>
      </c>
      <c r="J698" s="10">
        <v>45860</v>
      </c>
      <c r="K698" s="9" t="s">
        <v>44</v>
      </c>
      <c r="L698" s="9" t="s">
        <v>25</v>
      </c>
      <c r="M698" s="9">
        <v>1002.21</v>
      </c>
    </row>
    <row r="699" spans="1:13" x14ac:dyDescent="0.35">
      <c r="A699" s="9">
        <v>2872</v>
      </c>
      <c r="B699" s="9" t="s">
        <v>31</v>
      </c>
      <c r="C699" s="9" t="s">
        <v>22</v>
      </c>
      <c r="D699" s="9" t="s">
        <v>67</v>
      </c>
      <c r="E699" s="9" t="s">
        <v>59</v>
      </c>
      <c r="F699" s="9">
        <v>0</v>
      </c>
      <c r="G699" s="9">
        <v>3953.13</v>
      </c>
      <c r="H699" s="9">
        <v>0</v>
      </c>
      <c r="I699" s="9">
        <v>0</v>
      </c>
      <c r="J699" s="10">
        <v>45299</v>
      </c>
      <c r="K699" s="9" t="s">
        <v>45</v>
      </c>
      <c r="L699" s="9" t="s">
        <v>27</v>
      </c>
      <c r="M699" s="9">
        <v>3414.32</v>
      </c>
    </row>
    <row r="700" spans="1:13" x14ac:dyDescent="0.35">
      <c r="A700" s="9">
        <v>2874</v>
      </c>
      <c r="B700" s="9" t="s">
        <v>28</v>
      </c>
      <c r="C700" s="9" t="s">
        <v>19</v>
      </c>
      <c r="D700" s="9" t="s">
        <v>63</v>
      </c>
      <c r="E700" s="9" t="s">
        <v>60</v>
      </c>
      <c r="F700" s="9">
        <v>0</v>
      </c>
      <c r="G700" s="9">
        <v>0</v>
      </c>
      <c r="H700" s="9">
        <v>0.01</v>
      </c>
      <c r="I700" s="9">
        <v>0</v>
      </c>
      <c r="J700" s="10">
        <v>45355</v>
      </c>
      <c r="K700" s="9" t="s">
        <v>44</v>
      </c>
      <c r="L700" s="9" t="s">
        <v>29</v>
      </c>
      <c r="M700" s="9">
        <v>-109.71</v>
      </c>
    </row>
    <row r="701" spans="1:13" x14ac:dyDescent="0.35">
      <c r="A701" s="9">
        <v>2875</v>
      </c>
      <c r="B701" s="9" t="s">
        <v>28</v>
      </c>
      <c r="C701" s="9" t="s">
        <v>21</v>
      </c>
      <c r="D701" s="9" t="s">
        <v>71</v>
      </c>
      <c r="E701" s="9" t="s">
        <v>60</v>
      </c>
      <c r="F701" s="9">
        <v>4</v>
      </c>
      <c r="G701" s="9">
        <v>7401.53</v>
      </c>
      <c r="H701" s="9">
        <v>0</v>
      </c>
      <c r="I701" s="9">
        <v>0</v>
      </c>
      <c r="J701" s="10">
        <v>45551</v>
      </c>
      <c r="K701" s="9" t="s">
        <v>44</v>
      </c>
      <c r="L701" s="9" t="s">
        <v>25</v>
      </c>
      <c r="M701" s="9">
        <v>1559.28</v>
      </c>
    </row>
    <row r="702" spans="1:13" x14ac:dyDescent="0.35">
      <c r="A702" s="9">
        <v>2878</v>
      </c>
      <c r="B702" s="9" t="s">
        <v>28</v>
      </c>
      <c r="C702" s="9" t="s">
        <v>18</v>
      </c>
      <c r="D702" s="9" t="s">
        <v>38</v>
      </c>
      <c r="E702" s="9" t="s">
        <v>59</v>
      </c>
      <c r="F702" s="9">
        <v>0</v>
      </c>
      <c r="G702" s="9">
        <v>9213.58</v>
      </c>
      <c r="H702" s="9">
        <v>1.23</v>
      </c>
      <c r="I702" s="9">
        <v>0</v>
      </c>
      <c r="J702" s="10">
        <v>45551</v>
      </c>
      <c r="K702" s="9" t="s">
        <v>44</v>
      </c>
      <c r="L702" s="9" t="s">
        <v>32</v>
      </c>
      <c r="M702" s="9">
        <v>3968.86</v>
      </c>
    </row>
    <row r="703" spans="1:13" x14ac:dyDescent="0.35">
      <c r="A703" s="9">
        <v>2879</v>
      </c>
      <c r="B703" s="9" t="s">
        <v>34</v>
      </c>
      <c r="C703" s="9" t="s">
        <v>22</v>
      </c>
      <c r="D703" s="9" t="s">
        <v>68</v>
      </c>
      <c r="E703" s="9" t="s">
        <v>59</v>
      </c>
      <c r="F703" s="9">
        <v>0</v>
      </c>
      <c r="G703" s="9">
        <v>2831.62</v>
      </c>
      <c r="H703" s="9">
        <v>0</v>
      </c>
      <c r="I703" s="9">
        <v>0</v>
      </c>
      <c r="J703" s="10">
        <v>45691</v>
      </c>
      <c r="K703" s="9" t="s">
        <v>44</v>
      </c>
      <c r="L703" s="9" t="s">
        <v>25</v>
      </c>
      <c r="M703" s="9">
        <v>1053.25</v>
      </c>
    </row>
    <row r="704" spans="1:13" x14ac:dyDescent="0.35">
      <c r="A704" s="9">
        <v>2880</v>
      </c>
      <c r="B704" s="9" t="s">
        <v>34</v>
      </c>
      <c r="C704" s="9" t="s">
        <v>22</v>
      </c>
      <c r="D704" s="9" t="s">
        <v>65</v>
      </c>
      <c r="E704" s="9" t="s">
        <v>59</v>
      </c>
      <c r="F704" s="9">
        <v>0</v>
      </c>
      <c r="G704" s="9">
        <v>8132.33</v>
      </c>
      <c r="H704" s="9">
        <v>0.63</v>
      </c>
      <c r="I704" s="9">
        <v>0</v>
      </c>
      <c r="J704" s="10">
        <v>45796</v>
      </c>
      <c r="K704" s="9" t="s">
        <v>44</v>
      </c>
      <c r="L704" s="9" t="s">
        <v>29</v>
      </c>
      <c r="M704" s="9">
        <v>191.67</v>
      </c>
    </row>
    <row r="705" spans="1:13" x14ac:dyDescent="0.35">
      <c r="A705" s="9">
        <v>2050</v>
      </c>
      <c r="B705" s="9" t="s">
        <v>34</v>
      </c>
      <c r="C705" s="9" t="s">
        <v>22</v>
      </c>
      <c r="D705" s="9" t="s">
        <v>68</v>
      </c>
      <c r="E705" s="9" t="s">
        <v>59</v>
      </c>
      <c r="F705" s="9">
        <v>3</v>
      </c>
      <c r="G705" s="9">
        <v>0</v>
      </c>
      <c r="H705" s="9">
        <v>0</v>
      </c>
      <c r="I705" s="9">
        <v>0</v>
      </c>
      <c r="J705" s="10">
        <v>45838</v>
      </c>
      <c r="K705" s="9" t="s">
        <v>44</v>
      </c>
      <c r="L705" s="9" t="s">
        <v>27</v>
      </c>
      <c r="M705" s="9">
        <v>-1000.03</v>
      </c>
    </row>
    <row r="706" spans="1:13" x14ac:dyDescent="0.35">
      <c r="A706" s="9">
        <v>2882</v>
      </c>
      <c r="B706" s="9" t="s">
        <v>31</v>
      </c>
      <c r="C706" s="9" t="s">
        <v>18</v>
      </c>
      <c r="D706" s="9" t="s">
        <v>41</v>
      </c>
      <c r="E706" s="9" t="s">
        <v>59</v>
      </c>
      <c r="F706" s="9">
        <v>2</v>
      </c>
      <c r="G706" s="9">
        <v>0</v>
      </c>
      <c r="H706" s="9">
        <v>0.9</v>
      </c>
      <c r="I706" s="9">
        <v>0</v>
      </c>
      <c r="J706" s="10">
        <v>45838</v>
      </c>
      <c r="K706" s="9" t="s">
        <v>44</v>
      </c>
      <c r="L706" s="9" t="s">
        <v>27</v>
      </c>
      <c r="M706" s="9">
        <v>-127.44</v>
      </c>
    </row>
    <row r="707" spans="1:13" x14ac:dyDescent="0.35">
      <c r="A707" s="9">
        <v>2884</v>
      </c>
      <c r="B707" s="9" t="s">
        <v>34</v>
      </c>
      <c r="C707" s="9" t="s">
        <v>20</v>
      </c>
      <c r="D707" s="9" t="s">
        <v>70</v>
      </c>
      <c r="E707" s="9" t="s">
        <v>59</v>
      </c>
      <c r="F707" s="9">
        <v>0</v>
      </c>
      <c r="G707" s="9">
        <v>9897</v>
      </c>
      <c r="H707" s="9">
        <v>0</v>
      </c>
      <c r="I707" s="9">
        <v>0</v>
      </c>
      <c r="J707" s="10">
        <v>45787</v>
      </c>
      <c r="K707" s="9" t="s">
        <v>45</v>
      </c>
      <c r="L707" s="9" t="s">
        <v>32</v>
      </c>
      <c r="M707" s="9">
        <v>-156.47</v>
      </c>
    </row>
    <row r="708" spans="1:13" x14ac:dyDescent="0.35">
      <c r="A708" s="9">
        <v>2885</v>
      </c>
      <c r="B708" s="9" t="s">
        <v>28</v>
      </c>
      <c r="C708" s="9" t="s">
        <v>21</v>
      </c>
      <c r="D708" s="9" t="s">
        <v>36</v>
      </c>
      <c r="E708" s="9" t="s">
        <v>62</v>
      </c>
      <c r="F708" s="9">
        <v>0</v>
      </c>
      <c r="G708" s="9">
        <v>7671.31</v>
      </c>
      <c r="H708" s="9">
        <v>0</v>
      </c>
      <c r="I708" s="9">
        <v>0</v>
      </c>
      <c r="J708" s="10">
        <v>45787</v>
      </c>
      <c r="K708" s="9" t="s">
        <v>44</v>
      </c>
      <c r="L708" s="9" t="s">
        <v>27</v>
      </c>
      <c r="M708" s="9">
        <v>3394.27</v>
      </c>
    </row>
    <row r="709" spans="1:13" x14ac:dyDescent="0.35">
      <c r="A709" s="9">
        <v>2886</v>
      </c>
      <c r="B709" s="9" t="s">
        <v>34</v>
      </c>
      <c r="C709" s="9" t="s">
        <v>20</v>
      </c>
      <c r="D709" s="9" t="s">
        <v>66</v>
      </c>
      <c r="E709" s="9" t="s">
        <v>62</v>
      </c>
      <c r="F709" s="9">
        <v>0</v>
      </c>
      <c r="G709" s="9">
        <v>8164.32</v>
      </c>
      <c r="H709" s="9">
        <v>0.94</v>
      </c>
      <c r="I709" s="9">
        <v>0</v>
      </c>
      <c r="J709" s="10">
        <v>45523</v>
      </c>
      <c r="K709" s="9" t="s">
        <v>44</v>
      </c>
      <c r="L709" s="9" t="s">
        <v>35</v>
      </c>
      <c r="M709" s="9">
        <v>286.3</v>
      </c>
    </row>
    <row r="710" spans="1:13" x14ac:dyDescent="0.35">
      <c r="A710" s="9">
        <v>2887</v>
      </c>
      <c r="B710" s="9" t="s">
        <v>28</v>
      </c>
      <c r="C710" s="9" t="s">
        <v>21</v>
      </c>
      <c r="D710" s="9" t="s">
        <v>64</v>
      </c>
      <c r="E710" s="9" t="s">
        <v>60</v>
      </c>
      <c r="F710" s="9">
        <v>0</v>
      </c>
      <c r="G710" s="9">
        <v>9292.33</v>
      </c>
      <c r="H710" s="9">
        <v>0</v>
      </c>
      <c r="I710" s="9">
        <v>0</v>
      </c>
      <c r="J710" s="10">
        <v>45347</v>
      </c>
      <c r="K710" s="9" t="s">
        <v>45</v>
      </c>
      <c r="L710" s="9" t="s">
        <v>32</v>
      </c>
      <c r="M710" s="9">
        <v>3747.95</v>
      </c>
    </row>
    <row r="711" spans="1:13" x14ac:dyDescent="0.35">
      <c r="A711" s="9">
        <v>2888</v>
      </c>
      <c r="B711" s="9" t="s">
        <v>34</v>
      </c>
      <c r="C711" s="9" t="s">
        <v>20</v>
      </c>
      <c r="D711" s="9" t="s">
        <v>43</v>
      </c>
      <c r="E711" s="9" t="s">
        <v>60</v>
      </c>
      <c r="F711" s="9">
        <v>0</v>
      </c>
      <c r="G711" s="9">
        <v>8956.73</v>
      </c>
      <c r="H711" s="9">
        <v>1.17</v>
      </c>
      <c r="I711" s="9">
        <v>0</v>
      </c>
      <c r="J711" s="10">
        <v>45832</v>
      </c>
      <c r="K711" s="9" t="s">
        <v>45</v>
      </c>
      <c r="L711" s="9" t="s">
        <v>35</v>
      </c>
      <c r="M711" s="9">
        <v>2320.4899999999998</v>
      </c>
    </row>
    <row r="712" spans="1:13" x14ac:dyDescent="0.35">
      <c r="A712" s="9">
        <v>2889</v>
      </c>
      <c r="B712" s="9" t="s">
        <v>28</v>
      </c>
      <c r="C712" s="9" t="s">
        <v>22</v>
      </c>
      <c r="D712" s="9" t="s">
        <v>68</v>
      </c>
      <c r="E712" s="9" t="s">
        <v>59</v>
      </c>
      <c r="F712" s="9">
        <v>0</v>
      </c>
      <c r="G712" s="9">
        <v>0</v>
      </c>
      <c r="H712" s="9">
        <v>1.23</v>
      </c>
      <c r="I712" s="9">
        <v>0</v>
      </c>
      <c r="J712" s="10">
        <v>45536</v>
      </c>
      <c r="K712" s="9" t="s">
        <v>45</v>
      </c>
      <c r="L712" s="9" t="s">
        <v>32</v>
      </c>
      <c r="M712" s="9">
        <v>2447.88</v>
      </c>
    </row>
    <row r="713" spans="1:13" x14ac:dyDescent="0.35">
      <c r="A713" s="9">
        <v>2890</v>
      </c>
      <c r="B713" s="9" t="s">
        <v>31</v>
      </c>
      <c r="C713" s="9" t="s">
        <v>19</v>
      </c>
      <c r="D713" s="9" t="s">
        <v>69</v>
      </c>
      <c r="E713" s="9" t="s">
        <v>60</v>
      </c>
      <c r="F713" s="9">
        <v>0</v>
      </c>
      <c r="G713" s="9">
        <v>0</v>
      </c>
      <c r="H713" s="9">
        <v>0</v>
      </c>
      <c r="I713" s="9">
        <v>0</v>
      </c>
      <c r="J713" s="10">
        <v>45800</v>
      </c>
      <c r="K713" s="9" t="s">
        <v>44</v>
      </c>
      <c r="L713" s="9" t="s">
        <v>25</v>
      </c>
      <c r="M713" s="9">
        <v>-147.78</v>
      </c>
    </row>
    <row r="714" spans="1:13" x14ac:dyDescent="0.35">
      <c r="A714" s="9">
        <v>2892</v>
      </c>
      <c r="B714" s="9" t="s">
        <v>28</v>
      </c>
      <c r="C714" s="9" t="s">
        <v>20</v>
      </c>
      <c r="D714" s="9" t="s">
        <v>66</v>
      </c>
      <c r="E714" s="9" t="s">
        <v>59</v>
      </c>
      <c r="F714" s="9">
        <v>4</v>
      </c>
      <c r="G714" s="9">
        <v>0</v>
      </c>
      <c r="H714" s="9">
        <v>0</v>
      </c>
      <c r="I714" s="9">
        <v>0</v>
      </c>
      <c r="J714" s="10">
        <v>45620</v>
      </c>
      <c r="K714" s="9" t="s">
        <v>45</v>
      </c>
      <c r="L714" s="9" t="s">
        <v>25</v>
      </c>
      <c r="M714" s="9">
        <v>-1195.79</v>
      </c>
    </row>
    <row r="715" spans="1:13" x14ac:dyDescent="0.35">
      <c r="A715" s="9">
        <v>2893</v>
      </c>
      <c r="B715" s="9" t="s">
        <v>28</v>
      </c>
      <c r="C715" s="9" t="s">
        <v>20</v>
      </c>
      <c r="D715" s="9" t="s">
        <v>61</v>
      </c>
      <c r="E715" s="9" t="s">
        <v>59</v>
      </c>
      <c r="F715" s="9">
        <v>1</v>
      </c>
      <c r="G715" s="9">
        <v>0</v>
      </c>
      <c r="H715" s="9">
        <v>0.61</v>
      </c>
      <c r="I715" s="9">
        <v>0</v>
      </c>
      <c r="J715" s="10">
        <v>45748</v>
      </c>
      <c r="K715" s="9" t="s">
        <v>44</v>
      </c>
      <c r="L715" s="9" t="s">
        <v>29</v>
      </c>
      <c r="M715" s="9">
        <v>780.43</v>
      </c>
    </row>
    <row r="716" spans="1:13" x14ac:dyDescent="0.35">
      <c r="A716" s="9">
        <v>2894</v>
      </c>
      <c r="B716" s="9" t="s">
        <v>28</v>
      </c>
      <c r="C716" s="9" t="s">
        <v>21</v>
      </c>
      <c r="D716" s="9" t="s">
        <v>40</v>
      </c>
      <c r="E716" s="9" t="s">
        <v>60</v>
      </c>
      <c r="F716" s="9">
        <v>0</v>
      </c>
      <c r="G716" s="9">
        <v>0</v>
      </c>
      <c r="H716" s="9">
        <v>0</v>
      </c>
      <c r="I716" s="9">
        <v>0</v>
      </c>
      <c r="J716" s="10">
        <v>45616</v>
      </c>
      <c r="K716" s="9" t="s">
        <v>44</v>
      </c>
      <c r="L716" s="9" t="s">
        <v>32</v>
      </c>
      <c r="M716" s="9">
        <v>1796.17</v>
      </c>
    </row>
    <row r="717" spans="1:13" x14ac:dyDescent="0.35">
      <c r="A717" s="9">
        <v>2896</v>
      </c>
      <c r="B717" s="9" t="s">
        <v>34</v>
      </c>
      <c r="C717" s="9" t="s">
        <v>18</v>
      </c>
      <c r="D717" s="9" t="s">
        <v>37</v>
      </c>
      <c r="E717" s="9" t="s">
        <v>59</v>
      </c>
      <c r="F717" s="9">
        <v>0</v>
      </c>
      <c r="G717" s="9">
        <v>6252.51</v>
      </c>
      <c r="H717" s="9">
        <v>0.47</v>
      </c>
      <c r="I717" s="9">
        <v>0</v>
      </c>
      <c r="J717" s="10">
        <v>45703</v>
      </c>
      <c r="K717" s="9" t="s">
        <v>45</v>
      </c>
      <c r="L717" s="9" t="s">
        <v>29</v>
      </c>
      <c r="M717" s="9">
        <v>-1104.33</v>
      </c>
    </row>
    <row r="718" spans="1:13" x14ac:dyDescent="0.35">
      <c r="A718" s="9">
        <v>2898</v>
      </c>
      <c r="B718" s="9" t="s">
        <v>28</v>
      </c>
      <c r="C718" s="9" t="s">
        <v>20</v>
      </c>
      <c r="D718" s="9" t="s">
        <v>66</v>
      </c>
      <c r="E718" s="9" t="s">
        <v>59</v>
      </c>
      <c r="F718" s="9">
        <v>1</v>
      </c>
      <c r="G718" s="9">
        <v>0</v>
      </c>
      <c r="H718" s="9">
        <v>0</v>
      </c>
      <c r="I718" s="9">
        <v>0</v>
      </c>
      <c r="J718" s="10">
        <v>45703</v>
      </c>
      <c r="K718" s="9" t="s">
        <v>44</v>
      </c>
      <c r="L718" s="9" t="s">
        <v>27</v>
      </c>
      <c r="M718" s="9">
        <v>-744.45</v>
      </c>
    </row>
    <row r="719" spans="1:13" x14ac:dyDescent="0.35">
      <c r="A719" s="9">
        <v>2899</v>
      </c>
      <c r="B719" s="9" t="s">
        <v>31</v>
      </c>
      <c r="C719" s="9" t="s">
        <v>22</v>
      </c>
      <c r="D719" s="9" t="s">
        <v>30</v>
      </c>
      <c r="E719" s="9" t="s">
        <v>60</v>
      </c>
      <c r="F719" s="9">
        <v>3</v>
      </c>
      <c r="G719" s="9">
        <v>6531.36</v>
      </c>
      <c r="H719" s="9">
        <v>0</v>
      </c>
      <c r="I719" s="9">
        <v>0</v>
      </c>
      <c r="J719" s="10">
        <v>45794</v>
      </c>
      <c r="K719" s="9" t="s">
        <v>45</v>
      </c>
      <c r="L719" s="9" t="s">
        <v>26</v>
      </c>
      <c r="M719" s="9">
        <v>-91.78</v>
      </c>
    </row>
    <row r="720" spans="1:13" x14ac:dyDescent="0.35">
      <c r="A720" s="9">
        <v>2006</v>
      </c>
      <c r="B720" s="9" t="s">
        <v>31</v>
      </c>
      <c r="C720" s="9" t="s">
        <v>21</v>
      </c>
      <c r="D720" s="9" t="s">
        <v>64</v>
      </c>
      <c r="E720" s="9" t="s">
        <v>62</v>
      </c>
      <c r="F720" s="9">
        <v>2</v>
      </c>
      <c r="G720" s="9">
        <v>0</v>
      </c>
      <c r="H720" s="9">
        <v>0</v>
      </c>
      <c r="I720" s="9">
        <v>0</v>
      </c>
      <c r="J720" s="10">
        <v>45195</v>
      </c>
      <c r="K720" s="9" t="s">
        <v>44</v>
      </c>
      <c r="L720" s="9" t="s">
        <v>26</v>
      </c>
      <c r="M720" s="9">
        <v>-716.79</v>
      </c>
    </row>
    <row r="721" spans="1:13" x14ac:dyDescent="0.35">
      <c r="A721" s="9">
        <v>2005</v>
      </c>
      <c r="B721" s="9" t="s">
        <v>34</v>
      </c>
      <c r="C721" s="9" t="s">
        <v>19</v>
      </c>
      <c r="D721" s="9" t="s">
        <v>63</v>
      </c>
      <c r="E721" s="9" t="s">
        <v>59</v>
      </c>
      <c r="F721" s="9">
        <v>0</v>
      </c>
      <c r="G721" s="9">
        <v>9794.84</v>
      </c>
      <c r="H721" s="9">
        <v>0</v>
      </c>
      <c r="I721" s="9">
        <v>0</v>
      </c>
      <c r="J721" s="10">
        <v>45195</v>
      </c>
      <c r="K721" s="9" t="s">
        <v>44</v>
      </c>
      <c r="L721" s="9" t="s">
        <v>32</v>
      </c>
      <c r="M721" s="9">
        <v>2253.08</v>
      </c>
    </row>
    <row r="722" spans="1:13" x14ac:dyDescent="0.35">
      <c r="A722" s="9">
        <v>2902</v>
      </c>
      <c r="B722" s="9" t="s">
        <v>34</v>
      </c>
      <c r="C722" s="9" t="s">
        <v>22</v>
      </c>
      <c r="D722" s="9" t="s">
        <v>67</v>
      </c>
      <c r="E722" s="9" t="s">
        <v>59</v>
      </c>
      <c r="F722" s="9">
        <v>0</v>
      </c>
      <c r="G722" s="9">
        <v>8138.68</v>
      </c>
      <c r="H722" s="9">
        <v>0</v>
      </c>
      <c r="I722" s="9">
        <v>0</v>
      </c>
      <c r="J722" s="10">
        <v>45790</v>
      </c>
      <c r="K722" s="9" t="s">
        <v>44</v>
      </c>
      <c r="L722" s="9" t="s">
        <v>27</v>
      </c>
      <c r="M722" s="9">
        <v>2604.35</v>
      </c>
    </row>
    <row r="723" spans="1:13" x14ac:dyDescent="0.35">
      <c r="A723" s="9">
        <v>2903</v>
      </c>
      <c r="B723" s="9" t="s">
        <v>31</v>
      </c>
      <c r="C723" s="9" t="s">
        <v>19</v>
      </c>
      <c r="D723" s="9" t="s">
        <v>69</v>
      </c>
      <c r="E723" s="9" t="s">
        <v>59</v>
      </c>
      <c r="F723" s="9">
        <v>0</v>
      </c>
      <c r="G723" s="9">
        <v>2735.54</v>
      </c>
      <c r="H723" s="9">
        <v>0</v>
      </c>
      <c r="I723" s="9">
        <v>0</v>
      </c>
      <c r="J723" s="10">
        <v>45540</v>
      </c>
      <c r="K723" s="9" t="s">
        <v>44</v>
      </c>
      <c r="L723" s="9" t="s">
        <v>29</v>
      </c>
      <c r="M723" s="9">
        <v>2944.26</v>
      </c>
    </row>
    <row r="724" spans="1:13" x14ac:dyDescent="0.35">
      <c r="A724" s="9">
        <v>2904</v>
      </c>
      <c r="B724" s="9" t="s">
        <v>28</v>
      </c>
      <c r="C724" s="9" t="s">
        <v>19</v>
      </c>
      <c r="D724" s="9" t="s">
        <v>42</v>
      </c>
      <c r="E724" s="9" t="s">
        <v>59</v>
      </c>
      <c r="F724" s="9">
        <v>2</v>
      </c>
      <c r="G724" s="9">
        <v>8644.67</v>
      </c>
      <c r="H724" s="9">
        <v>0.54</v>
      </c>
      <c r="I724" s="9">
        <v>7953.1</v>
      </c>
      <c r="J724" s="10">
        <v>45776</v>
      </c>
      <c r="K724" s="9" t="s">
        <v>45</v>
      </c>
      <c r="L724" s="9" t="s">
        <v>25</v>
      </c>
      <c r="M724" s="9">
        <v>2711.75</v>
      </c>
    </row>
    <row r="725" spans="1:13" x14ac:dyDescent="0.35">
      <c r="A725" s="9">
        <v>2905</v>
      </c>
      <c r="B725" s="9" t="s">
        <v>31</v>
      </c>
      <c r="C725" s="9" t="s">
        <v>20</v>
      </c>
      <c r="D725" s="9" t="s">
        <v>61</v>
      </c>
      <c r="E725" s="9" t="s">
        <v>59</v>
      </c>
      <c r="F725" s="9">
        <v>0</v>
      </c>
      <c r="G725" s="9">
        <v>5762.39</v>
      </c>
      <c r="H725" s="9">
        <v>0</v>
      </c>
      <c r="I725" s="9">
        <v>0</v>
      </c>
      <c r="J725" s="10">
        <v>45853</v>
      </c>
      <c r="K725" s="9" t="s">
        <v>44</v>
      </c>
      <c r="L725" s="9" t="s">
        <v>32</v>
      </c>
      <c r="M725" s="9">
        <v>-584.1</v>
      </c>
    </row>
    <row r="726" spans="1:13" x14ac:dyDescent="0.35">
      <c r="A726" s="9">
        <v>2906</v>
      </c>
      <c r="B726" s="9" t="s">
        <v>28</v>
      </c>
      <c r="C726" s="9" t="s">
        <v>21</v>
      </c>
      <c r="D726" s="9" t="s">
        <v>64</v>
      </c>
      <c r="E726" s="9" t="s">
        <v>59</v>
      </c>
      <c r="F726" s="9">
        <v>1</v>
      </c>
      <c r="G726" s="9">
        <v>0</v>
      </c>
      <c r="H726" s="9">
        <v>0</v>
      </c>
      <c r="I726" s="9">
        <v>0</v>
      </c>
      <c r="J726" s="10">
        <v>45529</v>
      </c>
      <c r="K726" s="9" t="s">
        <v>44</v>
      </c>
      <c r="L726" s="9" t="s">
        <v>29</v>
      </c>
      <c r="M726" s="9">
        <v>-291.45</v>
      </c>
    </row>
    <row r="727" spans="1:13" x14ac:dyDescent="0.35">
      <c r="A727" s="9">
        <v>2907</v>
      </c>
      <c r="B727" s="9" t="s">
        <v>31</v>
      </c>
      <c r="C727" s="9" t="s">
        <v>19</v>
      </c>
      <c r="D727" s="9" t="s">
        <v>39</v>
      </c>
      <c r="E727" s="9" t="s">
        <v>60</v>
      </c>
      <c r="F727" s="9">
        <v>0</v>
      </c>
      <c r="G727" s="9">
        <v>8432.5</v>
      </c>
      <c r="H727" s="9">
        <v>0</v>
      </c>
      <c r="I727" s="9">
        <v>0</v>
      </c>
      <c r="J727" s="10">
        <v>45347</v>
      </c>
      <c r="K727" s="9" t="s">
        <v>44</v>
      </c>
      <c r="L727" s="9" t="s">
        <v>27</v>
      </c>
      <c r="M727" s="9">
        <v>3790.63</v>
      </c>
    </row>
    <row r="728" spans="1:13" x14ac:dyDescent="0.35">
      <c r="A728" s="9">
        <v>2908</v>
      </c>
      <c r="B728" s="9" t="s">
        <v>31</v>
      </c>
      <c r="C728" s="9" t="s">
        <v>20</v>
      </c>
      <c r="D728" s="9" t="s">
        <v>70</v>
      </c>
      <c r="E728" s="9" t="s">
        <v>59</v>
      </c>
      <c r="F728" s="9">
        <v>0</v>
      </c>
      <c r="G728" s="9">
        <v>0</v>
      </c>
      <c r="H728" s="9">
        <v>0.53</v>
      </c>
      <c r="I728" s="9">
        <v>0</v>
      </c>
      <c r="J728" s="10">
        <v>45618</v>
      </c>
      <c r="K728" s="9" t="s">
        <v>44</v>
      </c>
      <c r="L728" s="9" t="s">
        <v>32</v>
      </c>
      <c r="M728" s="9">
        <v>-74</v>
      </c>
    </row>
    <row r="729" spans="1:13" x14ac:dyDescent="0.35">
      <c r="A729" s="9">
        <v>2909</v>
      </c>
      <c r="B729" s="9" t="s">
        <v>28</v>
      </c>
      <c r="C729" s="9" t="s">
        <v>20</v>
      </c>
      <c r="D729" s="9" t="s">
        <v>43</v>
      </c>
      <c r="E729" s="9" t="s">
        <v>62</v>
      </c>
      <c r="F729" s="9">
        <v>0</v>
      </c>
      <c r="G729" s="9">
        <v>7617.75</v>
      </c>
      <c r="H729" s="9">
        <v>0.33</v>
      </c>
      <c r="I729" s="9">
        <v>0</v>
      </c>
      <c r="J729" s="10">
        <v>45524</v>
      </c>
      <c r="K729" s="9" t="s">
        <v>44</v>
      </c>
      <c r="L729" s="9" t="s">
        <v>35</v>
      </c>
      <c r="M729" s="9">
        <v>-186.9</v>
      </c>
    </row>
    <row r="730" spans="1:13" x14ac:dyDescent="0.35">
      <c r="A730" s="9">
        <v>2910</v>
      </c>
      <c r="B730" s="9" t="s">
        <v>34</v>
      </c>
      <c r="C730" s="9" t="s">
        <v>18</v>
      </c>
      <c r="D730" s="9" t="s">
        <v>33</v>
      </c>
      <c r="E730" s="9" t="s">
        <v>59</v>
      </c>
      <c r="F730" s="9">
        <v>0</v>
      </c>
      <c r="G730" s="9">
        <v>0</v>
      </c>
      <c r="H730" s="9">
        <v>0.49</v>
      </c>
      <c r="I730" s="9">
        <v>0</v>
      </c>
      <c r="J730" s="10">
        <v>45762</v>
      </c>
      <c r="K730" s="9" t="s">
        <v>44</v>
      </c>
      <c r="L730" s="9" t="s">
        <v>25</v>
      </c>
      <c r="M730" s="9">
        <v>1818.49</v>
      </c>
    </row>
    <row r="731" spans="1:13" x14ac:dyDescent="0.35">
      <c r="A731" s="9">
        <v>2911</v>
      </c>
      <c r="B731" s="9" t="s">
        <v>34</v>
      </c>
      <c r="C731" s="9" t="s">
        <v>22</v>
      </c>
      <c r="D731" s="9" t="s">
        <v>68</v>
      </c>
      <c r="E731" s="9" t="s">
        <v>59</v>
      </c>
      <c r="F731" s="9">
        <v>0</v>
      </c>
      <c r="G731" s="9">
        <v>0</v>
      </c>
      <c r="H731" s="9">
        <v>0</v>
      </c>
      <c r="I731" s="9">
        <v>0</v>
      </c>
      <c r="J731" s="10">
        <v>45225</v>
      </c>
      <c r="K731" s="9" t="s">
        <v>44</v>
      </c>
      <c r="L731" s="9" t="s">
        <v>26</v>
      </c>
      <c r="M731" s="9">
        <v>927.88</v>
      </c>
    </row>
    <row r="732" spans="1:13" x14ac:dyDescent="0.35">
      <c r="A732" s="9">
        <v>2912</v>
      </c>
      <c r="B732" s="9" t="s">
        <v>34</v>
      </c>
      <c r="C732" s="9" t="s">
        <v>20</v>
      </c>
      <c r="D732" s="9" t="s">
        <v>61</v>
      </c>
      <c r="E732" s="9" t="s">
        <v>62</v>
      </c>
      <c r="F732" s="9">
        <v>2</v>
      </c>
      <c r="G732" s="9">
        <v>9839.6299999999992</v>
      </c>
      <c r="H732" s="9">
        <v>0.98</v>
      </c>
      <c r="I732" s="9">
        <v>393.59</v>
      </c>
      <c r="J732" s="10">
        <v>45358</v>
      </c>
      <c r="K732" s="9" t="s">
        <v>45</v>
      </c>
      <c r="L732" s="9" t="s">
        <v>25</v>
      </c>
      <c r="M732" s="9">
        <v>1218.22</v>
      </c>
    </row>
    <row r="733" spans="1:13" x14ac:dyDescent="0.35">
      <c r="A733" s="9">
        <v>2913</v>
      </c>
      <c r="B733" s="9" t="s">
        <v>28</v>
      </c>
      <c r="C733" s="9" t="s">
        <v>21</v>
      </c>
      <c r="D733" s="9" t="s">
        <v>71</v>
      </c>
      <c r="E733" s="9" t="s">
        <v>59</v>
      </c>
      <c r="F733" s="9">
        <v>0</v>
      </c>
      <c r="G733" s="9">
        <v>0</v>
      </c>
      <c r="H733" s="9">
        <v>0.3</v>
      </c>
      <c r="I733" s="9">
        <v>0</v>
      </c>
      <c r="J733" s="10">
        <v>45833</v>
      </c>
      <c r="K733" s="9" t="s">
        <v>45</v>
      </c>
      <c r="L733" s="9" t="s">
        <v>35</v>
      </c>
      <c r="M733" s="9">
        <v>-1036.78</v>
      </c>
    </row>
    <row r="734" spans="1:13" x14ac:dyDescent="0.35">
      <c r="A734" s="9">
        <v>2914</v>
      </c>
      <c r="B734" s="9" t="s">
        <v>31</v>
      </c>
      <c r="C734" s="9" t="s">
        <v>19</v>
      </c>
      <c r="D734" s="9" t="s">
        <v>42</v>
      </c>
      <c r="E734" s="9" t="s">
        <v>60</v>
      </c>
      <c r="F734" s="9">
        <v>0</v>
      </c>
      <c r="G734" s="9">
        <v>7603.38</v>
      </c>
      <c r="H734" s="9">
        <v>1.25</v>
      </c>
      <c r="I734" s="9">
        <v>0</v>
      </c>
      <c r="J734" s="10">
        <v>45741</v>
      </c>
      <c r="K734" s="9" t="s">
        <v>45</v>
      </c>
      <c r="L734" s="9" t="s">
        <v>26</v>
      </c>
      <c r="M734" s="9">
        <v>-950.86</v>
      </c>
    </row>
    <row r="735" spans="1:13" x14ac:dyDescent="0.35">
      <c r="A735" s="9">
        <v>2915</v>
      </c>
      <c r="B735" s="9" t="s">
        <v>31</v>
      </c>
      <c r="C735" s="9" t="s">
        <v>22</v>
      </c>
      <c r="D735" s="9" t="s">
        <v>67</v>
      </c>
      <c r="E735" s="9" t="s">
        <v>62</v>
      </c>
      <c r="F735" s="9">
        <v>1</v>
      </c>
      <c r="G735" s="9">
        <v>4994.83</v>
      </c>
      <c r="H735" s="9">
        <v>0</v>
      </c>
      <c r="I735" s="9">
        <v>0</v>
      </c>
      <c r="J735" s="10">
        <v>45741</v>
      </c>
      <c r="K735" s="9" t="s">
        <v>44</v>
      </c>
      <c r="L735" s="9" t="s">
        <v>26</v>
      </c>
      <c r="M735" s="9">
        <v>629.34</v>
      </c>
    </row>
    <row r="736" spans="1:13" x14ac:dyDescent="0.35">
      <c r="A736" s="9">
        <v>2916</v>
      </c>
      <c r="B736" s="9" t="s">
        <v>34</v>
      </c>
      <c r="C736" s="9" t="s">
        <v>21</v>
      </c>
      <c r="D736" s="9" t="s">
        <v>36</v>
      </c>
      <c r="E736" s="9" t="s">
        <v>62</v>
      </c>
      <c r="F736" s="9">
        <v>0</v>
      </c>
      <c r="G736" s="9">
        <v>0</v>
      </c>
      <c r="H736" s="9">
        <v>0</v>
      </c>
      <c r="I736" s="9">
        <v>0</v>
      </c>
      <c r="J736" s="10">
        <v>45509</v>
      </c>
      <c r="K736" s="9" t="s">
        <v>44</v>
      </c>
      <c r="L736" s="9" t="s">
        <v>32</v>
      </c>
      <c r="M736" s="9">
        <v>-1121.25</v>
      </c>
    </row>
    <row r="737" spans="1:13" x14ac:dyDescent="0.35">
      <c r="A737" s="9">
        <v>2918</v>
      </c>
      <c r="B737" s="9" t="s">
        <v>31</v>
      </c>
      <c r="C737" s="9" t="s">
        <v>18</v>
      </c>
      <c r="D737" s="9" t="s">
        <v>37</v>
      </c>
      <c r="E737" s="9" t="s">
        <v>59</v>
      </c>
      <c r="F737" s="9">
        <v>0</v>
      </c>
      <c r="G737" s="9">
        <v>0</v>
      </c>
      <c r="H737" s="9">
        <v>0</v>
      </c>
      <c r="I737" s="9">
        <v>0</v>
      </c>
      <c r="J737" s="10">
        <v>45603</v>
      </c>
      <c r="K737" s="9" t="s">
        <v>44</v>
      </c>
      <c r="L737" s="9" t="s">
        <v>26</v>
      </c>
      <c r="M737" s="9">
        <v>1398.13</v>
      </c>
    </row>
    <row r="738" spans="1:13" x14ac:dyDescent="0.35">
      <c r="A738" s="9">
        <v>2919</v>
      </c>
      <c r="B738" s="9" t="s">
        <v>31</v>
      </c>
      <c r="C738" s="9" t="s">
        <v>19</v>
      </c>
      <c r="D738" s="9" t="s">
        <v>39</v>
      </c>
      <c r="E738" s="9" t="s">
        <v>59</v>
      </c>
      <c r="F738" s="9">
        <v>0</v>
      </c>
      <c r="G738" s="9">
        <v>7323.53</v>
      </c>
      <c r="H738" s="9">
        <v>0</v>
      </c>
      <c r="I738" s="9">
        <v>0</v>
      </c>
      <c r="J738" s="10">
        <v>45748</v>
      </c>
      <c r="K738" s="9" t="s">
        <v>44</v>
      </c>
      <c r="L738" s="9" t="s">
        <v>25</v>
      </c>
      <c r="M738" s="9">
        <v>488.37</v>
      </c>
    </row>
    <row r="739" spans="1:13" x14ac:dyDescent="0.35">
      <c r="A739" s="9">
        <v>2920</v>
      </c>
      <c r="B739" s="9" t="s">
        <v>34</v>
      </c>
      <c r="C739" s="9" t="s">
        <v>19</v>
      </c>
      <c r="D739" s="9" t="s">
        <v>63</v>
      </c>
      <c r="E739" s="9" t="s">
        <v>59</v>
      </c>
      <c r="F739" s="9">
        <v>2</v>
      </c>
      <c r="G739" s="9">
        <v>5891.32</v>
      </c>
      <c r="H739" s="9">
        <v>1.18</v>
      </c>
      <c r="I739" s="9">
        <v>-2120.88</v>
      </c>
      <c r="J739" s="10">
        <v>45748</v>
      </c>
      <c r="K739" s="9" t="s">
        <v>44</v>
      </c>
      <c r="L739" s="9" t="s">
        <v>27</v>
      </c>
      <c r="M739" s="9">
        <v>345.7</v>
      </c>
    </row>
    <row r="740" spans="1:13" x14ac:dyDescent="0.35">
      <c r="A740" s="9">
        <v>2921</v>
      </c>
      <c r="B740" s="9" t="s">
        <v>34</v>
      </c>
      <c r="C740" s="9" t="s">
        <v>18</v>
      </c>
      <c r="D740" s="9" t="s">
        <v>41</v>
      </c>
      <c r="E740" s="9" t="s">
        <v>59</v>
      </c>
      <c r="F740" s="9">
        <v>0</v>
      </c>
      <c r="G740" s="9">
        <v>9092.33</v>
      </c>
      <c r="H740" s="9">
        <v>0.39</v>
      </c>
      <c r="I740" s="9">
        <v>0</v>
      </c>
      <c r="J740" s="10">
        <v>45670</v>
      </c>
      <c r="K740" s="9" t="s">
        <v>44</v>
      </c>
      <c r="L740" s="9" t="s">
        <v>25</v>
      </c>
      <c r="M740" s="9">
        <v>2826.57</v>
      </c>
    </row>
    <row r="741" spans="1:13" x14ac:dyDescent="0.35">
      <c r="A741" s="9">
        <v>2922</v>
      </c>
      <c r="B741" s="9" t="s">
        <v>34</v>
      </c>
      <c r="C741" s="9" t="s">
        <v>19</v>
      </c>
      <c r="D741" s="9" t="s">
        <v>42</v>
      </c>
      <c r="E741" s="9" t="s">
        <v>62</v>
      </c>
      <c r="F741" s="9">
        <v>2</v>
      </c>
      <c r="G741" s="9">
        <v>0</v>
      </c>
      <c r="H741" s="9">
        <v>1.2</v>
      </c>
      <c r="I741" s="9">
        <v>0</v>
      </c>
      <c r="J741" s="10">
        <v>45673</v>
      </c>
      <c r="K741" s="9" t="s">
        <v>45</v>
      </c>
      <c r="L741" s="9" t="s">
        <v>27</v>
      </c>
      <c r="M741" s="9">
        <v>3495.67</v>
      </c>
    </row>
    <row r="742" spans="1:13" x14ac:dyDescent="0.35">
      <c r="A742" s="9">
        <v>2923</v>
      </c>
      <c r="B742" s="9" t="s">
        <v>28</v>
      </c>
      <c r="C742" s="9" t="s">
        <v>18</v>
      </c>
      <c r="D742" s="9" t="s">
        <v>41</v>
      </c>
      <c r="E742" s="9" t="s">
        <v>62</v>
      </c>
      <c r="F742" s="9">
        <v>0</v>
      </c>
      <c r="G742" s="9">
        <v>6991.93</v>
      </c>
      <c r="H742" s="9">
        <v>0</v>
      </c>
      <c r="I742" s="9">
        <v>0</v>
      </c>
      <c r="J742" s="10">
        <v>45673</v>
      </c>
      <c r="K742" s="9" t="s">
        <v>45</v>
      </c>
      <c r="L742" s="9" t="s">
        <v>26</v>
      </c>
      <c r="M742" s="9">
        <v>-371.76</v>
      </c>
    </row>
    <row r="743" spans="1:13" x14ac:dyDescent="0.35">
      <c r="A743" s="9">
        <v>2924</v>
      </c>
      <c r="B743" s="9" t="s">
        <v>28</v>
      </c>
      <c r="C743" s="9" t="s">
        <v>22</v>
      </c>
      <c r="D743" s="9" t="s">
        <v>30</v>
      </c>
      <c r="E743" s="9" t="s">
        <v>62</v>
      </c>
      <c r="F743" s="9">
        <v>0</v>
      </c>
      <c r="G743" s="9">
        <v>8776.01</v>
      </c>
      <c r="H743" s="9">
        <v>0</v>
      </c>
      <c r="I743" s="9">
        <v>0</v>
      </c>
      <c r="J743" s="10">
        <v>45673</v>
      </c>
      <c r="K743" s="9" t="s">
        <v>44</v>
      </c>
      <c r="L743" s="9" t="s">
        <v>25</v>
      </c>
      <c r="M743" s="9">
        <v>-71.05</v>
      </c>
    </row>
    <row r="744" spans="1:13" x14ac:dyDescent="0.35">
      <c r="A744" s="9">
        <v>2006</v>
      </c>
      <c r="B744" s="9" t="s">
        <v>31</v>
      </c>
      <c r="C744" s="9" t="s">
        <v>21</v>
      </c>
      <c r="D744" s="9" t="s">
        <v>64</v>
      </c>
      <c r="E744" s="9" t="s">
        <v>62</v>
      </c>
      <c r="F744" s="9">
        <v>4</v>
      </c>
      <c r="G744" s="9">
        <v>6064.42</v>
      </c>
      <c r="H744" s="9">
        <v>0</v>
      </c>
      <c r="I744" s="9">
        <v>0</v>
      </c>
      <c r="J744" s="10">
        <v>45673</v>
      </c>
      <c r="K744" s="9" t="s">
        <v>45</v>
      </c>
      <c r="L744" s="9" t="s">
        <v>32</v>
      </c>
      <c r="M744" s="9">
        <v>2936.55</v>
      </c>
    </row>
    <row r="745" spans="1:13" x14ac:dyDescent="0.35">
      <c r="A745" s="9">
        <v>2927</v>
      </c>
      <c r="B745" s="9" t="s">
        <v>31</v>
      </c>
      <c r="C745" s="9" t="s">
        <v>18</v>
      </c>
      <c r="D745" s="9" t="s">
        <v>33</v>
      </c>
      <c r="E745" s="9" t="s">
        <v>60</v>
      </c>
      <c r="F745" s="9">
        <v>0</v>
      </c>
      <c r="G745" s="9">
        <v>6316.75</v>
      </c>
      <c r="H745" s="9">
        <v>0</v>
      </c>
      <c r="I745" s="9">
        <v>0</v>
      </c>
      <c r="J745" s="10">
        <v>45673</v>
      </c>
      <c r="K745" s="9" t="s">
        <v>44</v>
      </c>
      <c r="L745" s="9" t="s">
        <v>26</v>
      </c>
      <c r="M745" s="9">
        <v>1560.89</v>
      </c>
    </row>
    <row r="746" spans="1:13" x14ac:dyDescent="0.35">
      <c r="A746" s="9">
        <v>2928</v>
      </c>
      <c r="B746" s="9" t="s">
        <v>28</v>
      </c>
      <c r="C746" s="9" t="s">
        <v>21</v>
      </c>
      <c r="D746" s="9" t="s">
        <v>64</v>
      </c>
      <c r="E746" s="9" t="s">
        <v>59</v>
      </c>
      <c r="F746" s="9">
        <v>3</v>
      </c>
      <c r="G746" s="9">
        <v>0</v>
      </c>
      <c r="H746" s="9">
        <v>0</v>
      </c>
      <c r="I746" s="9">
        <v>0</v>
      </c>
      <c r="J746" s="10">
        <v>45542</v>
      </c>
      <c r="K746" s="9" t="s">
        <v>45</v>
      </c>
      <c r="L746" s="9" t="s">
        <v>29</v>
      </c>
      <c r="M746" s="9">
        <v>-1064.8599999999999</v>
      </c>
    </row>
    <row r="747" spans="1:13" x14ac:dyDescent="0.35">
      <c r="A747" s="9">
        <v>2929</v>
      </c>
      <c r="B747" s="9" t="s">
        <v>34</v>
      </c>
      <c r="C747" s="9" t="s">
        <v>19</v>
      </c>
      <c r="D747" s="9" t="s">
        <v>42</v>
      </c>
      <c r="E747" s="9" t="s">
        <v>59</v>
      </c>
      <c r="F747" s="9">
        <v>0</v>
      </c>
      <c r="G747" s="9">
        <v>6589.95</v>
      </c>
      <c r="H747" s="9">
        <v>0</v>
      </c>
      <c r="I747" s="9">
        <v>0</v>
      </c>
      <c r="J747" s="10">
        <v>45383</v>
      </c>
      <c r="K747" s="9" t="s">
        <v>44</v>
      </c>
      <c r="L747" s="9" t="s">
        <v>32</v>
      </c>
      <c r="M747" s="9">
        <v>157.26</v>
      </c>
    </row>
    <row r="748" spans="1:13" x14ac:dyDescent="0.35">
      <c r="A748" s="9">
        <v>2930</v>
      </c>
      <c r="B748" s="9" t="s">
        <v>28</v>
      </c>
      <c r="C748" s="9" t="s">
        <v>22</v>
      </c>
      <c r="D748" s="9" t="s">
        <v>65</v>
      </c>
      <c r="E748" s="9" t="s">
        <v>60</v>
      </c>
      <c r="F748" s="9">
        <v>0</v>
      </c>
      <c r="G748" s="9">
        <v>0</v>
      </c>
      <c r="H748" s="9">
        <v>0.56999999999999995</v>
      </c>
      <c r="I748" s="9">
        <v>0</v>
      </c>
      <c r="J748" s="10">
        <v>45646</v>
      </c>
      <c r="K748" s="9" t="s">
        <v>44</v>
      </c>
      <c r="L748" s="9" t="s">
        <v>25</v>
      </c>
      <c r="M748" s="9">
        <v>819.42</v>
      </c>
    </row>
    <row r="749" spans="1:13" x14ac:dyDescent="0.35">
      <c r="A749" s="9">
        <v>2931</v>
      </c>
      <c r="B749" s="9" t="s">
        <v>31</v>
      </c>
      <c r="C749" s="9" t="s">
        <v>22</v>
      </c>
      <c r="D749" s="9" t="s">
        <v>68</v>
      </c>
      <c r="E749" s="9" t="s">
        <v>59</v>
      </c>
      <c r="F749" s="9">
        <v>0</v>
      </c>
      <c r="G749" s="9">
        <v>0</v>
      </c>
      <c r="H749" s="9">
        <v>0</v>
      </c>
      <c r="I749" s="9">
        <v>0</v>
      </c>
      <c r="J749" s="10">
        <v>45163</v>
      </c>
      <c r="K749" s="9" t="s">
        <v>44</v>
      </c>
      <c r="L749" s="9" t="s">
        <v>35</v>
      </c>
      <c r="M749" s="9">
        <v>3751.45</v>
      </c>
    </row>
    <row r="750" spans="1:13" x14ac:dyDescent="0.35">
      <c r="A750" s="9">
        <v>2932</v>
      </c>
      <c r="B750" s="9" t="s">
        <v>34</v>
      </c>
      <c r="C750" s="9" t="s">
        <v>20</v>
      </c>
      <c r="D750" s="9" t="s">
        <v>43</v>
      </c>
      <c r="E750" s="9" t="s">
        <v>59</v>
      </c>
      <c r="F750" s="9">
        <v>0</v>
      </c>
      <c r="G750" s="9">
        <v>0</v>
      </c>
      <c r="H750" s="9">
        <v>0.35</v>
      </c>
      <c r="I750" s="9">
        <v>0</v>
      </c>
      <c r="J750" s="10">
        <v>45717</v>
      </c>
      <c r="K750" s="9" t="s">
        <v>45</v>
      </c>
      <c r="L750" s="9" t="s">
        <v>25</v>
      </c>
      <c r="M750" s="9">
        <v>-427.86</v>
      </c>
    </row>
    <row r="751" spans="1:13" x14ac:dyDescent="0.35">
      <c r="A751" s="9">
        <v>2934</v>
      </c>
      <c r="B751" s="9" t="s">
        <v>28</v>
      </c>
      <c r="C751" s="9" t="s">
        <v>22</v>
      </c>
      <c r="D751" s="9" t="s">
        <v>30</v>
      </c>
      <c r="E751" s="9" t="s">
        <v>62</v>
      </c>
      <c r="F751" s="9">
        <v>-1</v>
      </c>
      <c r="G751" s="9">
        <v>2370.91</v>
      </c>
      <c r="H751" s="9">
        <v>0</v>
      </c>
      <c r="I751" s="9">
        <v>0</v>
      </c>
      <c r="J751" s="10">
        <v>45365</v>
      </c>
      <c r="K751" s="9" t="s">
        <v>45</v>
      </c>
      <c r="L751" s="9" t="s">
        <v>26</v>
      </c>
      <c r="M751" s="9">
        <v>3043.95</v>
      </c>
    </row>
    <row r="752" spans="1:13" x14ac:dyDescent="0.35">
      <c r="A752" s="9">
        <v>2935</v>
      </c>
      <c r="B752" s="9" t="s">
        <v>31</v>
      </c>
      <c r="C752" s="9" t="s">
        <v>21</v>
      </c>
      <c r="D752" s="9" t="s">
        <v>71</v>
      </c>
      <c r="E752" s="9" t="s">
        <v>60</v>
      </c>
      <c r="F752" s="9">
        <v>4</v>
      </c>
      <c r="G752" s="9">
        <v>0</v>
      </c>
      <c r="H752" s="9">
        <v>0</v>
      </c>
      <c r="I752" s="9">
        <v>0</v>
      </c>
      <c r="J752" s="10">
        <v>45425</v>
      </c>
      <c r="K752" s="9" t="s">
        <v>45</v>
      </c>
      <c r="L752" s="9" t="s">
        <v>32</v>
      </c>
      <c r="M752" s="9">
        <v>478.07</v>
      </c>
    </row>
    <row r="753" spans="1:13" x14ac:dyDescent="0.35">
      <c r="A753" s="9">
        <v>2936</v>
      </c>
      <c r="B753" s="9" t="s">
        <v>28</v>
      </c>
      <c r="C753" s="9" t="s">
        <v>18</v>
      </c>
      <c r="D753" s="9" t="s">
        <v>33</v>
      </c>
      <c r="E753" s="9" t="s">
        <v>62</v>
      </c>
      <c r="F753" s="9">
        <v>1</v>
      </c>
      <c r="G753" s="9">
        <v>6496.58</v>
      </c>
      <c r="H753" s="9">
        <v>0.28999999999999998</v>
      </c>
      <c r="I753" s="9">
        <v>4612.57</v>
      </c>
      <c r="J753" s="10">
        <v>45504</v>
      </c>
      <c r="K753" s="9" t="s">
        <v>44</v>
      </c>
      <c r="L753" s="9" t="s">
        <v>35</v>
      </c>
      <c r="M753" s="9">
        <v>1933.1</v>
      </c>
    </row>
    <row r="754" spans="1:13" x14ac:dyDescent="0.35">
      <c r="A754" s="9">
        <v>2937</v>
      </c>
      <c r="B754" s="9" t="s">
        <v>28</v>
      </c>
      <c r="C754" s="9" t="s">
        <v>18</v>
      </c>
      <c r="D754" s="9" t="s">
        <v>41</v>
      </c>
      <c r="E754" s="9" t="s">
        <v>59</v>
      </c>
      <c r="F754" s="9">
        <v>0</v>
      </c>
      <c r="G754" s="9">
        <v>0</v>
      </c>
      <c r="H754" s="9">
        <v>1.25</v>
      </c>
      <c r="I754" s="9">
        <v>0</v>
      </c>
      <c r="J754" s="10">
        <v>45504</v>
      </c>
      <c r="K754" s="9" t="s">
        <v>45</v>
      </c>
      <c r="L754" s="9" t="s">
        <v>29</v>
      </c>
      <c r="M754" s="9">
        <v>1558.24</v>
      </c>
    </row>
    <row r="755" spans="1:13" x14ac:dyDescent="0.35">
      <c r="A755" s="9">
        <v>2938</v>
      </c>
      <c r="B755" s="9" t="s">
        <v>34</v>
      </c>
      <c r="C755" s="9" t="s">
        <v>19</v>
      </c>
      <c r="D755" s="9" t="s">
        <v>69</v>
      </c>
      <c r="E755" s="9" t="s">
        <v>60</v>
      </c>
      <c r="F755" s="9">
        <v>1</v>
      </c>
      <c r="G755" s="9">
        <v>0</v>
      </c>
      <c r="H755" s="9">
        <v>0</v>
      </c>
      <c r="I755" s="9">
        <v>0</v>
      </c>
      <c r="J755" s="10">
        <v>45671</v>
      </c>
      <c r="K755" s="9" t="s">
        <v>45</v>
      </c>
      <c r="L755" s="9" t="s">
        <v>29</v>
      </c>
      <c r="M755" s="9">
        <v>2596.64</v>
      </c>
    </row>
    <row r="756" spans="1:13" x14ac:dyDescent="0.35">
      <c r="A756" s="9">
        <v>2939</v>
      </c>
      <c r="B756" s="9" t="s">
        <v>28</v>
      </c>
      <c r="C756" s="9" t="s">
        <v>22</v>
      </c>
      <c r="D756" s="9" t="s">
        <v>65</v>
      </c>
      <c r="E756" s="9" t="s">
        <v>62</v>
      </c>
      <c r="F756" s="9">
        <v>4</v>
      </c>
      <c r="G756" s="9">
        <v>6858.76</v>
      </c>
      <c r="H756" s="9">
        <v>0</v>
      </c>
      <c r="I756" s="9">
        <v>0</v>
      </c>
      <c r="J756" s="10">
        <v>45671</v>
      </c>
      <c r="K756" s="9" t="s">
        <v>44</v>
      </c>
      <c r="L756" s="9" t="s">
        <v>26</v>
      </c>
      <c r="M756" s="9">
        <v>639.03</v>
      </c>
    </row>
    <row r="757" spans="1:13" x14ac:dyDescent="0.35">
      <c r="A757" s="9">
        <v>2940</v>
      </c>
      <c r="B757" s="9" t="s">
        <v>28</v>
      </c>
      <c r="C757" s="9" t="s">
        <v>19</v>
      </c>
      <c r="D757" s="9" t="s">
        <v>39</v>
      </c>
      <c r="E757" s="9" t="s">
        <v>60</v>
      </c>
      <c r="F757" s="9">
        <v>-1</v>
      </c>
      <c r="G757" s="9">
        <v>8412.43</v>
      </c>
      <c r="H757" s="9">
        <v>0</v>
      </c>
      <c r="I757" s="9">
        <v>0</v>
      </c>
      <c r="J757" s="10">
        <v>45783</v>
      </c>
      <c r="K757" s="9" t="s">
        <v>44</v>
      </c>
      <c r="L757" s="9" t="s">
        <v>32</v>
      </c>
      <c r="M757" s="9">
        <v>-344.67</v>
      </c>
    </row>
    <row r="758" spans="1:13" x14ac:dyDescent="0.35">
      <c r="A758" s="9">
        <v>2941</v>
      </c>
      <c r="B758" s="9" t="s">
        <v>31</v>
      </c>
      <c r="C758" s="9" t="s">
        <v>21</v>
      </c>
      <c r="D758" s="9" t="s">
        <v>36</v>
      </c>
      <c r="E758" s="9" t="s">
        <v>62</v>
      </c>
      <c r="F758" s="9">
        <v>-1</v>
      </c>
      <c r="G758" s="9">
        <v>9331.65</v>
      </c>
      <c r="H758" s="9">
        <v>0</v>
      </c>
      <c r="I758" s="9">
        <v>0</v>
      </c>
      <c r="J758" s="10">
        <v>45779</v>
      </c>
      <c r="K758" s="9" t="s">
        <v>44</v>
      </c>
      <c r="L758" s="9" t="s">
        <v>27</v>
      </c>
      <c r="M758" s="9">
        <v>492.35</v>
      </c>
    </row>
    <row r="759" spans="1:13" x14ac:dyDescent="0.35">
      <c r="A759" s="9">
        <v>2942</v>
      </c>
      <c r="B759" s="9" t="s">
        <v>28</v>
      </c>
      <c r="C759" s="9" t="s">
        <v>18</v>
      </c>
      <c r="D759" s="9" t="s">
        <v>33</v>
      </c>
      <c r="E759" s="9" t="s">
        <v>59</v>
      </c>
      <c r="F759" s="9">
        <v>4</v>
      </c>
      <c r="G759" s="9">
        <v>5222.3900000000003</v>
      </c>
      <c r="H759" s="9">
        <v>0.56999999999999995</v>
      </c>
      <c r="I759" s="9">
        <v>8982.51</v>
      </c>
      <c r="J759" s="10">
        <v>45763</v>
      </c>
      <c r="K759" s="9" t="s">
        <v>45</v>
      </c>
      <c r="L759" s="9" t="s">
        <v>25</v>
      </c>
      <c r="M759" s="9">
        <v>-68.53</v>
      </c>
    </row>
    <row r="760" spans="1:13" x14ac:dyDescent="0.35">
      <c r="A760" s="9">
        <v>2943</v>
      </c>
      <c r="B760" s="9" t="s">
        <v>28</v>
      </c>
      <c r="C760" s="9" t="s">
        <v>18</v>
      </c>
      <c r="D760" s="9" t="s">
        <v>37</v>
      </c>
      <c r="E760" s="9" t="s">
        <v>59</v>
      </c>
      <c r="F760" s="9">
        <v>-1</v>
      </c>
      <c r="G760" s="9">
        <v>3390</v>
      </c>
      <c r="H760" s="9">
        <v>0</v>
      </c>
      <c r="I760" s="9">
        <v>0</v>
      </c>
      <c r="J760" s="10">
        <v>45574</v>
      </c>
      <c r="K760" s="9" t="s">
        <v>44</v>
      </c>
      <c r="L760" s="9" t="s">
        <v>26</v>
      </c>
      <c r="M760" s="9">
        <v>-429.78</v>
      </c>
    </row>
    <row r="761" spans="1:13" x14ac:dyDescent="0.35">
      <c r="A761" s="9">
        <v>2945</v>
      </c>
      <c r="B761" s="9" t="s">
        <v>34</v>
      </c>
      <c r="C761" s="9" t="s">
        <v>22</v>
      </c>
      <c r="D761" s="9" t="s">
        <v>30</v>
      </c>
      <c r="E761" s="9" t="s">
        <v>62</v>
      </c>
      <c r="F761" s="9">
        <v>-1</v>
      </c>
      <c r="G761" s="9">
        <v>3519.94</v>
      </c>
      <c r="H761" s="9">
        <v>0</v>
      </c>
      <c r="I761" s="9">
        <v>0</v>
      </c>
      <c r="J761" s="10">
        <v>45574</v>
      </c>
      <c r="K761" s="9" t="s">
        <v>45</v>
      </c>
      <c r="L761" s="9" t="s">
        <v>26</v>
      </c>
      <c r="M761" s="9">
        <v>3456.5</v>
      </c>
    </row>
    <row r="762" spans="1:13" x14ac:dyDescent="0.35">
      <c r="A762" s="9">
        <v>2946</v>
      </c>
      <c r="B762" s="9" t="s">
        <v>34</v>
      </c>
      <c r="C762" s="9" t="s">
        <v>20</v>
      </c>
      <c r="D762" s="9" t="s">
        <v>66</v>
      </c>
      <c r="E762" s="9" t="s">
        <v>62</v>
      </c>
      <c r="F762" s="9">
        <v>0</v>
      </c>
      <c r="G762" s="9">
        <v>5691.68</v>
      </c>
      <c r="H762" s="9">
        <v>0.62</v>
      </c>
      <c r="I762" s="9">
        <v>0</v>
      </c>
      <c r="J762" s="10">
        <v>45574</v>
      </c>
      <c r="K762" s="9" t="s">
        <v>44</v>
      </c>
      <c r="L762" s="9" t="s">
        <v>25</v>
      </c>
      <c r="M762" s="9">
        <v>3129.43</v>
      </c>
    </row>
    <row r="763" spans="1:13" x14ac:dyDescent="0.35">
      <c r="A763" s="9">
        <v>2947</v>
      </c>
      <c r="B763" s="9" t="s">
        <v>28</v>
      </c>
      <c r="C763" s="9" t="s">
        <v>21</v>
      </c>
      <c r="D763" s="9" t="s">
        <v>36</v>
      </c>
      <c r="E763" s="9" t="s">
        <v>62</v>
      </c>
      <c r="F763" s="9">
        <v>0</v>
      </c>
      <c r="G763" s="9">
        <v>4113.4799999999996</v>
      </c>
      <c r="H763" s="9">
        <v>0.38</v>
      </c>
      <c r="I763" s="9">
        <v>0</v>
      </c>
      <c r="J763" s="10">
        <v>45630</v>
      </c>
      <c r="K763" s="9" t="s">
        <v>45</v>
      </c>
      <c r="L763" s="9" t="s">
        <v>26</v>
      </c>
      <c r="M763" s="9">
        <v>1604.63</v>
      </c>
    </row>
    <row r="764" spans="1:13" x14ac:dyDescent="0.35">
      <c r="A764" s="9">
        <v>2948</v>
      </c>
      <c r="B764" s="9" t="s">
        <v>31</v>
      </c>
      <c r="C764" s="9" t="s">
        <v>22</v>
      </c>
      <c r="D764" s="9" t="s">
        <v>67</v>
      </c>
      <c r="E764" s="9" t="s">
        <v>59</v>
      </c>
      <c r="F764" s="9">
        <v>0</v>
      </c>
      <c r="G764" s="9">
        <v>0</v>
      </c>
      <c r="H764" s="9">
        <v>0.16</v>
      </c>
      <c r="I764" s="9">
        <v>0</v>
      </c>
      <c r="J764" s="10">
        <v>45766</v>
      </c>
      <c r="K764" s="9" t="s">
        <v>45</v>
      </c>
      <c r="L764" s="9" t="s">
        <v>27</v>
      </c>
      <c r="M764" s="9">
        <v>1708.88</v>
      </c>
    </row>
    <row r="765" spans="1:13" x14ac:dyDescent="0.35">
      <c r="A765" s="9">
        <v>2949</v>
      </c>
      <c r="B765" s="9" t="s">
        <v>31</v>
      </c>
      <c r="C765" s="9" t="s">
        <v>20</v>
      </c>
      <c r="D765" s="9" t="s">
        <v>61</v>
      </c>
      <c r="E765" s="9" t="s">
        <v>59</v>
      </c>
      <c r="F765" s="9">
        <v>0</v>
      </c>
      <c r="G765" s="9">
        <v>0</v>
      </c>
      <c r="H765" s="9">
        <v>0.49</v>
      </c>
      <c r="I765" s="9">
        <v>0</v>
      </c>
      <c r="J765" s="10">
        <v>45843</v>
      </c>
      <c r="K765" s="9" t="s">
        <v>45</v>
      </c>
      <c r="L765" s="9" t="s">
        <v>29</v>
      </c>
      <c r="M765" s="9">
        <v>698.79</v>
      </c>
    </row>
    <row r="766" spans="1:13" x14ac:dyDescent="0.35">
      <c r="A766" s="9">
        <v>2950</v>
      </c>
      <c r="B766" s="9" t="s">
        <v>28</v>
      </c>
      <c r="C766" s="9" t="s">
        <v>20</v>
      </c>
      <c r="D766" s="9" t="s">
        <v>61</v>
      </c>
      <c r="E766" s="9" t="s">
        <v>59</v>
      </c>
      <c r="F766" s="9">
        <v>0</v>
      </c>
      <c r="G766" s="9">
        <v>9151.36</v>
      </c>
      <c r="H766" s="9">
        <v>0</v>
      </c>
      <c r="I766" s="9">
        <v>0</v>
      </c>
      <c r="J766" s="10">
        <v>45843</v>
      </c>
      <c r="K766" s="9" t="s">
        <v>45</v>
      </c>
      <c r="L766" s="9" t="s">
        <v>35</v>
      </c>
      <c r="M766" s="9">
        <v>2540.27</v>
      </c>
    </row>
    <row r="767" spans="1:13" x14ac:dyDescent="0.35">
      <c r="A767" s="9">
        <v>2036</v>
      </c>
      <c r="B767" s="9" t="s">
        <v>28</v>
      </c>
      <c r="C767" s="9" t="s">
        <v>19</v>
      </c>
      <c r="D767" s="9" t="s">
        <v>39</v>
      </c>
      <c r="E767" s="9" t="s">
        <v>62</v>
      </c>
      <c r="F767" s="9">
        <v>2</v>
      </c>
      <c r="G767" s="9">
        <v>0</v>
      </c>
      <c r="H767" s="9">
        <v>0.76</v>
      </c>
      <c r="I767" s="9">
        <v>0</v>
      </c>
      <c r="J767" s="10">
        <v>45843</v>
      </c>
      <c r="K767" s="9" t="s">
        <v>45</v>
      </c>
      <c r="L767" s="9" t="s">
        <v>26</v>
      </c>
      <c r="M767" s="9">
        <v>2469.75</v>
      </c>
    </row>
    <row r="768" spans="1:13" x14ac:dyDescent="0.35">
      <c r="A768" s="9">
        <v>2952</v>
      </c>
      <c r="B768" s="9" t="s">
        <v>34</v>
      </c>
      <c r="C768" s="9" t="s">
        <v>18</v>
      </c>
      <c r="D768" s="9" t="s">
        <v>37</v>
      </c>
      <c r="E768" s="9" t="s">
        <v>62</v>
      </c>
      <c r="F768" s="9">
        <v>0</v>
      </c>
      <c r="G768" s="9">
        <v>5443.44</v>
      </c>
      <c r="H768" s="9">
        <v>0</v>
      </c>
      <c r="I768" s="9">
        <v>0</v>
      </c>
      <c r="J768" s="10">
        <v>45548</v>
      </c>
      <c r="K768" s="9" t="s">
        <v>44</v>
      </c>
      <c r="L768" s="9" t="s">
        <v>27</v>
      </c>
      <c r="M768" s="9">
        <v>2237.39</v>
      </c>
    </row>
    <row r="769" spans="1:13" x14ac:dyDescent="0.35">
      <c r="A769" s="9">
        <v>2049</v>
      </c>
      <c r="B769" s="9" t="s">
        <v>31</v>
      </c>
      <c r="C769" s="9" t="s">
        <v>18</v>
      </c>
      <c r="D769" s="9" t="s">
        <v>41</v>
      </c>
      <c r="E769" s="9" t="s">
        <v>59</v>
      </c>
      <c r="F769" s="9">
        <v>2</v>
      </c>
      <c r="G769" s="9">
        <v>0</v>
      </c>
      <c r="H769" s="9">
        <v>1.08</v>
      </c>
      <c r="I769" s="9">
        <v>0</v>
      </c>
      <c r="J769" s="10">
        <v>45630</v>
      </c>
      <c r="K769" s="9" t="s">
        <v>45</v>
      </c>
      <c r="L769" s="9" t="s">
        <v>25</v>
      </c>
      <c r="M769" s="9">
        <v>-400.59</v>
      </c>
    </row>
    <row r="770" spans="1:13" x14ac:dyDescent="0.35">
      <c r="A770" s="9">
        <v>2954</v>
      </c>
      <c r="B770" s="9" t="s">
        <v>28</v>
      </c>
      <c r="C770" s="9" t="s">
        <v>18</v>
      </c>
      <c r="D770" s="9" t="s">
        <v>33</v>
      </c>
      <c r="E770" s="9" t="s">
        <v>60</v>
      </c>
      <c r="F770" s="9">
        <v>-1</v>
      </c>
      <c r="G770" s="9">
        <v>4709.79</v>
      </c>
      <c r="H770" s="9">
        <v>0</v>
      </c>
      <c r="I770" s="9">
        <v>0</v>
      </c>
      <c r="J770" s="10">
        <v>45630</v>
      </c>
      <c r="K770" s="9" t="s">
        <v>44</v>
      </c>
      <c r="L770" s="9" t="s">
        <v>35</v>
      </c>
      <c r="M770" s="9">
        <v>3397.29</v>
      </c>
    </row>
    <row r="771" spans="1:13" x14ac:dyDescent="0.35">
      <c r="A771" s="9">
        <v>2955</v>
      </c>
      <c r="B771" s="9" t="s">
        <v>34</v>
      </c>
      <c r="C771" s="9" t="s">
        <v>22</v>
      </c>
      <c r="D771" s="9" t="s">
        <v>30</v>
      </c>
      <c r="E771" s="9" t="s">
        <v>62</v>
      </c>
      <c r="F771" s="9">
        <v>0</v>
      </c>
      <c r="G771" s="9">
        <v>9846.09</v>
      </c>
      <c r="H771" s="9">
        <v>0.12</v>
      </c>
      <c r="I771" s="9">
        <v>0</v>
      </c>
      <c r="J771" s="10">
        <v>45503</v>
      </c>
      <c r="K771" s="9" t="s">
        <v>44</v>
      </c>
      <c r="L771" s="9" t="s">
        <v>27</v>
      </c>
      <c r="M771" s="9">
        <v>2250.9299999999998</v>
      </c>
    </row>
    <row r="772" spans="1:13" x14ac:dyDescent="0.35">
      <c r="A772" s="9">
        <v>2957</v>
      </c>
      <c r="B772" s="9" t="s">
        <v>31</v>
      </c>
      <c r="C772" s="9" t="s">
        <v>22</v>
      </c>
      <c r="D772" s="9" t="s">
        <v>68</v>
      </c>
      <c r="E772" s="9" t="s">
        <v>62</v>
      </c>
      <c r="F772" s="9">
        <v>0</v>
      </c>
      <c r="G772" s="9">
        <v>5348.89</v>
      </c>
      <c r="H772" s="9">
        <v>0.47</v>
      </c>
      <c r="I772" s="9">
        <v>0</v>
      </c>
      <c r="J772" s="10">
        <v>45615</v>
      </c>
      <c r="K772" s="9" t="s">
        <v>45</v>
      </c>
      <c r="L772" s="9" t="s">
        <v>27</v>
      </c>
      <c r="M772" s="9">
        <v>753.26</v>
      </c>
    </row>
    <row r="773" spans="1:13" x14ac:dyDescent="0.35">
      <c r="A773" s="9">
        <v>2959</v>
      </c>
      <c r="B773" s="9" t="s">
        <v>28</v>
      </c>
      <c r="C773" s="9" t="s">
        <v>18</v>
      </c>
      <c r="D773" s="9" t="s">
        <v>37</v>
      </c>
      <c r="E773" s="9" t="s">
        <v>59</v>
      </c>
      <c r="F773" s="9">
        <v>0</v>
      </c>
      <c r="G773" s="9">
        <v>0</v>
      </c>
      <c r="H773" s="9">
        <v>0</v>
      </c>
      <c r="I773" s="9">
        <v>0</v>
      </c>
      <c r="J773" s="10">
        <v>45615</v>
      </c>
      <c r="K773" s="9" t="s">
        <v>44</v>
      </c>
      <c r="L773" s="9" t="s">
        <v>29</v>
      </c>
      <c r="M773" s="9">
        <v>3166.22</v>
      </c>
    </row>
    <row r="774" spans="1:13" x14ac:dyDescent="0.35">
      <c r="A774" s="9">
        <v>2960</v>
      </c>
      <c r="B774" s="9" t="s">
        <v>31</v>
      </c>
      <c r="C774" s="9" t="s">
        <v>18</v>
      </c>
      <c r="D774" s="9" t="s">
        <v>38</v>
      </c>
      <c r="E774" s="9" t="s">
        <v>59</v>
      </c>
      <c r="F774" s="9">
        <v>0</v>
      </c>
      <c r="G774" s="9">
        <v>0</v>
      </c>
      <c r="H774" s="9">
        <v>0</v>
      </c>
      <c r="I774" s="9">
        <v>0</v>
      </c>
      <c r="J774" s="10">
        <v>45615</v>
      </c>
      <c r="K774" s="9" t="s">
        <v>44</v>
      </c>
      <c r="L774" s="9" t="s">
        <v>32</v>
      </c>
      <c r="M774" s="9">
        <v>2620.9299999999998</v>
      </c>
    </row>
    <row r="775" spans="1:13" x14ac:dyDescent="0.35">
      <c r="A775" s="9">
        <v>2961</v>
      </c>
      <c r="B775" s="9" t="s">
        <v>34</v>
      </c>
      <c r="C775" s="9" t="s">
        <v>19</v>
      </c>
      <c r="D775" s="9" t="s">
        <v>42</v>
      </c>
      <c r="E775" s="9" t="s">
        <v>62</v>
      </c>
      <c r="F775" s="9">
        <v>0</v>
      </c>
      <c r="G775" s="9">
        <v>0</v>
      </c>
      <c r="H775" s="9">
        <v>0</v>
      </c>
      <c r="I775" s="9">
        <v>0</v>
      </c>
      <c r="J775" s="10">
        <v>45617</v>
      </c>
      <c r="K775" s="9" t="s">
        <v>44</v>
      </c>
      <c r="L775" s="9" t="s">
        <v>26</v>
      </c>
      <c r="M775" s="9">
        <v>665.39</v>
      </c>
    </row>
    <row r="776" spans="1:13" x14ac:dyDescent="0.35">
      <c r="A776" s="9">
        <v>2962</v>
      </c>
      <c r="B776" s="9" t="s">
        <v>28</v>
      </c>
      <c r="C776" s="9" t="s">
        <v>21</v>
      </c>
      <c r="D776" s="9" t="s">
        <v>40</v>
      </c>
      <c r="E776" s="9" t="s">
        <v>59</v>
      </c>
      <c r="F776" s="9">
        <v>-1</v>
      </c>
      <c r="G776" s="9">
        <v>2446.23</v>
      </c>
      <c r="H776" s="9">
        <v>0</v>
      </c>
      <c r="I776" s="9">
        <v>0</v>
      </c>
      <c r="J776" s="10">
        <v>45617</v>
      </c>
      <c r="K776" s="9" t="s">
        <v>45</v>
      </c>
      <c r="L776" s="9" t="s">
        <v>32</v>
      </c>
      <c r="M776" s="9">
        <v>727.92</v>
      </c>
    </row>
    <row r="777" spans="1:13" x14ac:dyDescent="0.35">
      <c r="A777" s="9">
        <v>2963</v>
      </c>
      <c r="B777" s="9" t="s">
        <v>34</v>
      </c>
      <c r="C777" s="9" t="s">
        <v>18</v>
      </c>
      <c r="D777" s="9" t="s">
        <v>33</v>
      </c>
      <c r="E777" s="9" t="s">
        <v>62</v>
      </c>
      <c r="F777" s="9">
        <v>0</v>
      </c>
      <c r="G777" s="9">
        <v>0</v>
      </c>
      <c r="H777" s="9">
        <v>0</v>
      </c>
      <c r="I777" s="9">
        <v>0</v>
      </c>
      <c r="J777" s="10">
        <v>45818</v>
      </c>
      <c r="K777" s="9" t="s">
        <v>44</v>
      </c>
      <c r="L777" s="9" t="s">
        <v>25</v>
      </c>
      <c r="M777" s="9">
        <v>1172.3900000000001</v>
      </c>
    </row>
    <row r="778" spans="1:13" x14ac:dyDescent="0.35">
      <c r="A778" s="9">
        <v>2965</v>
      </c>
      <c r="B778" s="9" t="s">
        <v>31</v>
      </c>
      <c r="C778" s="9" t="s">
        <v>18</v>
      </c>
      <c r="D778" s="9" t="s">
        <v>41</v>
      </c>
      <c r="E778" s="9" t="s">
        <v>62</v>
      </c>
      <c r="F778" s="9">
        <v>0</v>
      </c>
      <c r="G778" s="9">
        <v>2171.48</v>
      </c>
      <c r="H778" s="9">
        <v>0</v>
      </c>
      <c r="I778" s="9">
        <v>0</v>
      </c>
      <c r="J778" s="10">
        <v>45775</v>
      </c>
      <c r="K778" s="9" t="s">
        <v>44</v>
      </c>
      <c r="L778" s="9" t="s">
        <v>25</v>
      </c>
      <c r="M778" s="9">
        <v>3079.48</v>
      </c>
    </row>
    <row r="779" spans="1:13" x14ac:dyDescent="0.35">
      <c r="A779" s="9">
        <v>2966</v>
      </c>
      <c r="B779" s="9" t="s">
        <v>34</v>
      </c>
      <c r="C779" s="9" t="s">
        <v>18</v>
      </c>
      <c r="D779" s="9" t="s">
        <v>33</v>
      </c>
      <c r="E779" s="9" t="s">
        <v>59</v>
      </c>
      <c r="F779" s="9">
        <v>3</v>
      </c>
      <c r="G779" s="9">
        <v>0</v>
      </c>
      <c r="H779" s="9">
        <v>0</v>
      </c>
      <c r="I779" s="9">
        <v>0</v>
      </c>
      <c r="J779" s="10">
        <v>45715</v>
      </c>
      <c r="K779" s="9" t="s">
        <v>45</v>
      </c>
      <c r="L779" s="9" t="s">
        <v>35</v>
      </c>
      <c r="M779" s="9">
        <v>333.36</v>
      </c>
    </row>
    <row r="780" spans="1:13" x14ac:dyDescent="0.35">
      <c r="A780" s="9">
        <v>2035</v>
      </c>
      <c r="B780" s="9" t="s">
        <v>31</v>
      </c>
      <c r="C780" s="9" t="s">
        <v>21</v>
      </c>
      <c r="D780" s="9" t="s">
        <v>71</v>
      </c>
      <c r="E780" s="9" t="s">
        <v>60</v>
      </c>
      <c r="F780" s="9">
        <v>0</v>
      </c>
      <c r="G780" s="9">
        <v>3598.07</v>
      </c>
      <c r="H780" s="9">
        <v>1.1000000000000001</v>
      </c>
      <c r="I780" s="9">
        <v>0</v>
      </c>
      <c r="J780" s="10">
        <v>45715</v>
      </c>
      <c r="K780" s="9" t="s">
        <v>44</v>
      </c>
      <c r="L780" s="9" t="s">
        <v>27</v>
      </c>
      <c r="M780" s="9">
        <v>3466.33</v>
      </c>
    </row>
    <row r="781" spans="1:13" x14ac:dyDescent="0.35">
      <c r="A781" s="9">
        <v>2968</v>
      </c>
      <c r="B781" s="9" t="s">
        <v>34</v>
      </c>
      <c r="C781" s="9" t="s">
        <v>18</v>
      </c>
      <c r="D781" s="9" t="s">
        <v>33</v>
      </c>
      <c r="E781" s="9" t="s">
        <v>62</v>
      </c>
      <c r="F781" s="9">
        <v>0</v>
      </c>
      <c r="G781" s="9">
        <v>5283.1</v>
      </c>
      <c r="H781" s="9">
        <v>0</v>
      </c>
      <c r="I781" s="9">
        <v>0</v>
      </c>
      <c r="J781" s="10">
        <v>45681</v>
      </c>
      <c r="K781" s="9" t="s">
        <v>44</v>
      </c>
      <c r="L781" s="9" t="s">
        <v>25</v>
      </c>
      <c r="M781" s="9">
        <v>575.73</v>
      </c>
    </row>
    <row r="782" spans="1:13" x14ac:dyDescent="0.35">
      <c r="A782" s="9">
        <v>2969</v>
      </c>
      <c r="B782" s="9" t="s">
        <v>31</v>
      </c>
      <c r="C782" s="9" t="s">
        <v>18</v>
      </c>
      <c r="D782" s="9" t="s">
        <v>38</v>
      </c>
      <c r="E782" s="9" t="s">
        <v>59</v>
      </c>
      <c r="F782" s="9">
        <v>0</v>
      </c>
      <c r="G782" s="9">
        <v>0</v>
      </c>
      <c r="H782" s="9">
        <v>0</v>
      </c>
      <c r="I782" s="9">
        <v>0</v>
      </c>
      <c r="J782" s="10">
        <v>45857</v>
      </c>
      <c r="K782" s="9" t="s">
        <v>45</v>
      </c>
      <c r="L782" s="9" t="s">
        <v>35</v>
      </c>
      <c r="M782" s="9">
        <v>2323.02</v>
      </c>
    </row>
    <row r="783" spans="1:13" x14ac:dyDescent="0.35">
      <c r="A783" s="9">
        <v>2972</v>
      </c>
      <c r="B783" s="9" t="s">
        <v>28</v>
      </c>
      <c r="C783" s="9" t="s">
        <v>19</v>
      </c>
      <c r="D783" s="9" t="s">
        <v>69</v>
      </c>
      <c r="E783" s="9" t="s">
        <v>59</v>
      </c>
      <c r="F783" s="9">
        <v>0</v>
      </c>
      <c r="G783" s="9">
        <v>0</v>
      </c>
      <c r="H783" s="9">
        <v>0</v>
      </c>
      <c r="I783" s="9">
        <v>0</v>
      </c>
      <c r="J783" s="10">
        <v>45570</v>
      </c>
      <c r="K783" s="9" t="s">
        <v>45</v>
      </c>
      <c r="L783" s="9" t="s">
        <v>27</v>
      </c>
      <c r="M783" s="9">
        <v>1995.69</v>
      </c>
    </row>
    <row r="784" spans="1:13" x14ac:dyDescent="0.35">
      <c r="A784" s="9">
        <v>2973</v>
      </c>
      <c r="B784" s="9" t="s">
        <v>34</v>
      </c>
      <c r="C784" s="9" t="s">
        <v>19</v>
      </c>
      <c r="D784" s="9" t="s">
        <v>69</v>
      </c>
      <c r="E784" s="9" t="s">
        <v>62</v>
      </c>
      <c r="F784" s="9">
        <v>0</v>
      </c>
      <c r="G784" s="9">
        <v>3347.42</v>
      </c>
      <c r="H784" s="9">
        <v>0</v>
      </c>
      <c r="I784" s="9">
        <v>0</v>
      </c>
      <c r="J784" s="10">
        <v>45596</v>
      </c>
      <c r="K784" s="9" t="s">
        <v>45</v>
      </c>
      <c r="L784" s="9" t="s">
        <v>25</v>
      </c>
      <c r="M784" s="9">
        <v>2234.16</v>
      </c>
    </row>
    <row r="785" spans="1:13" x14ac:dyDescent="0.35">
      <c r="A785" s="9">
        <v>2975</v>
      </c>
      <c r="B785" s="9" t="s">
        <v>34</v>
      </c>
      <c r="C785" s="9" t="s">
        <v>19</v>
      </c>
      <c r="D785" s="9" t="s">
        <v>63</v>
      </c>
      <c r="E785" s="9" t="s">
        <v>59</v>
      </c>
      <c r="F785" s="9">
        <v>1</v>
      </c>
      <c r="G785" s="9">
        <v>5037.43</v>
      </c>
      <c r="H785" s="9">
        <v>0</v>
      </c>
      <c r="I785" s="9">
        <v>0</v>
      </c>
      <c r="J785" s="10">
        <v>45606</v>
      </c>
      <c r="K785" s="9" t="s">
        <v>45</v>
      </c>
      <c r="L785" s="9" t="s">
        <v>29</v>
      </c>
      <c r="M785" s="9">
        <v>3279.17</v>
      </c>
    </row>
    <row r="786" spans="1:13" x14ac:dyDescent="0.35">
      <c r="A786" s="9">
        <v>2977</v>
      </c>
      <c r="B786" s="9" t="s">
        <v>34</v>
      </c>
      <c r="C786" s="9" t="s">
        <v>18</v>
      </c>
      <c r="D786" s="9" t="s">
        <v>38</v>
      </c>
      <c r="E786" s="9" t="s">
        <v>59</v>
      </c>
      <c r="F786" s="9">
        <v>3</v>
      </c>
      <c r="G786" s="9">
        <v>2959.26</v>
      </c>
      <c r="H786" s="9">
        <v>0.37</v>
      </c>
      <c r="I786" s="9">
        <v>5593</v>
      </c>
      <c r="J786" s="10">
        <v>45606</v>
      </c>
      <c r="K786" s="9" t="s">
        <v>45</v>
      </c>
      <c r="L786" s="9" t="s">
        <v>27</v>
      </c>
      <c r="M786" s="9">
        <v>-821.76</v>
      </c>
    </row>
    <row r="787" spans="1:13" x14ac:dyDescent="0.35">
      <c r="A787" s="9">
        <v>2980</v>
      </c>
      <c r="B787" s="9" t="s">
        <v>28</v>
      </c>
      <c r="C787" s="9" t="s">
        <v>20</v>
      </c>
      <c r="D787" s="9" t="s">
        <v>61</v>
      </c>
      <c r="E787" s="9" t="s">
        <v>60</v>
      </c>
      <c r="F787" s="9">
        <v>4</v>
      </c>
      <c r="G787" s="9">
        <v>8899.81</v>
      </c>
      <c r="H787" s="9">
        <v>0</v>
      </c>
      <c r="I787" s="9">
        <v>0</v>
      </c>
      <c r="J787" s="10">
        <v>45606</v>
      </c>
      <c r="K787" s="9" t="s">
        <v>44</v>
      </c>
      <c r="L787" s="9" t="s">
        <v>25</v>
      </c>
      <c r="M787" s="9">
        <v>3075.35</v>
      </c>
    </row>
    <row r="788" spans="1:13" x14ac:dyDescent="0.35">
      <c r="A788" s="9">
        <v>2981</v>
      </c>
      <c r="B788" s="9" t="s">
        <v>34</v>
      </c>
      <c r="C788" s="9" t="s">
        <v>19</v>
      </c>
      <c r="D788" s="9" t="s">
        <v>39</v>
      </c>
      <c r="E788" s="9" t="s">
        <v>59</v>
      </c>
      <c r="F788" s="9">
        <v>4</v>
      </c>
      <c r="G788" s="9">
        <v>5185.5200000000004</v>
      </c>
      <c r="H788" s="9">
        <v>0</v>
      </c>
      <c r="I788" s="9">
        <v>0</v>
      </c>
      <c r="J788" s="10">
        <v>45667</v>
      </c>
      <c r="K788" s="9" t="s">
        <v>44</v>
      </c>
      <c r="L788" s="9" t="s">
        <v>35</v>
      </c>
      <c r="M788" s="9">
        <v>2777.67</v>
      </c>
    </row>
    <row r="789" spans="1:13" x14ac:dyDescent="0.35">
      <c r="A789" s="9">
        <v>2982</v>
      </c>
      <c r="B789" s="9" t="s">
        <v>31</v>
      </c>
      <c r="C789" s="9" t="s">
        <v>21</v>
      </c>
      <c r="D789" s="9" t="s">
        <v>71</v>
      </c>
      <c r="E789" s="9" t="s">
        <v>60</v>
      </c>
      <c r="F789" s="9">
        <v>0</v>
      </c>
      <c r="G789" s="9">
        <v>0</v>
      </c>
      <c r="H789" s="9">
        <v>0.54</v>
      </c>
      <c r="I789" s="9">
        <v>0</v>
      </c>
      <c r="J789" s="10">
        <v>45815</v>
      </c>
      <c r="K789" s="9" t="s">
        <v>45</v>
      </c>
      <c r="L789" s="9" t="s">
        <v>27</v>
      </c>
      <c r="M789" s="9">
        <v>1541.73</v>
      </c>
    </row>
    <row r="790" spans="1:13" x14ac:dyDescent="0.35">
      <c r="A790" s="9">
        <v>2983</v>
      </c>
      <c r="B790" s="9" t="s">
        <v>28</v>
      </c>
      <c r="C790" s="9" t="s">
        <v>20</v>
      </c>
      <c r="D790" s="9" t="s">
        <v>70</v>
      </c>
      <c r="E790" s="9" t="s">
        <v>62</v>
      </c>
      <c r="F790" s="9">
        <v>0</v>
      </c>
      <c r="G790" s="9">
        <v>8203.7999999999993</v>
      </c>
      <c r="H790" s="9">
        <v>0.03</v>
      </c>
      <c r="I790" s="9">
        <v>0</v>
      </c>
      <c r="J790" s="10">
        <v>45815</v>
      </c>
      <c r="K790" s="9" t="s">
        <v>44</v>
      </c>
      <c r="L790" s="9" t="s">
        <v>25</v>
      </c>
      <c r="M790" s="9">
        <v>2968.2</v>
      </c>
    </row>
    <row r="791" spans="1:13" x14ac:dyDescent="0.35">
      <c r="A791" s="9">
        <v>2984</v>
      </c>
      <c r="B791" s="9" t="s">
        <v>31</v>
      </c>
      <c r="C791" s="9" t="s">
        <v>19</v>
      </c>
      <c r="D791" s="9" t="s">
        <v>69</v>
      </c>
      <c r="E791" s="9" t="s">
        <v>62</v>
      </c>
      <c r="F791" s="9">
        <v>0</v>
      </c>
      <c r="G791" s="9">
        <v>4343.12</v>
      </c>
      <c r="H791" s="9">
        <v>0</v>
      </c>
      <c r="I791" s="9">
        <v>0</v>
      </c>
      <c r="J791" s="10">
        <v>45541</v>
      </c>
      <c r="K791" s="9" t="s">
        <v>45</v>
      </c>
      <c r="L791" s="9" t="s">
        <v>27</v>
      </c>
      <c r="M791" s="9">
        <v>3073.4</v>
      </c>
    </row>
    <row r="792" spans="1:13" x14ac:dyDescent="0.35">
      <c r="A792" s="9">
        <v>2986</v>
      </c>
      <c r="B792" s="9" t="s">
        <v>34</v>
      </c>
      <c r="C792" s="9" t="s">
        <v>22</v>
      </c>
      <c r="D792" s="9" t="s">
        <v>30</v>
      </c>
      <c r="E792" s="9" t="s">
        <v>59</v>
      </c>
      <c r="F792" s="9">
        <v>0</v>
      </c>
      <c r="G792" s="9">
        <v>6877.77</v>
      </c>
      <c r="H792" s="9">
        <v>0.09</v>
      </c>
      <c r="I792" s="9">
        <v>0</v>
      </c>
      <c r="J792" s="10">
        <v>45757</v>
      </c>
      <c r="K792" s="9" t="s">
        <v>45</v>
      </c>
      <c r="L792" s="9" t="s">
        <v>35</v>
      </c>
      <c r="M792" s="9">
        <v>2303.27</v>
      </c>
    </row>
    <row r="793" spans="1:13" x14ac:dyDescent="0.35">
      <c r="A793" s="9">
        <v>2987</v>
      </c>
      <c r="B793" s="9" t="s">
        <v>28</v>
      </c>
      <c r="C793" s="9" t="s">
        <v>19</v>
      </c>
      <c r="D793" s="9" t="s">
        <v>39</v>
      </c>
      <c r="E793" s="9" t="s">
        <v>60</v>
      </c>
      <c r="F793" s="9">
        <v>0</v>
      </c>
      <c r="G793" s="9">
        <v>0</v>
      </c>
      <c r="H793" s="9">
        <v>0</v>
      </c>
      <c r="I793" s="9">
        <v>0</v>
      </c>
      <c r="J793" s="10">
        <v>45512</v>
      </c>
      <c r="K793" s="9" t="s">
        <v>45</v>
      </c>
      <c r="L793" s="9" t="s">
        <v>35</v>
      </c>
      <c r="M793" s="9">
        <v>2365.6999999999998</v>
      </c>
    </row>
    <row r="794" spans="1:13" x14ac:dyDescent="0.35">
      <c r="A794" s="9">
        <v>2009</v>
      </c>
      <c r="B794" s="9" t="s">
        <v>28</v>
      </c>
      <c r="C794" s="9" t="s">
        <v>21</v>
      </c>
      <c r="D794" s="9" t="s">
        <v>71</v>
      </c>
      <c r="E794" s="9" t="s">
        <v>59</v>
      </c>
      <c r="F794" s="9">
        <v>0</v>
      </c>
      <c r="G794" s="9">
        <v>6481.4</v>
      </c>
      <c r="H794" s="9">
        <v>0.84</v>
      </c>
      <c r="I794" s="9">
        <v>0</v>
      </c>
      <c r="J794" s="10">
        <v>45499</v>
      </c>
      <c r="K794" s="9" t="s">
        <v>44</v>
      </c>
      <c r="L794" s="9" t="s">
        <v>25</v>
      </c>
      <c r="M794" s="9">
        <v>522.92999999999995</v>
      </c>
    </row>
    <row r="795" spans="1:13" x14ac:dyDescent="0.35">
      <c r="A795" s="9">
        <v>2989</v>
      </c>
      <c r="B795" s="9" t="s">
        <v>31</v>
      </c>
      <c r="C795" s="9" t="s">
        <v>19</v>
      </c>
      <c r="D795" s="9" t="s">
        <v>63</v>
      </c>
      <c r="E795" s="9" t="s">
        <v>59</v>
      </c>
      <c r="F795" s="9">
        <v>1</v>
      </c>
      <c r="G795" s="9">
        <v>6429.61</v>
      </c>
      <c r="H795" s="9">
        <v>0</v>
      </c>
      <c r="I795" s="9">
        <v>0</v>
      </c>
      <c r="J795" s="10">
        <v>45336</v>
      </c>
      <c r="K795" s="9" t="s">
        <v>45</v>
      </c>
      <c r="L795" s="9" t="s">
        <v>25</v>
      </c>
      <c r="M795" s="9">
        <v>2459.52</v>
      </c>
    </row>
    <row r="796" spans="1:13" x14ac:dyDescent="0.35">
      <c r="A796" s="9">
        <v>2990</v>
      </c>
      <c r="B796" s="9" t="s">
        <v>34</v>
      </c>
      <c r="C796" s="9" t="s">
        <v>22</v>
      </c>
      <c r="D796" s="9" t="s">
        <v>67</v>
      </c>
      <c r="E796" s="9" t="s">
        <v>62</v>
      </c>
      <c r="F796" s="9">
        <v>0</v>
      </c>
      <c r="G796" s="9">
        <v>2601.9899999999998</v>
      </c>
      <c r="H796" s="9">
        <v>0</v>
      </c>
      <c r="I796" s="9">
        <v>0</v>
      </c>
      <c r="J796" s="10">
        <v>45558</v>
      </c>
      <c r="K796" s="9" t="s">
        <v>44</v>
      </c>
      <c r="L796" s="9" t="s">
        <v>25</v>
      </c>
      <c r="M796" s="9">
        <v>570.47</v>
      </c>
    </row>
    <row r="797" spans="1:13" x14ac:dyDescent="0.35">
      <c r="A797" s="9">
        <v>2991</v>
      </c>
      <c r="B797" s="9" t="s">
        <v>31</v>
      </c>
      <c r="C797" s="9" t="s">
        <v>18</v>
      </c>
      <c r="D797" s="9" t="s">
        <v>37</v>
      </c>
      <c r="E797" s="9" t="s">
        <v>59</v>
      </c>
      <c r="F797" s="9">
        <v>0</v>
      </c>
      <c r="G797" s="9">
        <v>4004.4</v>
      </c>
      <c r="H797" s="9">
        <v>1.23</v>
      </c>
      <c r="I797" s="9">
        <v>0</v>
      </c>
      <c r="J797" s="10">
        <v>45558</v>
      </c>
      <c r="K797" s="9" t="s">
        <v>44</v>
      </c>
      <c r="L797" s="9" t="s">
        <v>35</v>
      </c>
      <c r="M797" s="9">
        <v>3772.99</v>
      </c>
    </row>
    <row r="798" spans="1:13" x14ac:dyDescent="0.35">
      <c r="A798" s="9">
        <v>2992</v>
      </c>
      <c r="B798" s="9" t="s">
        <v>31</v>
      </c>
      <c r="C798" s="9" t="s">
        <v>19</v>
      </c>
      <c r="D798" s="9" t="s">
        <v>39</v>
      </c>
      <c r="E798" s="9" t="s">
        <v>60</v>
      </c>
      <c r="F798" s="9">
        <v>0</v>
      </c>
      <c r="G798" s="9">
        <v>0</v>
      </c>
      <c r="H798" s="9">
        <v>0</v>
      </c>
      <c r="I798" s="9">
        <v>0</v>
      </c>
      <c r="J798" s="10">
        <v>45589</v>
      </c>
      <c r="K798" s="9" t="s">
        <v>45</v>
      </c>
      <c r="L798" s="9" t="s">
        <v>27</v>
      </c>
      <c r="M798" s="9">
        <v>2276.9899999999998</v>
      </c>
    </row>
    <row r="799" spans="1:13" x14ac:dyDescent="0.35">
      <c r="A799" s="9">
        <v>2993</v>
      </c>
      <c r="B799" s="9" t="s">
        <v>31</v>
      </c>
      <c r="C799" s="9" t="s">
        <v>19</v>
      </c>
      <c r="D799" s="9" t="s">
        <v>39</v>
      </c>
      <c r="E799" s="9" t="s">
        <v>59</v>
      </c>
      <c r="F799" s="9">
        <v>4</v>
      </c>
      <c r="G799" s="9">
        <v>0</v>
      </c>
      <c r="H799" s="9">
        <v>0</v>
      </c>
      <c r="I799" s="9">
        <v>0</v>
      </c>
      <c r="J799" s="10">
        <v>45578</v>
      </c>
      <c r="K799" s="9" t="s">
        <v>44</v>
      </c>
      <c r="L799" s="9" t="s">
        <v>32</v>
      </c>
      <c r="M799" s="9">
        <v>1770.74</v>
      </c>
    </row>
    <row r="800" spans="1:13" x14ac:dyDescent="0.35">
      <c r="A800" s="9">
        <v>2994</v>
      </c>
      <c r="B800" s="9" t="s">
        <v>28</v>
      </c>
      <c r="C800" s="9" t="s">
        <v>21</v>
      </c>
      <c r="D800" s="9" t="s">
        <v>40</v>
      </c>
      <c r="E800" s="9" t="s">
        <v>59</v>
      </c>
      <c r="F800" s="9">
        <v>0</v>
      </c>
      <c r="G800" s="9">
        <v>2932.39</v>
      </c>
      <c r="H800" s="9">
        <v>0.98</v>
      </c>
      <c r="I800" s="9">
        <v>0</v>
      </c>
      <c r="J800" s="10">
        <v>45633</v>
      </c>
      <c r="K800" s="9" t="s">
        <v>44</v>
      </c>
      <c r="L800" s="9" t="s">
        <v>26</v>
      </c>
      <c r="M800" s="9">
        <v>2962.69</v>
      </c>
    </row>
    <row r="801" spans="1:13" x14ac:dyDescent="0.35">
      <c r="A801" s="9">
        <v>2995</v>
      </c>
      <c r="B801" s="9" t="s">
        <v>34</v>
      </c>
      <c r="C801" s="9" t="s">
        <v>21</v>
      </c>
      <c r="D801" s="9" t="s">
        <v>36</v>
      </c>
      <c r="E801" s="9" t="s">
        <v>60</v>
      </c>
      <c r="F801" s="9">
        <v>0</v>
      </c>
      <c r="G801" s="9">
        <v>8679.9699999999993</v>
      </c>
      <c r="H801" s="9">
        <v>0</v>
      </c>
      <c r="I801" s="9">
        <v>0</v>
      </c>
      <c r="J801" s="10">
        <v>45633</v>
      </c>
      <c r="K801" s="9" t="s">
        <v>45</v>
      </c>
      <c r="L801" s="9" t="s">
        <v>29</v>
      </c>
      <c r="M801" s="9">
        <v>-651.61</v>
      </c>
    </row>
    <row r="802" spans="1:13" x14ac:dyDescent="0.35">
      <c r="A802" s="9">
        <v>2996</v>
      </c>
      <c r="B802" s="9" t="s">
        <v>28</v>
      </c>
      <c r="C802" s="9" t="s">
        <v>22</v>
      </c>
      <c r="D802" s="9" t="s">
        <v>65</v>
      </c>
      <c r="E802" s="9" t="s">
        <v>59</v>
      </c>
      <c r="F802" s="9">
        <v>0</v>
      </c>
      <c r="G802" s="9">
        <v>0</v>
      </c>
      <c r="H802" s="9">
        <v>0</v>
      </c>
      <c r="I802" s="9">
        <v>0</v>
      </c>
      <c r="J802" s="10">
        <v>45839</v>
      </c>
      <c r="K802" s="9" t="s">
        <v>45</v>
      </c>
      <c r="L802" s="9" t="s">
        <v>35</v>
      </c>
      <c r="M802" s="9">
        <v>3753.82</v>
      </c>
    </row>
    <row r="803" spans="1:13" x14ac:dyDescent="0.35">
      <c r="A803" s="9">
        <v>2043</v>
      </c>
      <c r="B803" s="9" t="s">
        <v>28</v>
      </c>
      <c r="C803" s="9" t="s">
        <v>21</v>
      </c>
      <c r="D803" s="9" t="s">
        <v>64</v>
      </c>
      <c r="E803" s="9" t="s">
        <v>60</v>
      </c>
      <c r="F803" s="9">
        <v>-1</v>
      </c>
      <c r="G803" s="9">
        <v>0</v>
      </c>
      <c r="H803" s="9">
        <v>0</v>
      </c>
      <c r="I803" s="9">
        <v>0</v>
      </c>
      <c r="J803" s="10">
        <v>45578</v>
      </c>
      <c r="K803" s="9" t="s">
        <v>44</v>
      </c>
      <c r="L803" s="9" t="s">
        <v>26</v>
      </c>
      <c r="M803" s="9">
        <v>497.69</v>
      </c>
    </row>
    <row r="804" spans="1:13" x14ac:dyDescent="0.35">
      <c r="A804" s="9">
        <v>3000</v>
      </c>
      <c r="B804" s="9" t="s">
        <v>34</v>
      </c>
      <c r="C804" s="9" t="s">
        <v>20</v>
      </c>
      <c r="D804" s="9" t="s">
        <v>66</v>
      </c>
      <c r="E804" s="9" t="s">
        <v>59</v>
      </c>
      <c r="F804" s="9">
        <v>1</v>
      </c>
      <c r="G804" s="9">
        <v>0</v>
      </c>
      <c r="H804" s="9">
        <v>0</v>
      </c>
      <c r="I804" s="9">
        <v>0</v>
      </c>
      <c r="J804" s="10">
        <v>45578</v>
      </c>
      <c r="K804" s="9" t="s">
        <v>44</v>
      </c>
      <c r="L804" s="9" t="s">
        <v>26</v>
      </c>
      <c r="M804" s="9">
        <v>-1110.6199999999999</v>
      </c>
    </row>
    <row r="805" spans="1:13" x14ac:dyDescent="0.35">
      <c r="A805" s="9">
        <v>3001</v>
      </c>
      <c r="B805" s="9" t="s">
        <v>31</v>
      </c>
      <c r="C805" s="9" t="s">
        <v>19</v>
      </c>
      <c r="D805" s="9" t="s">
        <v>39</v>
      </c>
      <c r="E805" s="9" t="s">
        <v>60</v>
      </c>
      <c r="F805" s="9">
        <v>0</v>
      </c>
      <c r="G805" s="9">
        <v>0</v>
      </c>
      <c r="H805" s="9">
        <v>0</v>
      </c>
      <c r="I805" s="9">
        <v>0</v>
      </c>
      <c r="J805" s="10">
        <v>45316</v>
      </c>
      <c r="K805" s="9" t="s">
        <v>45</v>
      </c>
      <c r="L805" s="9" t="s">
        <v>29</v>
      </c>
      <c r="M805" s="9">
        <v>-362.26</v>
      </c>
    </row>
    <row r="806" spans="1:13" x14ac:dyDescent="0.35">
      <c r="A806" s="9">
        <v>3003</v>
      </c>
      <c r="B806" s="9" t="s">
        <v>31</v>
      </c>
      <c r="C806" s="9" t="s">
        <v>22</v>
      </c>
      <c r="D806" s="9" t="s">
        <v>68</v>
      </c>
      <c r="E806" s="9" t="s">
        <v>62</v>
      </c>
      <c r="F806" s="9">
        <v>2</v>
      </c>
      <c r="G806" s="9">
        <v>0</v>
      </c>
      <c r="H806" s="9">
        <v>0</v>
      </c>
      <c r="I806" s="9">
        <v>0</v>
      </c>
      <c r="J806" s="10">
        <v>45141</v>
      </c>
      <c r="K806" s="9" t="s">
        <v>45</v>
      </c>
      <c r="L806" s="9" t="s">
        <v>25</v>
      </c>
      <c r="M806" s="9">
        <v>-646.26</v>
      </c>
    </row>
    <row r="807" spans="1:13" x14ac:dyDescent="0.35">
      <c r="A807" s="9">
        <v>3004</v>
      </c>
      <c r="B807" s="9" t="s">
        <v>31</v>
      </c>
      <c r="C807" s="9" t="s">
        <v>18</v>
      </c>
      <c r="D807" s="9" t="s">
        <v>38</v>
      </c>
      <c r="E807" s="9" t="s">
        <v>62</v>
      </c>
      <c r="F807" s="9">
        <v>2</v>
      </c>
      <c r="G807" s="9">
        <v>6897.68</v>
      </c>
      <c r="H807" s="9">
        <v>0</v>
      </c>
      <c r="I807" s="9">
        <v>0</v>
      </c>
      <c r="J807" s="10">
        <v>45141</v>
      </c>
      <c r="K807" s="9" t="s">
        <v>44</v>
      </c>
      <c r="L807" s="9" t="s">
        <v>35</v>
      </c>
      <c r="M807" s="9">
        <v>2708.1</v>
      </c>
    </row>
    <row r="808" spans="1:13" x14ac:dyDescent="0.35">
      <c r="A808" s="9">
        <v>3005</v>
      </c>
      <c r="B808" s="9" t="s">
        <v>28</v>
      </c>
      <c r="C808" s="9" t="s">
        <v>22</v>
      </c>
      <c r="D808" s="9" t="s">
        <v>68</v>
      </c>
      <c r="E808" s="9" t="s">
        <v>59</v>
      </c>
      <c r="F808" s="9">
        <v>0</v>
      </c>
      <c r="G808" s="9">
        <v>0</v>
      </c>
      <c r="H808" s="9">
        <v>0.19</v>
      </c>
      <c r="I808" s="9">
        <v>0</v>
      </c>
      <c r="J808" s="10">
        <v>45770</v>
      </c>
      <c r="K808" s="9" t="s">
        <v>45</v>
      </c>
      <c r="L808" s="9" t="s">
        <v>29</v>
      </c>
      <c r="M808" s="9">
        <v>3295.17</v>
      </c>
    </row>
    <row r="809" spans="1:13" x14ac:dyDescent="0.35">
      <c r="A809" s="9">
        <v>3006</v>
      </c>
      <c r="B809" s="9" t="s">
        <v>34</v>
      </c>
      <c r="C809" s="9" t="s">
        <v>21</v>
      </c>
      <c r="D809" s="9" t="s">
        <v>36</v>
      </c>
      <c r="E809" s="9" t="s">
        <v>59</v>
      </c>
      <c r="F809" s="9">
        <v>4</v>
      </c>
      <c r="G809" s="9">
        <v>0</v>
      </c>
      <c r="H809" s="9">
        <v>0.89</v>
      </c>
      <c r="I809" s="9">
        <v>0</v>
      </c>
      <c r="J809" s="10">
        <v>45770</v>
      </c>
      <c r="K809" s="9" t="s">
        <v>45</v>
      </c>
      <c r="L809" s="9" t="s">
        <v>35</v>
      </c>
      <c r="M809" s="9">
        <v>1932.88</v>
      </c>
    </row>
    <row r="810" spans="1:13" x14ac:dyDescent="0.35">
      <c r="A810" s="9">
        <v>3007</v>
      </c>
      <c r="B810" s="9" t="s">
        <v>28</v>
      </c>
      <c r="C810" s="9" t="s">
        <v>19</v>
      </c>
      <c r="D810" s="9" t="s">
        <v>42</v>
      </c>
      <c r="E810" s="9" t="s">
        <v>59</v>
      </c>
      <c r="F810" s="9">
        <v>1</v>
      </c>
      <c r="G810" s="9">
        <v>7680.16</v>
      </c>
      <c r="H810" s="9">
        <v>1.23</v>
      </c>
      <c r="I810" s="9">
        <v>-1766.44</v>
      </c>
      <c r="J810" s="10">
        <v>45807</v>
      </c>
      <c r="K810" s="9" t="s">
        <v>45</v>
      </c>
      <c r="L810" s="9" t="s">
        <v>25</v>
      </c>
      <c r="M810" s="9">
        <v>-1076.72</v>
      </c>
    </row>
    <row r="811" spans="1:13" x14ac:dyDescent="0.35">
      <c r="A811" s="9">
        <v>3009</v>
      </c>
      <c r="B811" s="9" t="s">
        <v>31</v>
      </c>
      <c r="C811" s="9" t="s">
        <v>21</v>
      </c>
      <c r="D811" s="9" t="s">
        <v>64</v>
      </c>
      <c r="E811" s="9" t="s">
        <v>60</v>
      </c>
      <c r="F811" s="9">
        <v>0</v>
      </c>
      <c r="G811" s="9">
        <v>0</v>
      </c>
      <c r="H811" s="9">
        <v>0</v>
      </c>
      <c r="I811" s="9">
        <v>0</v>
      </c>
      <c r="J811" s="10">
        <v>45519</v>
      </c>
      <c r="K811" s="9" t="s">
        <v>45</v>
      </c>
      <c r="L811" s="9" t="s">
        <v>25</v>
      </c>
      <c r="M811" s="9">
        <v>3724.01</v>
      </c>
    </row>
    <row r="812" spans="1:13" x14ac:dyDescent="0.35">
      <c r="A812" s="9">
        <v>3011</v>
      </c>
      <c r="B812" s="9" t="s">
        <v>28</v>
      </c>
      <c r="C812" s="9" t="s">
        <v>20</v>
      </c>
      <c r="D812" s="9" t="s">
        <v>70</v>
      </c>
      <c r="E812" s="9" t="s">
        <v>59</v>
      </c>
      <c r="F812" s="9">
        <v>1</v>
      </c>
      <c r="G812" s="9">
        <v>0</v>
      </c>
      <c r="H812" s="9">
        <v>0.5</v>
      </c>
      <c r="I812" s="9">
        <v>0</v>
      </c>
      <c r="J812" s="10">
        <v>45519</v>
      </c>
      <c r="K812" s="9" t="s">
        <v>44</v>
      </c>
      <c r="L812" s="9" t="s">
        <v>32</v>
      </c>
      <c r="M812" s="9">
        <v>3074.24</v>
      </c>
    </row>
    <row r="813" spans="1:13" x14ac:dyDescent="0.35">
      <c r="A813" s="9">
        <v>3012</v>
      </c>
      <c r="B813" s="9" t="s">
        <v>31</v>
      </c>
      <c r="C813" s="9" t="s">
        <v>21</v>
      </c>
      <c r="D813" s="9" t="s">
        <v>36</v>
      </c>
      <c r="E813" s="9" t="s">
        <v>60</v>
      </c>
      <c r="F813" s="9">
        <v>2</v>
      </c>
      <c r="G813" s="9">
        <v>3758.51</v>
      </c>
      <c r="H813" s="9">
        <v>0</v>
      </c>
      <c r="I813" s="9">
        <v>0</v>
      </c>
      <c r="J813" s="10">
        <v>45519</v>
      </c>
      <c r="K813" s="9" t="s">
        <v>44</v>
      </c>
      <c r="L813" s="9" t="s">
        <v>32</v>
      </c>
      <c r="M813" s="9">
        <v>94.77</v>
      </c>
    </row>
    <row r="814" spans="1:13" x14ac:dyDescent="0.35">
      <c r="A814" s="9">
        <v>3013</v>
      </c>
      <c r="B814" s="9" t="s">
        <v>34</v>
      </c>
      <c r="C814" s="9" t="s">
        <v>22</v>
      </c>
      <c r="D814" s="9" t="s">
        <v>68</v>
      </c>
      <c r="E814" s="9" t="s">
        <v>62</v>
      </c>
      <c r="F814" s="9">
        <v>4</v>
      </c>
      <c r="G814" s="9">
        <v>0</v>
      </c>
      <c r="H814" s="9">
        <v>0.96</v>
      </c>
      <c r="I814" s="9">
        <v>0</v>
      </c>
      <c r="J814" s="10">
        <v>45824</v>
      </c>
      <c r="K814" s="9" t="s">
        <v>44</v>
      </c>
      <c r="L814" s="9" t="s">
        <v>27</v>
      </c>
      <c r="M814" s="9">
        <v>1039.0899999999999</v>
      </c>
    </row>
    <row r="815" spans="1:13" x14ac:dyDescent="0.35">
      <c r="A815" s="9">
        <v>3016</v>
      </c>
      <c r="B815" s="9" t="s">
        <v>28</v>
      </c>
      <c r="C815" s="9" t="s">
        <v>20</v>
      </c>
      <c r="D815" s="9" t="s">
        <v>43</v>
      </c>
      <c r="E815" s="9" t="s">
        <v>59</v>
      </c>
      <c r="F815" s="9">
        <v>0</v>
      </c>
      <c r="G815" s="9">
        <v>8931.44</v>
      </c>
      <c r="H815" s="9">
        <v>0</v>
      </c>
      <c r="I815" s="9">
        <v>0</v>
      </c>
      <c r="J815" s="10">
        <v>45535</v>
      </c>
      <c r="K815" s="9" t="s">
        <v>44</v>
      </c>
      <c r="L815" s="9" t="s">
        <v>25</v>
      </c>
      <c r="M815" s="9">
        <v>868.59</v>
      </c>
    </row>
    <row r="816" spans="1:13" x14ac:dyDescent="0.35">
      <c r="A816" s="9">
        <v>3017</v>
      </c>
      <c r="B816" s="9" t="s">
        <v>28</v>
      </c>
      <c r="C816" s="9" t="s">
        <v>22</v>
      </c>
      <c r="D816" s="9" t="s">
        <v>30</v>
      </c>
      <c r="E816" s="9" t="s">
        <v>59</v>
      </c>
      <c r="F816" s="9">
        <v>0</v>
      </c>
      <c r="G816" s="9">
        <v>8240.15</v>
      </c>
      <c r="H816" s="9">
        <v>0</v>
      </c>
      <c r="I816" s="9">
        <v>0</v>
      </c>
      <c r="J816" s="10">
        <v>45535</v>
      </c>
      <c r="K816" s="9" t="s">
        <v>44</v>
      </c>
      <c r="L816" s="9" t="s">
        <v>29</v>
      </c>
      <c r="M816" s="9">
        <v>3355.12</v>
      </c>
    </row>
    <row r="817" spans="1:13" x14ac:dyDescent="0.35">
      <c r="A817" s="9">
        <v>3018</v>
      </c>
      <c r="B817" s="9" t="s">
        <v>34</v>
      </c>
      <c r="C817" s="9" t="s">
        <v>19</v>
      </c>
      <c r="D817" s="9" t="s">
        <v>39</v>
      </c>
      <c r="E817" s="9" t="s">
        <v>59</v>
      </c>
      <c r="F817" s="9">
        <v>0</v>
      </c>
      <c r="G817" s="9">
        <v>0</v>
      </c>
      <c r="H817" s="9">
        <v>0</v>
      </c>
      <c r="I817" s="9">
        <v>0</v>
      </c>
      <c r="J817" s="10">
        <v>45526</v>
      </c>
      <c r="K817" s="9" t="s">
        <v>44</v>
      </c>
      <c r="L817" s="9" t="s">
        <v>27</v>
      </c>
      <c r="M817" s="9">
        <v>3364.85</v>
      </c>
    </row>
    <row r="818" spans="1:13" x14ac:dyDescent="0.35">
      <c r="A818" s="9">
        <v>3019</v>
      </c>
      <c r="B818" s="9" t="s">
        <v>28</v>
      </c>
      <c r="C818" s="9" t="s">
        <v>20</v>
      </c>
      <c r="D818" s="9" t="s">
        <v>66</v>
      </c>
      <c r="E818" s="9" t="s">
        <v>62</v>
      </c>
      <c r="F818" s="9">
        <v>0</v>
      </c>
      <c r="G818" s="9">
        <v>9942.61</v>
      </c>
      <c r="H818" s="9">
        <v>0</v>
      </c>
      <c r="I818" s="9">
        <v>0</v>
      </c>
      <c r="J818" s="10">
        <v>45279</v>
      </c>
      <c r="K818" s="9" t="s">
        <v>44</v>
      </c>
      <c r="L818" s="9" t="s">
        <v>27</v>
      </c>
      <c r="M818" s="9">
        <v>1316.3</v>
      </c>
    </row>
    <row r="819" spans="1:13" x14ac:dyDescent="0.35">
      <c r="A819" s="9">
        <v>3020</v>
      </c>
      <c r="B819" s="9" t="s">
        <v>34</v>
      </c>
      <c r="C819" s="9" t="s">
        <v>21</v>
      </c>
      <c r="D819" s="9" t="s">
        <v>71</v>
      </c>
      <c r="E819" s="9" t="s">
        <v>60</v>
      </c>
      <c r="F819" s="9">
        <v>1</v>
      </c>
      <c r="G819" s="9">
        <v>6153.37</v>
      </c>
      <c r="H819" s="9">
        <v>0</v>
      </c>
      <c r="I819" s="9">
        <v>0</v>
      </c>
      <c r="J819" s="10">
        <v>45279</v>
      </c>
      <c r="K819" s="9" t="s">
        <v>44</v>
      </c>
      <c r="L819" s="9" t="s">
        <v>32</v>
      </c>
      <c r="M819" s="9">
        <v>493.35</v>
      </c>
    </row>
    <row r="820" spans="1:13" x14ac:dyDescent="0.35">
      <c r="A820" s="9">
        <v>3021</v>
      </c>
      <c r="B820" s="9" t="s">
        <v>28</v>
      </c>
      <c r="C820" s="9" t="s">
        <v>19</v>
      </c>
      <c r="D820" s="9" t="s">
        <v>63</v>
      </c>
      <c r="E820" s="9" t="s">
        <v>59</v>
      </c>
      <c r="F820" s="9">
        <v>4</v>
      </c>
      <c r="G820" s="9">
        <v>0</v>
      </c>
      <c r="H820" s="9">
        <v>0.42</v>
      </c>
      <c r="I820" s="9">
        <v>0</v>
      </c>
      <c r="J820" s="10">
        <v>45190</v>
      </c>
      <c r="K820" s="9" t="s">
        <v>44</v>
      </c>
      <c r="L820" s="9" t="s">
        <v>32</v>
      </c>
      <c r="M820" s="9">
        <v>3050.7</v>
      </c>
    </row>
    <row r="821" spans="1:13" x14ac:dyDescent="0.35">
      <c r="A821" s="9">
        <v>3022</v>
      </c>
      <c r="B821" s="9" t="s">
        <v>34</v>
      </c>
      <c r="C821" s="9" t="s">
        <v>18</v>
      </c>
      <c r="D821" s="9" t="s">
        <v>38</v>
      </c>
      <c r="E821" s="9" t="s">
        <v>60</v>
      </c>
      <c r="F821" s="9">
        <v>-1</v>
      </c>
      <c r="G821" s="9">
        <v>4318.4799999999996</v>
      </c>
      <c r="H821" s="9">
        <v>0</v>
      </c>
      <c r="I821" s="9">
        <v>0</v>
      </c>
      <c r="J821" s="10">
        <v>45791</v>
      </c>
      <c r="K821" s="9" t="s">
        <v>45</v>
      </c>
      <c r="L821" s="9" t="s">
        <v>29</v>
      </c>
      <c r="M821" s="9">
        <v>271.37</v>
      </c>
    </row>
    <row r="822" spans="1:13" x14ac:dyDescent="0.35">
      <c r="A822" s="9">
        <v>3025</v>
      </c>
      <c r="B822" s="9" t="s">
        <v>34</v>
      </c>
      <c r="C822" s="9" t="s">
        <v>21</v>
      </c>
      <c r="D822" s="9" t="s">
        <v>36</v>
      </c>
      <c r="E822" s="9" t="s">
        <v>60</v>
      </c>
      <c r="F822" s="9">
        <v>4</v>
      </c>
      <c r="G822" s="9">
        <v>0</v>
      </c>
      <c r="H822" s="9">
        <v>0</v>
      </c>
      <c r="I822" s="9">
        <v>0</v>
      </c>
      <c r="J822" s="10">
        <v>45529</v>
      </c>
      <c r="K822" s="9" t="s">
        <v>44</v>
      </c>
      <c r="L822" s="9" t="s">
        <v>32</v>
      </c>
      <c r="M822" s="9">
        <v>3005.88</v>
      </c>
    </row>
    <row r="823" spans="1:13" x14ac:dyDescent="0.35">
      <c r="A823" s="9">
        <v>3026</v>
      </c>
      <c r="B823" s="9" t="s">
        <v>28</v>
      </c>
      <c r="C823" s="9" t="s">
        <v>21</v>
      </c>
      <c r="D823" s="9" t="s">
        <v>36</v>
      </c>
      <c r="E823" s="9" t="s">
        <v>59</v>
      </c>
      <c r="F823" s="9">
        <v>0</v>
      </c>
      <c r="G823" s="9">
        <v>0</v>
      </c>
      <c r="H823" s="9">
        <v>0</v>
      </c>
      <c r="I823" s="9">
        <v>0</v>
      </c>
      <c r="J823" s="10">
        <v>45728</v>
      </c>
      <c r="K823" s="9" t="s">
        <v>45</v>
      </c>
      <c r="L823" s="9" t="s">
        <v>25</v>
      </c>
      <c r="M823" s="9">
        <v>-127.25</v>
      </c>
    </row>
    <row r="824" spans="1:13" x14ac:dyDescent="0.35">
      <c r="A824" s="9">
        <v>3027</v>
      </c>
      <c r="B824" s="9" t="s">
        <v>28</v>
      </c>
      <c r="C824" s="9" t="s">
        <v>18</v>
      </c>
      <c r="D824" s="9" t="s">
        <v>37</v>
      </c>
      <c r="E824" s="9" t="s">
        <v>60</v>
      </c>
      <c r="F824" s="9">
        <v>2</v>
      </c>
      <c r="G824" s="9">
        <v>9593.27</v>
      </c>
      <c r="H824" s="9">
        <v>0</v>
      </c>
      <c r="I824" s="9">
        <v>0</v>
      </c>
      <c r="J824" s="10">
        <v>45590</v>
      </c>
      <c r="K824" s="9" t="s">
        <v>44</v>
      </c>
      <c r="L824" s="9" t="s">
        <v>29</v>
      </c>
      <c r="M824" s="9">
        <v>-1038.79</v>
      </c>
    </row>
    <row r="825" spans="1:13" x14ac:dyDescent="0.35">
      <c r="A825" s="9">
        <v>3028</v>
      </c>
      <c r="B825" s="9" t="s">
        <v>34</v>
      </c>
      <c r="C825" s="9" t="s">
        <v>20</v>
      </c>
      <c r="D825" s="9" t="s">
        <v>43</v>
      </c>
      <c r="E825" s="9" t="s">
        <v>60</v>
      </c>
      <c r="F825" s="9">
        <v>4</v>
      </c>
      <c r="G825" s="9">
        <v>5837.53</v>
      </c>
      <c r="H825" s="9">
        <v>0</v>
      </c>
      <c r="I825" s="9">
        <v>0</v>
      </c>
      <c r="J825" s="10">
        <v>45686</v>
      </c>
      <c r="K825" s="9" t="s">
        <v>44</v>
      </c>
      <c r="L825" s="9" t="s">
        <v>27</v>
      </c>
      <c r="M825" s="9">
        <v>-471.86</v>
      </c>
    </row>
    <row r="826" spans="1:13" x14ac:dyDescent="0.35">
      <c r="A826" s="9">
        <v>3029</v>
      </c>
      <c r="B826" s="9" t="s">
        <v>34</v>
      </c>
      <c r="C826" s="9" t="s">
        <v>18</v>
      </c>
      <c r="D826" s="9" t="s">
        <v>38</v>
      </c>
      <c r="E826" s="9" t="s">
        <v>59</v>
      </c>
      <c r="F826" s="9">
        <v>0</v>
      </c>
      <c r="G826" s="9">
        <v>0</v>
      </c>
      <c r="H826" s="9">
        <v>0</v>
      </c>
      <c r="I826" s="9">
        <v>0</v>
      </c>
      <c r="J826" s="10">
        <v>45686</v>
      </c>
      <c r="K826" s="9" t="s">
        <v>44</v>
      </c>
      <c r="L826" s="9" t="s">
        <v>25</v>
      </c>
      <c r="M826" s="9">
        <v>2696.49</v>
      </c>
    </row>
    <row r="827" spans="1:13" x14ac:dyDescent="0.35">
      <c r="A827" s="9">
        <v>3031</v>
      </c>
      <c r="B827" s="9" t="s">
        <v>34</v>
      </c>
      <c r="C827" s="9" t="s">
        <v>19</v>
      </c>
      <c r="D827" s="9" t="s">
        <v>39</v>
      </c>
      <c r="E827" s="9" t="s">
        <v>59</v>
      </c>
      <c r="F827" s="9">
        <v>4</v>
      </c>
      <c r="G827" s="9">
        <v>8588.14</v>
      </c>
      <c r="H827" s="9">
        <v>0</v>
      </c>
      <c r="I827" s="9">
        <v>0</v>
      </c>
      <c r="J827" s="10">
        <v>45210</v>
      </c>
      <c r="K827" s="9" t="s">
        <v>45</v>
      </c>
      <c r="L827" s="9" t="s">
        <v>27</v>
      </c>
      <c r="M827" s="9">
        <v>-117.68</v>
      </c>
    </row>
    <row r="828" spans="1:13" x14ac:dyDescent="0.35">
      <c r="A828" s="9">
        <v>3032</v>
      </c>
      <c r="B828" s="9" t="s">
        <v>31</v>
      </c>
      <c r="C828" s="9" t="s">
        <v>20</v>
      </c>
      <c r="D828" s="9" t="s">
        <v>61</v>
      </c>
      <c r="E828" s="9" t="s">
        <v>62</v>
      </c>
      <c r="F828" s="9">
        <v>0</v>
      </c>
      <c r="G828" s="9">
        <v>0</v>
      </c>
      <c r="H828" s="9">
        <v>0</v>
      </c>
      <c r="I828" s="9">
        <v>0</v>
      </c>
      <c r="J828" s="10">
        <v>45673</v>
      </c>
      <c r="K828" s="9" t="s">
        <v>45</v>
      </c>
      <c r="L828" s="9" t="s">
        <v>26</v>
      </c>
      <c r="M828" s="9">
        <v>450.75</v>
      </c>
    </row>
    <row r="829" spans="1:13" x14ac:dyDescent="0.35">
      <c r="A829" s="9">
        <v>3033</v>
      </c>
      <c r="B829" s="9" t="s">
        <v>31</v>
      </c>
      <c r="C829" s="9" t="s">
        <v>18</v>
      </c>
      <c r="D829" s="9" t="s">
        <v>38</v>
      </c>
      <c r="E829" s="9" t="s">
        <v>59</v>
      </c>
      <c r="F829" s="9">
        <v>0</v>
      </c>
      <c r="G829" s="9">
        <v>9397.68</v>
      </c>
      <c r="H829" s="9">
        <v>0.74</v>
      </c>
      <c r="I829" s="9">
        <v>0</v>
      </c>
      <c r="J829" s="10">
        <v>45617</v>
      </c>
      <c r="K829" s="9" t="s">
        <v>44</v>
      </c>
      <c r="L829" s="9" t="s">
        <v>32</v>
      </c>
      <c r="M829" s="9">
        <v>313.58</v>
      </c>
    </row>
    <row r="830" spans="1:13" x14ac:dyDescent="0.35">
      <c r="A830" s="9">
        <v>3034</v>
      </c>
      <c r="B830" s="9" t="s">
        <v>31</v>
      </c>
      <c r="C830" s="9" t="s">
        <v>19</v>
      </c>
      <c r="D830" s="9" t="s">
        <v>39</v>
      </c>
      <c r="E830" s="9" t="s">
        <v>59</v>
      </c>
      <c r="F830" s="9">
        <v>2</v>
      </c>
      <c r="G830" s="9">
        <v>0</v>
      </c>
      <c r="H830" s="9">
        <v>0.79</v>
      </c>
      <c r="I830" s="9">
        <v>0</v>
      </c>
      <c r="J830" s="10">
        <v>45617</v>
      </c>
      <c r="K830" s="9" t="s">
        <v>45</v>
      </c>
      <c r="L830" s="9" t="s">
        <v>35</v>
      </c>
      <c r="M830" s="9">
        <v>460.06</v>
      </c>
    </row>
    <row r="831" spans="1:13" x14ac:dyDescent="0.35">
      <c r="A831" s="9">
        <v>3035</v>
      </c>
      <c r="B831" s="9" t="s">
        <v>34</v>
      </c>
      <c r="C831" s="9" t="s">
        <v>18</v>
      </c>
      <c r="D831" s="9" t="s">
        <v>33</v>
      </c>
      <c r="E831" s="9" t="s">
        <v>59</v>
      </c>
      <c r="F831" s="9">
        <v>4</v>
      </c>
      <c r="G831" s="9">
        <v>9625.4699999999993</v>
      </c>
      <c r="H831" s="9">
        <v>0</v>
      </c>
      <c r="I831" s="9">
        <v>0</v>
      </c>
      <c r="J831" s="10">
        <v>45617</v>
      </c>
      <c r="K831" s="9" t="s">
        <v>44</v>
      </c>
      <c r="L831" s="9" t="s">
        <v>32</v>
      </c>
      <c r="M831" s="9">
        <v>-419.24</v>
      </c>
    </row>
    <row r="832" spans="1:13" x14ac:dyDescent="0.35">
      <c r="A832" s="9">
        <v>3036</v>
      </c>
      <c r="B832" s="9" t="s">
        <v>34</v>
      </c>
      <c r="C832" s="9" t="s">
        <v>21</v>
      </c>
      <c r="D832" s="9" t="s">
        <v>71</v>
      </c>
      <c r="E832" s="9" t="s">
        <v>59</v>
      </c>
      <c r="F832" s="9">
        <v>2</v>
      </c>
      <c r="G832" s="9">
        <v>2879.09</v>
      </c>
      <c r="H832" s="9">
        <v>0</v>
      </c>
      <c r="I832" s="9">
        <v>0</v>
      </c>
      <c r="J832" s="10">
        <v>45580</v>
      </c>
      <c r="K832" s="9" t="s">
        <v>44</v>
      </c>
      <c r="L832" s="9" t="s">
        <v>32</v>
      </c>
      <c r="M832" s="9">
        <v>1129.1099999999999</v>
      </c>
    </row>
    <row r="833" spans="1:13" x14ac:dyDescent="0.35">
      <c r="A833" s="9">
        <v>2033</v>
      </c>
      <c r="B833" s="9" t="s">
        <v>34</v>
      </c>
      <c r="C833" s="9" t="s">
        <v>21</v>
      </c>
      <c r="D833" s="9" t="s">
        <v>64</v>
      </c>
      <c r="E833" s="9" t="s">
        <v>59</v>
      </c>
      <c r="F833" s="9">
        <v>0</v>
      </c>
      <c r="G833" s="9">
        <v>0</v>
      </c>
      <c r="H833" s="9">
        <v>0</v>
      </c>
      <c r="I833" s="9">
        <v>0</v>
      </c>
      <c r="J833" s="10">
        <v>45679</v>
      </c>
      <c r="K833" s="9" t="s">
        <v>45</v>
      </c>
      <c r="L833" s="9" t="s">
        <v>27</v>
      </c>
      <c r="M833" s="9">
        <v>-679.74</v>
      </c>
    </row>
    <row r="834" spans="1:13" x14ac:dyDescent="0.35">
      <c r="A834" s="9">
        <v>3038</v>
      </c>
      <c r="B834" s="9" t="s">
        <v>34</v>
      </c>
      <c r="C834" s="9" t="s">
        <v>21</v>
      </c>
      <c r="D834" s="9" t="s">
        <v>40</v>
      </c>
      <c r="E834" s="9" t="s">
        <v>59</v>
      </c>
      <c r="F834" s="9">
        <v>0</v>
      </c>
      <c r="G834" s="9">
        <v>4195.03</v>
      </c>
      <c r="H834" s="9">
        <v>0</v>
      </c>
      <c r="I834" s="9">
        <v>0</v>
      </c>
      <c r="J834" s="10">
        <v>45684</v>
      </c>
      <c r="K834" s="9" t="s">
        <v>44</v>
      </c>
      <c r="L834" s="9" t="s">
        <v>29</v>
      </c>
      <c r="M834" s="9">
        <v>1068.18</v>
      </c>
    </row>
    <row r="835" spans="1:13" x14ac:dyDescent="0.35">
      <c r="A835" s="9">
        <v>3039</v>
      </c>
      <c r="B835" s="9" t="s">
        <v>34</v>
      </c>
      <c r="C835" s="9" t="s">
        <v>19</v>
      </c>
      <c r="D835" s="9" t="s">
        <v>39</v>
      </c>
      <c r="E835" s="9" t="s">
        <v>59</v>
      </c>
      <c r="F835" s="9">
        <v>0</v>
      </c>
      <c r="G835" s="9">
        <v>5366.19</v>
      </c>
      <c r="H835" s="9">
        <v>0</v>
      </c>
      <c r="I835" s="9">
        <v>0</v>
      </c>
      <c r="J835" s="10">
        <v>45368</v>
      </c>
      <c r="K835" s="9" t="s">
        <v>45</v>
      </c>
      <c r="L835" s="9" t="s">
        <v>35</v>
      </c>
      <c r="M835" s="9">
        <v>638.29999999999995</v>
      </c>
    </row>
    <row r="836" spans="1:13" x14ac:dyDescent="0.35">
      <c r="A836" s="9">
        <v>3040</v>
      </c>
      <c r="B836" s="9" t="s">
        <v>28</v>
      </c>
      <c r="C836" s="9" t="s">
        <v>21</v>
      </c>
      <c r="D836" s="9" t="s">
        <v>64</v>
      </c>
      <c r="E836" s="9" t="s">
        <v>62</v>
      </c>
      <c r="F836" s="9">
        <v>0</v>
      </c>
      <c r="G836" s="9">
        <v>0</v>
      </c>
      <c r="H836" s="9">
        <v>0</v>
      </c>
      <c r="I836" s="9">
        <v>0</v>
      </c>
      <c r="J836" s="10">
        <v>45516</v>
      </c>
      <c r="K836" s="9" t="s">
        <v>45</v>
      </c>
      <c r="L836" s="9" t="s">
        <v>32</v>
      </c>
      <c r="M836" s="9">
        <v>3833.04</v>
      </c>
    </row>
    <row r="837" spans="1:13" x14ac:dyDescent="0.35">
      <c r="A837" s="9">
        <v>3041</v>
      </c>
      <c r="B837" s="9" t="s">
        <v>34</v>
      </c>
      <c r="C837" s="9" t="s">
        <v>21</v>
      </c>
      <c r="D837" s="9" t="s">
        <v>64</v>
      </c>
      <c r="E837" s="9" t="s">
        <v>59</v>
      </c>
      <c r="F837" s="9">
        <v>0</v>
      </c>
      <c r="G837" s="9">
        <v>4884.55</v>
      </c>
      <c r="H837" s="9">
        <v>0</v>
      </c>
      <c r="I837" s="9">
        <v>0</v>
      </c>
      <c r="J837" s="10">
        <v>45660</v>
      </c>
      <c r="K837" s="9" t="s">
        <v>45</v>
      </c>
      <c r="L837" s="9" t="s">
        <v>25</v>
      </c>
      <c r="M837" s="9">
        <v>-1182.29</v>
      </c>
    </row>
    <row r="838" spans="1:13" x14ac:dyDescent="0.35">
      <c r="A838" s="9">
        <v>3042</v>
      </c>
      <c r="B838" s="9" t="s">
        <v>31</v>
      </c>
      <c r="C838" s="9" t="s">
        <v>21</v>
      </c>
      <c r="D838" s="9" t="s">
        <v>40</v>
      </c>
      <c r="E838" s="9" t="s">
        <v>59</v>
      </c>
      <c r="F838" s="9">
        <v>1</v>
      </c>
      <c r="G838" s="9">
        <v>0</v>
      </c>
      <c r="H838" s="9">
        <v>0</v>
      </c>
      <c r="I838" s="9">
        <v>0</v>
      </c>
      <c r="J838" s="10">
        <v>45660</v>
      </c>
      <c r="K838" s="9" t="s">
        <v>45</v>
      </c>
      <c r="L838" s="9" t="s">
        <v>29</v>
      </c>
      <c r="M838" s="9">
        <v>3750.11</v>
      </c>
    </row>
    <row r="839" spans="1:13" x14ac:dyDescent="0.35">
      <c r="A839" s="9">
        <v>3043</v>
      </c>
      <c r="B839" s="9" t="s">
        <v>31</v>
      </c>
      <c r="C839" s="9" t="s">
        <v>20</v>
      </c>
      <c r="D839" s="9" t="s">
        <v>61</v>
      </c>
      <c r="E839" s="9" t="s">
        <v>60</v>
      </c>
      <c r="F839" s="9">
        <v>2</v>
      </c>
      <c r="G839" s="9">
        <v>0</v>
      </c>
      <c r="H839" s="9">
        <v>0</v>
      </c>
      <c r="I839" s="9">
        <v>0</v>
      </c>
      <c r="J839" s="10">
        <v>45758</v>
      </c>
      <c r="K839" s="9" t="s">
        <v>44</v>
      </c>
      <c r="L839" s="9" t="s">
        <v>29</v>
      </c>
      <c r="M839" s="9">
        <v>147.79</v>
      </c>
    </row>
    <row r="840" spans="1:13" x14ac:dyDescent="0.35">
      <c r="A840" s="9">
        <v>3044</v>
      </c>
      <c r="B840" s="9" t="s">
        <v>34</v>
      </c>
      <c r="C840" s="9" t="s">
        <v>21</v>
      </c>
      <c r="D840" s="9" t="s">
        <v>40</v>
      </c>
      <c r="E840" s="9" t="s">
        <v>59</v>
      </c>
      <c r="F840" s="9">
        <v>3</v>
      </c>
      <c r="G840" s="9">
        <v>4222.2</v>
      </c>
      <c r="H840" s="9">
        <v>0</v>
      </c>
      <c r="I840" s="9">
        <v>0</v>
      </c>
      <c r="J840" s="10">
        <v>45758</v>
      </c>
      <c r="K840" s="9" t="s">
        <v>44</v>
      </c>
      <c r="L840" s="9" t="s">
        <v>32</v>
      </c>
      <c r="M840" s="9">
        <v>931.4</v>
      </c>
    </row>
    <row r="841" spans="1:13" x14ac:dyDescent="0.35">
      <c r="A841" s="9">
        <v>3045</v>
      </c>
      <c r="B841" s="9" t="s">
        <v>34</v>
      </c>
      <c r="C841" s="9" t="s">
        <v>19</v>
      </c>
      <c r="D841" s="9" t="s">
        <v>39</v>
      </c>
      <c r="E841" s="9" t="s">
        <v>62</v>
      </c>
      <c r="F841" s="9">
        <v>1</v>
      </c>
      <c r="G841" s="9">
        <v>2196.1999999999998</v>
      </c>
      <c r="H841" s="9">
        <v>0</v>
      </c>
      <c r="I841" s="9">
        <v>0</v>
      </c>
      <c r="J841" s="10">
        <v>45758</v>
      </c>
      <c r="K841" s="9" t="s">
        <v>44</v>
      </c>
      <c r="L841" s="9" t="s">
        <v>25</v>
      </c>
      <c r="M841" s="9">
        <v>3809.54</v>
      </c>
    </row>
    <row r="842" spans="1:13" x14ac:dyDescent="0.35">
      <c r="A842" s="9">
        <v>3046</v>
      </c>
      <c r="B842" s="9" t="s">
        <v>31</v>
      </c>
      <c r="C842" s="9" t="s">
        <v>22</v>
      </c>
      <c r="D842" s="9" t="s">
        <v>65</v>
      </c>
      <c r="E842" s="9" t="s">
        <v>59</v>
      </c>
      <c r="F842" s="9">
        <v>0</v>
      </c>
      <c r="G842" s="9">
        <v>4597.2299999999996</v>
      </c>
      <c r="H842" s="9">
        <v>0</v>
      </c>
      <c r="I842" s="9">
        <v>0</v>
      </c>
      <c r="J842" s="10">
        <v>45803</v>
      </c>
      <c r="K842" s="9" t="s">
        <v>45</v>
      </c>
      <c r="L842" s="9" t="s">
        <v>25</v>
      </c>
      <c r="M842" s="9">
        <v>3277.67</v>
      </c>
    </row>
    <row r="843" spans="1:13" x14ac:dyDescent="0.35">
      <c r="A843" s="9">
        <v>3048</v>
      </c>
      <c r="B843" s="9" t="s">
        <v>28</v>
      </c>
      <c r="C843" s="9" t="s">
        <v>21</v>
      </c>
      <c r="D843" s="9" t="s">
        <v>64</v>
      </c>
      <c r="E843" s="9" t="s">
        <v>59</v>
      </c>
      <c r="F843" s="9">
        <v>1</v>
      </c>
      <c r="G843" s="9">
        <v>0</v>
      </c>
      <c r="H843" s="9">
        <v>0.23</v>
      </c>
      <c r="I843" s="9">
        <v>0</v>
      </c>
      <c r="J843" s="10">
        <v>45855</v>
      </c>
      <c r="K843" s="9" t="s">
        <v>44</v>
      </c>
      <c r="L843" s="9" t="s">
        <v>32</v>
      </c>
      <c r="M843" s="9">
        <v>517.16999999999996</v>
      </c>
    </row>
    <row r="844" spans="1:13" x14ac:dyDescent="0.35">
      <c r="A844" s="9">
        <v>3049</v>
      </c>
      <c r="B844" s="9" t="s">
        <v>34</v>
      </c>
      <c r="C844" s="9" t="s">
        <v>21</v>
      </c>
      <c r="D844" s="9" t="s">
        <v>40</v>
      </c>
      <c r="E844" s="9" t="s">
        <v>59</v>
      </c>
      <c r="F844" s="9">
        <v>0</v>
      </c>
      <c r="G844" s="9">
        <v>0</v>
      </c>
      <c r="H844" s="9">
        <v>1.06</v>
      </c>
      <c r="I844" s="9">
        <v>0</v>
      </c>
      <c r="J844" s="10">
        <v>45830</v>
      </c>
      <c r="K844" s="9" t="s">
        <v>45</v>
      </c>
      <c r="L844" s="9" t="s">
        <v>35</v>
      </c>
      <c r="M844" s="9">
        <v>-156.44999999999999</v>
      </c>
    </row>
    <row r="845" spans="1:13" x14ac:dyDescent="0.35">
      <c r="A845" s="9">
        <v>3051</v>
      </c>
      <c r="B845" s="9" t="s">
        <v>31</v>
      </c>
      <c r="C845" s="9" t="s">
        <v>18</v>
      </c>
      <c r="D845" s="9" t="s">
        <v>41</v>
      </c>
      <c r="E845" s="9" t="s">
        <v>59</v>
      </c>
      <c r="F845" s="9">
        <v>0</v>
      </c>
      <c r="G845" s="9">
        <v>0</v>
      </c>
      <c r="H845" s="9">
        <v>0</v>
      </c>
      <c r="I845" s="9">
        <v>0</v>
      </c>
      <c r="J845" s="10">
        <v>45501</v>
      </c>
      <c r="K845" s="9" t="s">
        <v>45</v>
      </c>
      <c r="L845" s="9" t="s">
        <v>25</v>
      </c>
      <c r="M845" s="9">
        <v>166.42</v>
      </c>
    </row>
    <row r="846" spans="1:13" x14ac:dyDescent="0.35">
      <c r="A846" s="9">
        <v>3052</v>
      </c>
      <c r="B846" s="9" t="s">
        <v>34</v>
      </c>
      <c r="C846" s="9" t="s">
        <v>20</v>
      </c>
      <c r="D846" s="9" t="s">
        <v>61</v>
      </c>
      <c r="E846" s="9" t="s">
        <v>59</v>
      </c>
      <c r="F846" s="9">
        <v>0</v>
      </c>
      <c r="G846" s="9">
        <v>9448.34</v>
      </c>
      <c r="H846" s="9">
        <v>0.78</v>
      </c>
      <c r="I846" s="9">
        <v>0</v>
      </c>
      <c r="J846" s="10">
        <v>45719</v>
      </c>
      <c r="K846" s="9" t="s">
        <v>45</v>
      </c>
      <c r="L846" s="9" t="s">
        <v>29</v>
      </c>
      <c r="M846" s="9">
        <v>-871.1</v>
      </c>
    </row>
    <row r="847" spans="1:13" x14ac:dyDescent="0.35">
      <c r="A847" s="9">
        <v>3053</v>
      </c>
      <c r="B847" s="9" t="s">
        <v>28</v>
      </c>
      <c r="C847" s="9" t="s">
        <v>21</v>
      </c>
      <c r="D847" s="9" t="s">
        <v>40</v>
      </c>
      <c r="E847" s="9" t="s">
        <v>60</v>
      </c>
      <c r="F847" s="9">
        <v>0</v>
      </c>
      <c r="G847" s="9">
        <v>6323.09</v>
      </c>
      <c r="H847" s="9">
        <v>1</v>
      </c>
      <c r="I847" s="9">
        <v>0</v>
      </c>
      <c r="J847" s="10">
        <v>45553</v>
      </c>
      <c r="K847" s="9" t="s">
        <v>44</v>
      </c>
      <c r="L847" s="9" t="s">
        <v>26</v>
      </c>
      <c r="M847" s="9">
        <v>1283.6199999999999</v>
      </c>
    </row>
    <row r="848" spans="1:13" x14ac:dyDescent="0.35">
      <c r="A848" s="9">
        <v>3054</v>
      </c>
      <c r="B848" s="9" t="s">
        <v>31</v>
      </c>
      <c r="C848" s="9" t="s">
        <v>19</v>
      </c>
      <c r="D848" s="9" t="s">
        <v>39</v>
      </c>
      <c r="E848" s="9" t="s">
        <v>59</v>
      </c>
      <c r="F848" s="9">
        <v>0</v>
      </c>
      <c r="G848" s="9">
        <v>6667.47</v>
      </c>
      <c r="H848" s="9">
        <v>0</v>
      </c>
      <c r="I848" s="9">
        <v>0</v>
      </c>
      <c r="J848" s="10">
        <v>45643</v>
      </c>
      <c r="K848" s="9" t="s">
        <v>44</v>
      </c>
      <c r="L848" s="9" t="s">
        <v>35</v>
      </c>
      <c r="M848" s="9">
        <v>-402.6</v>
      </c>
    </row>
    <row r="849" spans="1:13" x14ac:dyDescent="0.35">
      <c r="A849" s="9">
        <v>2048</v>
      </c>
      <c r="B849" s="9" t="s">
        <v>34</v>
      </c>
      <c r="C849" s="9" t="s">
        <v>22</v>
      </c>
      <c r="D849" s="9" t="s">
        <v>30</v>
      </c>
      <c r="E849" s="9" t="s">
        <v>62</v>
      </c>
      <c r="F849" s="9">
        <v>0</v>
      </c>
      <c r="G849" s="9">
        <v>5357.49</v>
      </c>
      <c r="H849" s="9">
        <v>0</v>
      </c>
      <c r="I849" s="9">
        <v>0</v>
      </c>
      <c r="J849" s="10">
        <v>45643</v>
      </c>
      <c r="K849" s="9" t="s">
        <v>45</v>
      </c>
      <c r="L849" s="9" t="s">
        <v>35</v>
      </c>
      <c r="M849" s="9">
        <v>-548</v>
      </c>
    </row>
    <row r="850" spans="1:13" x14ac:dyDescent="0.35">
      <c r="A850" s="9">
        <v>3056</v>
      </c>
      <c r="B850" s="9" t="s">
        <v>31</v>
      </c>
      <c r="C850" s="9" t="s">
        <v>18</v>
      </c>
      <c r="D850" s="9" t="s">
        <v>38</v>
      </c>
      <c r="E850" s="9" t="s">
        <v>59</v>
      </c>
      <c r="F850" s="9">
        <v>0</v>
      </c>
      <c r="G850" s="9">
        <v>0</v>
      </c>
      <c r="H850" s="9">
        <v>0</v>
      </c>
      <c r="I850" s="9">
        <v>0</v>
      </c>
      <c r="J850" s="10">
        <v>45643</v>
      </c>
      <c r="K850" s="9" t="s">
        <v>45</v>
      </c>
      <c r="L850" s="9" t="s">
        <v>26</v>
      </c>
      <c r="M850" s="9">
        <v>544.14</v>
      </c>
    </row>
    <row r="851" spans="1:13" x14ac:dyDescent="0.35">
      <c r="A851" s="9">
        <v>3058</v>
      </c>
      <c r="B851" s="9" t="s">
        <v>31</v>
      </c>
      <c r="C851" s="9" t="s">
        <v>19</v>
      </c>
      <c r="D851" s="9" t="s">
        <v>69</v>
      </c>
      <c r="E851" s="9" t="s">
        <v>59</v>
      </c>
      <c r="F851" s="9">
        <v>-1</v>
      </c>
      <c r="G851" s="9">
        <v>8048.66</v>
      </c>
      <c r="H851" s="9">
        <v>0</v>
      </c>
      <c r="I851" s="9">
        <v>0</v>
      </c>
      <c r="J851" s="10">
        <v>45139</v>
      </c>
      <c r="K851" s="9" t="s">
        <v>44</v>
      </c>
      <c r="L851" s="9" t="s">
        <v>27</v>
      </c>
      <c r="M851" s="9">
        <v>3860.59</v>
      </c>
    </row>
    <row r="852" spans="1:13" x14ac:dyDescent="0.35">
      <c r="A852" s="9">
        <v>3059</v>
      </c>
      <c r="B852" s="9" t="s">
        <v>28</v>
      </c>
      <c r="C852" s="9" t="s">
        <v>20</v>
      </c>
      <c r="D852" s="9" t="s">
        <v>61</v>
      </c>
      <c r="E852" s="9" t="s">
        <v>60</v>
      </c>
      <c r="F852" s="9">
        <v>3</v>
      </c>
      <c r="G852" s="9">
        <v>0</v>
      </c>
      <c r="H852" s="9">
        <v>1</v>
      </c>
      <c r="I852" s="9">
        <v>0</v>
      </c>
      <c r="J852" s="10">
        <v>45827</v>
      </c>
      <c r="K852" s="9" t="s">
        <v>45</v>
      </c>
      <c r="L852" s="9" t="s">
        <v>32</v>
      </c>
      <c r="M852" s="9">
        <v>3692.43</v>
      </c>
    </row>
    <row r="853" spans="1:13" x14ac:dyDescent="0.35">
      <c r="A853" s="9">
        <v>3060</v>
      </c>
      <c r="B853" s="9" t="s">
        <v>28</v>
      </c>
      <c r="C853" s="9" t="s">
        <v>20</v>
      </c>
      <c r="D853" s="9" t="s">
        <v>66</v>
      </c>
      <c r="E853" s="9" t="s">
        <v>60</v>
      </c>
      <c r="F853" s="9">
        <v>0</v>
      </c>
      <c r="G853" s="9">
        <v>0</v>
      </c>
      <c r="H853" s="9">
        <v>0</v>
      </c>
      <c r="I853" s="9">
        <v>0</v>
      </c>
      <c r="J853" s="10">
        <v>45544</v>
      </c>
      <c r="K853" s="9" t="s">
        <v>44</v>
      </c>
      <c r="L853" s="9" t="s">
        <v>25</v>
      </c>
      <c r="M853" s="9">
        <v>-1137.29</v>
      </c>
    </row>
    <row r="854" spans="1:13" x14ac:dyDescent="0.35">
      <c r="A854" s="9">
        <v>3061</v>
      </c>
      <c r="B854" s="9" t="s">
        <v>34</v>
      </c>
      <c r="C854" s="9" t="s">
        <v>20</v>
      </c>
      <c r="D854" s="9" t="s">
        <v>70</v>
      </c>
      <c r="E854" s="9" t="s">
        <v>62</v>
      </c>
      <c r="F854" s="9">
        <v>0</v>
      </c>
      <c r="G854" s="9">
        <v>0</v>
      </c>
      <c r="H854" s="9">
        <v>0</v>
      </c>
      <c r="I854" s="9">
        <v>0</v>
      </c>
      <c r="J854" s="10">
        <v>45544</v>
      </c>
      <c r="K854" s="9" t="s">
        <v>44</v>
      </c>
      <c r="L854" s="9" t="s">
        <v>26</v>
      </c>
      <c r="M854" s="9">
        <v>-549.04999999999995</v>
      </c>
    </row>
    <row r="855" spans="1:13" x14ac:dyDescent="0.35">
      <c r="A855" s="9">
        <v>3063</v>
      </c>
      <c r="B855" s="9" t="s">
        <v>34</v>
      </c>
      <c r="C855" s="9" t="s">
        <v>20</v>
      </c>
      <c r="D855" s="9" t="s">
        <v>43</v>
      </c>
      <c r="E855" s="9" t="s">
        <v>59</v>
      </c>
      <c r="F855" s="9">
        <v>2</v>
      </c>
      <c r="G855" s="9">
        <v>9676.61</v>
      </c>
      <c r="H855" s="9">
        <v>0</v>
      </c>
      <c r="I855" s="9">
        <v>0</v>
      </c>
      <c r="J855" s="10">
        <v>45767</v>
      </c>
      <c r="K855" s="9" t="s">
        <v>45</v>
      </c>
      <c r="L855" s="9" t="s">
        <v>26</v>
      </c>
      <c r="M855" s="9">
        <v>3674.74</v>
      </c>
    </row>
    <row r="856" spans="1:13" x14ac:dyDescent="0.35">
      <c r="A856" s="9">
        <v>3065</v>
      </c>
      <c r="B856" s="9" t="s">
        <v>28</v>
      </c>
      <c r="C856" s="9" t="s">
        <v>20</v>
      </c>
      <c r="D856" s="9" t="s">
        <v>66</v>
      </c>
      <c r="E856" s="9" t="s">
        <v>59</v>
      </c>
      <c r="F856" s="9">
        <v>0</v>
      </c>
      <c r="G856" s="9">
        <v>0</v>
      </c>
      <c r="H856" s="9">
        <v>0</v>
      </c>
      <c r="I856" s="9">
        <v>0</v>
      </c>
      <c r="J856" s="10">
        <v>45767</v>
      </c>
      <c r="K856" s="9" t="s">
        <v>45</v>
      </c>
      <c r="L856" s="9" t="s">
        <v>27</v>
      </c>
      <c r="M856" s="9">
        <v>3909.92</v>
      </c>
    </row>
    <row r="857" spans="1:13" x14ac:dyDescent="0.35">
      <c r="A857" s="9">
        <v>3066</v>
      </c>
      <c r="B857" s="9" t="s">
        <v>34</v>
      </c>
      <c r="C857" s="9" t="s">
        <v>18</v>
      </c>
      <c r="D857" s="9" t="s">
        <v>38</v>
      </c>
      <c r="E857" s="9" t="s">
        <v>60</v>
      </c>
      <c r="F857" s="9">
        <v>0</v>
      </c>
      <c r="G857" s="9">
        <v>0</v>
      </c>
      <c r="H857" s="9">
        <v>0</v>
      </c>
      <c r="I857" s="9">
        <v>0</v>
      </c>
      <c r="J857" s="10">
        <v>45352</v>
      </c>
      <c r="K857" s="9" t="s">
        <v>45</v>
      </c>
      <c r="L857" s="9" t="s">
        <v>26</v>
      </c>
      <c r="M857" s="9">
        <v>1383.01</v>
      </c>
    </row>
    <row r="858" spans="1:13" x14ac:dyDescent="0.35">
      <c r="A858" s="9">
        <v>3067</v>
      </c>
      <c r="B858" s="9" t="s">
        <v>31</v>
      </c>
      <c r="C858" s="9" t="s">
        <v>21</v>
      </c>
      <c r="D858" s="9" t="s">
        <v>36</v>
      </c>
      <c r="E858" s="9" t="s">
        <v>59</v>
      </c>
      <c r="F858" s="9">
        <v>4</v>
      </c>
      <c r="G858" s="9">
        <v>0</v>
      </c>
      <c r="H858" s="9">
        <v>0</v>
      </c>
      <c r="I858" s="9">
        <v>0</v>
      </c>
      <c r="J858" s="10">
        <v>45356</v>
      </c>
      <c r="K858" s="9" t="s">
        <v>44</v>
      </c>
      <c r="L858" s="9" t="s">
        <v>32</v>
      </c>
      <c r="M858" s="9">
        <v>1939.56</v>
      </c>
    </row>
    <row r="859" spans="1:13" x14ac:dyDescent="0.35">
      <c r="A859" s="9">
        <v>3068</v>
      </c>
      <c r="B859" s="9" t="s">
        <v>34</v>
      </c>
      <c r="C859" s="9" t="s">
        <v>21</v>
      </c>
      <c r="D859" s="9" t="s">
        <v>40</v>
      </c>
      <c r="E859" s="9" t="s">
        <v>60</v>
      </c>
      <c r="F859" s="9">
        <v>4</v>
      </c>
      <c r="G859" s="9">
        <v>4867.07</v>
      </c>
      <c r="H859" s="9">
        <v>1.21</v>
      </c>
      <c r="I859" s="9">
        <v>-4088.34</v>
      </c>
      <c r="J859" s="10">
        <v>45802</v>
      </c>
      <c r="K859" s="9" t="s">
        <v>45</v>
      </c>
      <c r="L859" s="9" t="s">
        <v>29</v>
      </c>
      <c r="M859" s="9">
        <v>2863.56</v>
      </c>
    </row>
    <row r="860" spans="1:13" x14ac:dyDescent="0.35">
      <c r="A860" s="9">
        <v>3069</v>
      </c>
      <c r="B860" s="9" t="s">
        <v>31</v>
      </c>
      <c r="C860" s="9" t="s">
        <v>18</v>
      </c>
      <c r="D860" s="9" t="s">
        <v>41</v>
      </c>
      <c r="E860" s="9" t="s">
        <v>60</v>
      </c>
      <c r="F860" s="9">
        <v>1</v>
      </c>
      <c r="G860" s="9">
        <v>0</v>
      </c>
      <c r="H860" s="9">
        <v>1.23</v>
      </c>
      <c r="I860" s="9">
        <v>0</v>
      </c>
      <c r="J860" s="10">
        <v>45760</v>
      </c>
      <c r="K860" s="9" t="s">
        <v>45</v>
      </c>
      <c r="L860" s="9" t="s">
        <v>32</v>
      </c>
      <c r="M860" s="9">
        <v>-6.91</v>
      </c>
    </row>
    <row r="861" spans="1:13" x14ac:dyDescent="0.35">
      <c r="A861" s="9">
        <v>3070</v>
      </c>
      <c r="B861" s="9" t="s">
        <v>28</v>
      </c>
      <c r="C861" s="9" t="s">
        <v>20</v>
      </c>
      <c r="D861" s="9" t="s">
        <v>43</v>
      </c>
      <c r="E861" s="9" t="s">
        <v>59</v>
      </c>
      <c r="F861" s="9">
        <v>0</v>
      </c>
      <c r="G861" s="9">
        <v>6737.19</v>
      </c>
      <c r="H861" s="9">
        <v>1.02</v>
      </c>
      <c r="I861" s="9">
        <v>0</v>
      </c>
      <c r="J861" s="10">
        <v>45760</v>
      </c>
      <c r="K861" s="9" t="s">
        <v>45</v>
      </c>
      <c r="L861" s="9" t="s">
        <v>32</v>
      </c>
      <c r="M861" s="9">
        <v>2150.16</v>
      </c>
    </row>
    <row r="862" spans="1:13" x14ac:dyDescent="0.35">
      <c r="A862" s="9">
        <v>3072</v>
      </c>
      <c r="B862" s="9" t="s">
        <v>31</v>
      </c>
      <c r="C862" s="9" t="s">
        <v>18</v>
      </c>
      <c r="D862" s="9" t="s">
        <v>33</v>
      </c>
      <c r="E862" s="9" t="s">
        <v>59</v>
      </c>
      <c r="F862" s="9">
        <v>0</v>
      </c>
      <c r="G862" s="9">
        <v>0</v>
      </c>
      <c r="H862" s="9">
        <v>0</v>
      </c>
      <c r="I862" s="9">
        <v>0</v>
      </c>
      <c r="J862" s="10">
        <v>45530</v>
      </c>
      <c r="K862" s="9" t="s">
        <v>44</v>
      </c>
      <c r="L862" s="9" t="s">
        <v>26</v>
      </c>
      <c r="M862" s="9">
        <v>2621.5</v>
      </c>
    </row>
    <row r="863" spans="1:13" x14ac:dyDescent="0.35">
      <c r="A863" s="9">
        <v>3074</v>
      </c>
      <c r="B863" s="9" t="s">
        <v>28</v>
      </c>
      <c r="C863" s="9" t="s">
        <v>20</v>
      </c>
      <c r="D863" s="9" t="s">
        <v>66</v>
      </c>
      <c r="E863" s="9" t="s">
        <v>59</v>
      </c>
      <c r="F863" s="9">
        <v>0</v>
      </c>
      <c r="G863" s="9">
        <v>0</v>
      </c>
      <c r="H863" s="9">
        <v>0</v>
      </c>
      <c r="I863" s="9">
        <v>0</v>
      </c>
      <c r="J863" s="10">
        <v>45530</v>
      </c>
      <c r="K863" s="9" t="s">
        <v>45</v>
      </c>
      <c r="L863" s="9" t="s">
        <v>32</v>
      </c>
      <c r="M863" s="9">
        <v>1216.3399999999999</v>
      </c>
    </row>
    <row r="864" spans="1:13" x14ac:dyDescent="0.35">
      <c r="A864" s="9">
        <v>3075</v>
      </c>
      <c r="B864" s="9" t="s">
        <v>34</v>
      </c>
      <c r="C864" s="9" t="s">
        <v>19</v>
      </c>
      <c r="D864" s="9" t="s">
        <v>39</v>
      </c>
      <c r="E864" s="9" t="s">
        <v>60</v>
      </c>
      <c r="F864" s="9">
        <v>0</v>
      </c>
      <c r="G864" s="9">
        <v>0</v>
      </c>
      <c r="H864" s="9">
        <v>0.91</v>
      </c>
      <c r="I864" s="9">
        <v>0</v>
      </c>
      <c r="J864" s="10">
        <v>45805</v>
      </c>
      <c r="K864" s="9" t="s">
        <v>44</v>
      </c>
      <c r="L864" s="9" t="s">
        <v>26</v>
      </c>
      <c r="M864" s="9">
        <v>3594.94</v>
      </c>
    </row>
    <row r="865" spans="1:13" x14ac:dyDescent="0.35">
      <c r="A865" s="9">
        <v>2044</v>
      </c>
      <c r="B865" s="9" t="s">
        <v>34</v>
      </c>
      <c r="C865" s="9" t="s">
        <v>21</v>
      </c>
      <c r="D865" s="9" t="s">
        <v>36</v>
      </c>
      <c r="E865" s="9" t="s">
        <v>59</v>
      </c>
      <c r="F865" s="9">
        <v>0</v>
      </c>
      <c r="G865" s="9">
        <v>4032.43</v>
      </c>
      <c r="H865" s="9">
        <v>0</v>
      </c>
      <c r="I865" s="9">
        <v>0</v>
      </c>
      <c r="J865" s="10">
        <v>45805</v>
      </c>
      <c r="K865" s="9" t="s">
        <v>45</v>
      </c>
      <c r="L865" s="9" t="s">
        <v>32</v>
      </c>
      <c r="M865" s="9">
        <v>2059.4</v>
      </c>
    </row>
    <row r="866" spans="1:13" x14ac:dyDescent="0.35">
      <c r="A866" s="9">
        <v>3077</v>
      </c>
      <c r="B866" s="9" t="s">
        <v>31</v>
      </c>
      <c r="C866" s="9" t="s">
        <v>21</v>
      </c>
      <c r="D866" s="9" t="s">
        <v>71</v>
      </c>
      <c r="E866" s="9" t="s">
        <v>62</v>
      </c>
      <c r="F866" s="9">
        <v>0</v>
      </c>
      <c r="G866" s="9">
        <v>0</v>
      </c>
      <c r="H866" s="9">
        <v>0.46</v>
      </c>
      <c r="I866" s="9">
        <v>0</v>
      </c>
      <c r="J866" s="10">
        <v>45805</v>
      </c>
      <c r="K866" s="9" t="s">
        <v>45</v>
      </c>
      <c r="L866" s="9" t="s">
        <v>35</v>
      </c>
      <c r="M866" s="9">
        <v>3700.77</v>
      </c>
    </row>
    <row r="867" spans="1:13" x14ac:dyDescent="0.35">
      <c r="A867" s="9">
        <v>3078</v>
      </c>
      <c r="B867" s="9" t="s">
        <v>31</v>
      </c>
      <c r="C867" s="9" t="s">
        <v>20</v>
      </c>
      <c r="D867" s="9" t="s">
        <v>66</v>
      </c>
      <c r="E867" s="9" t="s">
        <v>59</v>
      </c>
      <c r="F867" s="9">
        <v>1</v>
      </c>
      <c r="G867" s="9">
        <v>2555.1799999999998</v>
      </c>
      <c r="H867" s="9">
        <v>0</v>
      </c>
      <c r="I867" s="9">
        <v>0</v>
      </c>
      <c r="J867" s="10">
        <v>45549</v>
      </c>
      <c r="K867" s="9" t="s">
        <v>45</v>
      </c>
      <c r="L867" s="9" t="s">
        <v>29</v>
      </c>
      <c r="M867" s="9">
        <v>1820.38</v>
      </c>
    </row>
    <row r="868" spans="1:13" x14ac:dyDescent="0.35">
      <c r="A868" s="9">
        <v>3079</v>
      </c>
      <c r="B868" s="9" t="s">
        <v>28</v>
      </c>
      <c r="C868" s="9" t="s">
        <v>20</v>
      </c>
      <c r="D868" s="9" t="s">
        <v>61</v>
      </c>
      <c r="E868" s="9" t="s">
        <v>60</v>
      </c>
      <c r="F868" s="9">
        <v>0</v>
      </c>
      <c r="G868" s="9">
        <v>0</v>
      </c>
      <c r="H868" s="9">
        <v>0</v>
      </c>
      <c r="I868" s="9">
        <v>0</v>
      </c>
      <c r="J868" s="10">
        <v>45301</v>
      </c>
      <c r="K868" s="9" t="s">
        <v>44</v>
      </c>
      <c r="L868" s="9" t="s">
        <v>25</v>
      </c>
      <c r="M868" s="9">
        <v>2815.43</v>
      </c>
    </row>
    <row r="869" spans="1:13" x14ac:dyDescent="0.35">
      <c r="A869" s="9">
        <v>3080</v>
      </c>
      <c r="B869" s="9" t="s">
        <v>34</v>
      </c>
      <c r="C869" s="9" t="s">
        <v>20</v>
      </c>
      <c r="D869" s="9" t="s">
        <v>43</v>
      </c>
      <c r="E869" s="9" t="s">
        <v>60</v>
      </c>
      <c r="F869" s="9">
        <v>4</v>
      </c>
      <c r="G869" s="9">
        <v>3317.71</v>
      </c>
      <c r="H869" s="9">
        <v>0</v>
      </c>
      <c r="I869" s="9">
        <v>0</v>
      </c>
      <c r="J869" s="10">
        <v>45301</v>
      </c>
      <c r="K869" s="9" t="s">
        <v>45</v>
      </c>
      <c r="L869" s="9" t="s">
        <v>32</v>
      </c>
      <c r="M869" s="9">
        <v>-198</v>
      </c>
    </row>
    <row r="870" spans="1:13" x14ac:dyDescent="0.35">
      <c r="A870" s="9">
        <v>3081</v>
      </c>
      <c r="B870" s="9" t="s">
        <v>34</v>
      </c>
      <c r="C870" s="9" t="s">
        <v>18</v>
      </c>
      <c r="D870" s="9" t="s">
        <v>33</v>
      </c>
      <c r="E870" s="9" t="s">
        <v>59</v>
      </c>
      <c r="F870" s="9">
        <v>0</v>
      </c>
      <c r="G870" s="9">
        <v>8442.39</v>
      </c>
      <c r="H870" s="9">
        <v>0</v>
      </c>
      <c r="I870" s="9">
        <v>0</v>
      </c>
      <c r="J870" s="10">
        <v>45698</v>
      </c>
      <c r="K870" s="9" t="s">
        <v>44</v>
      </c>
      <c r="L870" s="9" t="s">
        <v>26</v>
      </c>
      <c r="M870" s="9">
        <v>3126.66</v>
      </c>
    </row>
    <row r="871" spans="1:13" x14ac:dyDescent="0.35">
      <c r="A871" s="9">
        <v>3082</v>
      </c>
      <c r="B871" s="9" t="s">
        <v>31</v>
      </c>
      <c r="C871" s="9" t="s">
        <v>18</v>
      </c>
      <c r="D871" s="9" t="s">
        <v>41</v>
      </c>
      <c r="E871" s="9" t="s">
        <v>60</v>
      </c>
      <c r="F871" s="9">
        <v>-1</v>
      </c>
      <c r="G871" s="9">
        <v>0</v>
      </c>
      <c r="H871" s="9">
        <v>0</v>
      </c>
      <c r="I871" s="9">
        <v>0</v>
      </c>
      <c r="J871" s="10">
        <v>45515</v>
      </c>
      <c r="K871" s="9" t="s">
        <v>45</v>
      </c>
      <c r="L871" s="9" t="s">
        <v>29</v>
      </c>
      <c r="M871" s="9">
        <v>-65.959999999999994</v>
      </c>
    </row>
    <row r="872" spans="1:13" x14ac:dyDescent="0.35">
      <c r="A872" s="9">
        <v>3083</v>
      </c>
      <c r="B872" s="9" t="s">
        <v>34</v>
      </c>
      <c r="C872" s="9" t="s">
        <v>18</v>
      </c>
      <c r="D872" s="9" t="s">
        <v>38</v>
      </c>
      <c r="E872" s="9" t="s">
        <v>62</v>
      </c>
      <c r="F872" s="9">
        <v>0</v>
      </c>
      <c r="G872" s="9">
        <v>8535.31</v>
      </c>
      <c r="H872" s="9">
        <v>0</v>
      </c>
      <c r="I872" s="9">
        <v>0</v>
      </c>
      <c r="J872" s="10">
        <v>45533</v>
      </c>
      <c r="K872" s="9" t="s">
        <v>44</v>
      </c>
      <c r="L872" s="9" t="s">
        <v>29</v>
      </c>
      <c r="M872" s="9">
        <v>1159.57</v>
      </c>
    </row>
    <row r="873" spans="1:13" x14ac:dyDescent="0.35">
      <c r="A873" s="9">
        <v>3084</v>
      </c>
      <c r="B873" s="9" t="s">
        <v>28</v>
      </c>
      <c r="C873" s="9" t="s">
        <v>21</v>
      </c>
      <c r="D873" s="9" t="s">
        <v>36</v>
      </c>
      <c r="E873" s="9" t="s">
        <v>60</v>
      </c>
      <c r="F873" s="9">
        <v>0</v>
      </c>
      <c r="G873" s="9">
        <v>8955.52</v>
      </c>
      <c r="H873" s="9">
        <v>0</v>
      </c>
      <c r="I873" s="9">
        <v>0</v>
      </c>
      <c r="J873" s="10">
        <v>45533</v>
      </c>
      <c r="K873" s="9" t="s">
        <v>44</v>
      </c>
      <c r="L873" s="9" t="s">
        <v>35</v>
      </c>
      <c r="M873" s="9">
        <v>491.85</v>
      </c>
    </row>
    <row r="874" spans="1:13" x14ac:dyDescent="0.35">
      <c r="A874" s="9">
        <v>3085</v>
      </c>
      <c r="B874" s="9" t="s">
        <v>31</v>
      </c>
      <c r="C874" s="9" t="s">
        <v>19</v>
      </c>
      <c r="D874" s="9" t="s">
        <v>69</v>
      </c>
      <c r="E874" s="9" t="s">
        <v>60</v>
      </c>
      <c r="F874" s="9">
        <v>0</v>
      </c>
      <c r="G874" s="9">
        <v>0</v>
      </c>
      <c r="H874" s="9">
        <v>1.1599999999999999</v>
      </c>
      <c r="I874" s="9">
        <v>0</v>
      </c>
      <c r="J874" s="10">
        <v>45533</v>
      </c>
      <c r="K874" s="9" t="s">
        <v>45</v>
      </c>
      <c r="L874" s="9" t="s">
        <v>29</v>
      </c>
      <c r="M874" s="9">
        <v>2484.31</v>
      </c>
    </row>
    <row r="875" spans="1:13" x14ac:dyDescent="0.35">
      <c r="A875" s="9">
        <v>3086</v>
      </c>
      <c r="B875" s="9" t="s">
        <v>34</v>
      </c>
      <c r="C875" s="9" t="s">
        <v>22</v>
      </c>
      <c r="D875" s="9" t="s">
        <v>67</v>
      </c>
      <c r="E875" s="9" t="s">
        <v>59</v>
      </c>
      <c r="F875" s="9">
        <v>-1</v>
      </c>
      <c r="G875" s="9">
        <v>0</v>
      </c>
      <c r="H875" s="9">
        <v>1.2</v>
      </c>
      <c r="I875" s="9">
        <v>0</v>
      </c>
      <c r="J875" s="10">
        <v>45533</v>
      </c>
      <c r="K875" s="9" t="s">
        <v>44</v>
      </c>
      <c r="L875" s="9" t="s">
        <v>25</v>
      </c>
      <c r="M875" s="9">
        <v>-592.41</v>
      </c>
    </row>
    <row r="876" spans="1:13" x14ac:dyDescent="0.35">
      <c r="A876" s="9">
        <v>3087</v>
      </c>
      <c r="B876" s="9" t="s">
        <v>34</v>
      </c>
      <c r="C876" s="9" t="s">
        <v>21</v>
      </c>
      <c r="D876" s="9" t="s">
        <v>64</v>
      </c>
      <c r="E876" s="9" t="s">
        <v>59</v>
      </c>
      <c r="F876" s="9">
        <v>3</v>
      </c>
      <c r="G876" s="9">
        <v>2765.77</v>
      </c>
      <c r="H876" s="9">
        <v>0</v>
      </c>
      <c r="I876" s="9">
        <v>0</v>
      </c>
      <c r="J876" s="10">
        <v>45665</v>
      </c>
      <c r="K876" s="9" t="s">
        <v>44</v>
      </c>
      <c r="L876" s="9" t="s">
        <v>25</v>
      </c>
      <c r="M876" s="9">
        <v>2785.94</v>
      </c>
    </row>
    <row r="877" spans="1:13" x14ac:dyDescent="0.35">
      <c r="A877" s="9">
        <v>3088</v>
      </c>
      <c r="B877" s="9" t="s">
        <v>34</v>
      </c>
      <c r="C877" s="9" t="s">
        <v>18</v>
      </c>
      <c r="D877" s="9" t="s">
        <v>38</v>
      </c>
      <c r="E877" s="9" t="s">
        <v>62</v>
      </c>
      <c r="F877" s="9">
        <v>3</v>
      </c>
      <c r="G877" s="9">
        <v>0</v>
      </c>
      <c r="H877" s="9">
        <v>0</v>
      </c>
      <c r="I877" s="9">
        <v>0</v>
      </c>
      <c r="J877" s="10">
        <v>45665</v>
      </c>
      <c r="K877" s="9" t="s">
        <v>45</v>
      </c>
      <c r="L877" s="9" t="s">
        <v>29</v>
      </c>
      <c r="M877" s="9">
        <v>2418.7399999999998</v>
      </c>
    </row>
    <row r="878" spans="1:13" x14ac:dyDescent="0.35">
      <c r="A878" s="9">
        <v>3089</v>
      </c>
      <c r="B878" s="9" t="s">
        <v>28</v>
      </c>
      <c r="C878" s="9" t="s">
        <v>22</v>
      </c>
      <c r="D878" s="9" t="s">
        <v>68</v>
      </c>
      <c r="E878" s="9" t="s">
        <v>62</v>
      </c>
      <c r="F878" s="9">
        <v>0</v>
      </c>
      <c r="G878" s="9">
        <v>8399.35</v>
      </c>
      <c r="H878" s="9">
        <v>0</v>
      </c>
      <c r="I878" s="9">
        <v>0</v>
      </c>
      <c r="J878" s="10">
        <v>45808</v>
      </c>
      <c r="K878" s="9" t="s">
        <v>45</v>
      </c>
      <c r="L878" s="9" t="s">
        <v>26</v>
      </c>
      <c r="M878" s="9">
        <v>2967.22</v>
      </c>
    </row>
    <row r="879" spans="1:13" x14ac:dyDescent="0.35">
      <c r="A879" s="9">
        <v>3092</v>
      </c>
      <c r="B879" s="9" t="s">
        <v>34</v>
      </c>
      <c r="C879" s="9" t="s">
        <v>18</v>
      </c>
      <c r="D879" s="9" t="s">
        <v>41</v>
      </c>
      <c r="E879" s="9" t="s">
        <v>60</v>
      </c>
      <c r="F879" s="9">
        <v>0</v>
      </c>
      <c r="G879" s="9">
        <v>3005.37</v>
      </c>
      <c r="H879" s="9">
        <v>0</v>
      </c>
      <c r="I879" s="9">
        <v>0</v>
      </c>
      <c r="J879" s="10">
        <v>45725</v>
      </c>
      <c r="K879" s="9" t="s">
        <v>44</v>
      </c>
      <c r="L879" s="9" t="s">
        <v>27</v>
      </c>
      <c r="M879" s="9">
        <v>-288.77</v>
      </c>
    </row>
    <row r="880" spans="1:13" x14ac:dyDescent="0.35">
      <c r="A880" s="9">
        <v>3093</v>
      </c>
      <c r="B880" s="9" t="s">
        <v>28</v>
      </c>
      <c r="C880" s="9" t="s">
        <v>19</v>
      </c>
      <c r="D880" s="9" t="s">
        <v>42</v>
      </c>
      <c r="E880" s="9" t="s">
        <v>59</v>
      </c>
      <c r="F880" s="9">
        <v>3</v>
      </c>
      <c r="G880" s="9">
        <v>0</v>
      </c>
      <c r="H880" s="9">
        <v>0</v>
      </c>
      <c r="I880" s="9">
        <v>0</v>
      </c>
      <c r="J880" s="10">
        <v>45837</v>
      </c>
      <c r="K880" s="9" t="s">
        <v>44</v>
      </c>
      <c r="L880" s="9" t="s">
        <v>27</v>
      </c>
      <c r="M880" s="9">
        <v>28.77</v>
      </c>
    </row>
    <row r="881" spans="1:13" x14ac:dyDescent="0.35">
      <c r="A881" s="9">
        <v>3095</v>
      </c>
      <c r="B881" s="9" t="s">
        <v>31</v>
      </c>
      <c r="C881" s="9" t="s">
        <v>20</v>
      </c>
      <c r="D881" s="9" t="s">
        <v>66</v>
      </c>
      <c r="E881" s="9" t="s">
        <v>60</v>
      </c>
      <c r="F881" s="9">
        <v>0</v>
      </c>
      <c r="G881" s="9">
        <v>9297.64</v>
      </c>
      <c r="H881" s="9">
        <v>0.16</v>
      </c>
      <c r="I881" s="9">
        <v>0</v>
      </c>
      <c r="J881" s="10">
        <v>45704</v>
      </c>
      <c r="K881" s="9" t="s">
        <v>44</v>
      </c>
      <c r="L881" s="9" t="s">
        <v>29</v>
      </c>
      <c r="M881" s="9">
        <v>36.700000000000003</v>
      </c>
    </row>
    <row r="882" spans="1:13" x14ac:dyDescent="0.35">
      <c r="A882" s="9">
        <v>3097</v>
      </c>
      <c r="B882" s="9" t="s">
        <v>31</v>
      </c>
      <c r="C882" s="9" t="s">
        <v>21</v>
      </c>
      <c r="D882" s="9" t="s">
        <v>36</v>
      </c>
      <c r="E882" s="9" t="s">
        <v>60</v>
      </c>
      <c r="F882" s="9">
        <v>0</v>
      </c>
      <c r="G882" s="9">
        <v>0</v>
      </c>
      <c r="H882" s="9">
        <v>0.5</v>
      </c>
      <c r="I882" s="9">
        <v>0</v>
      </c>
      <c r="J882" s="10">
        <v>45681</v>
      </c>
      <c r="K882" s="9" t="s">
        <v>45</v>
      </c>
      <c r="L882" s="9" t="s">
        <v>32</v>
      </c>
      <c r="M882" s="9">
        <v>3419.32</v>
      </c>
    </row>
    <row r="883" spans="1:13" x14ac:dyDescent="0.35">
      <c r="A883" s="9">
        <v>3098</v>
      </c>
      <c r="B883" s="9" t="s">
        <v>28</v>
      </c>
      <c r="C883" s="9" t="s">
        <v>22</v>
      </c>
      <c r="D883" s="9" t="s">
        <v>67</v>
      </c>
      <c r="E883" s="9" t="s">
        <v>59</v>
      </c>
      <c r="F883" s="9">
        <v>0</v>
      </c>
      <c r="G883" s="9">
        <v>5562.46</v>
      </c>
      <c r="H883" s="9">
        <v>0</v>
      </c>
      <c r="I883" s="9">
        <v>0</v>
      </c>
      <c r="J883" s="10">
        <v>45761</v>
      </c>
      <c r="K883" s="9" t="s">
        <v>44</v>
      </c>
      <c r="L883" s="9" t="s">
        <v>27</v>
      </c>
      <c r="M883" s="9">
        <v>1090.52</v>
      </c>
    </row>
    <row r="884" spans="1:13" x14ac:dyDescent="0.35">
      <c r="A884" s="9">
        <v>3099</v>
      </c>
      <c r="B884" s="9" t="s">
        <v>28</v>
      </c>
      <c r="C884" s="9" t="s">
        <v>21</v>
      </c>
      <c r="D884" s="9" t="s">
        <v>64</v>
      </c>
      <c r="E884" s="9" t="s">
        <v>60</v>
      </c>
      <c r="F884" s="9">
        <v>0</v>
      </c>
      <c r="G884" s="9">
        <v>8462.09</v>
      </c>
      <c r="H884" s="9">
        <v>0.08</v>
      </c>
      <c r="I884" s="9">
        <v>0</v>
      </c>
      <c r="J884" s="10">
        <v>45586</v>
      </c>
      <c r="K884" s="9" t="s">
        <v>45</v>
      </c>
      <c r="L884" s="9" t="s">
        <v>26</v>
      </c>
      <c r="M884" s="9">
        <v>1720.4</v>
      </c>
    </row>
    <row r="885" spans="1:13" x14ac:dyDescent="0.35">
      <c r="A885" s="9">
        <v>3100</v>
      </c>
      <c r="B885" s="9" t="s">
        <v>28</v>
      </c>
      <c r="C885" s="9" t="s">
        <v>18</v>
      </c>
      <c r="D885" s="9" t="s">
        <v>38</v>
      </c>
      <c r="E885" s="9" t="s">
        <v>59</v>
      </c>
      <c r="F885" s="9">
        <v>4</v>
      </c>
      <c r="G885" s="9">
        <v>0</v>
      </c>
      <c r="H885" s="9">
        <v>0.97</v>
      </c>
      <c r="I885" s="9">
        <v>0</v>
      </c>
      <c r="J885" s="10">
        <v>45838</v>
      </c>
      <c r="K885" s="9" t="s">
        <v>44</v>
      </c>
      <c r="L885" s="9" t="s">
        <v>26</v>
      </c>
      <c r="M885" s="9">
        <v>1861.15</v>
      </c>
    </row>
    <row r="886" spans="1:13" x14ac:dyDescent="0.35">
      <c r="A886" s="9">
        <v>2021</v>
      </c>
      <c r="B886" s="9" t="s">
        <v>31</v>
      </c>
      <c r="C886" s="9" t="s">
        <v>21</v>
      </c>
      <c r="D886" s="9" t="s">
        <v>36</v>
      </c>
      <c r="E886" s="9" t="s">
        <v>59</v>
      </c>
      <c r="F886" s="9">
        <v>3</v>
      </c>
      <c r="G886" s="9">
        <v>3723.21</v>
      </c>
      <c r="H886" s="9">
        <v>0</v>
      </c>
      <c r="I886" s="9">
        <v>0</v>
      </c>
      <c r="J886" s="10">
        <v>45830</v>
      </c>
      <c r="K886" s="9" t="s">
        <v>45</v>
      </c>
      <c r="L886" s="9" t="s">
        <v>25</v>
      </c>
      <c r="M886" s="9">
        <v>-1133.4000000000001</v>
      </c>
    </row>
    <row r="887" spans="1:13" x14ac:dyDescent="0.35">
      <c r="A887" s="9">
        <v>3102</v>
      </c>
      <c r="B887" s="9" t="s">
        <v>34</v>
      </c>
      <c r="C887" s="9" t="s">
        <v>22</v>
      </c>
      <c r="D887" s="9" t="s">
        <v>30</v>
      </c>
      <c r="E887" s="9" t="s">
        <v>59</v>
      </c>
      <c r="F887" s="9">
        <v>0</v>
      </c>
      <c r="G887" s="9">
        <v>0</v>
      </c>
      <c r="H887" s="9">
        <v>0</v>
      </c>
      <c r="I887" s="9">
        <v>0</v>
      </c>
      <c r="J887" s="10">
        <v>45826</v>
      </c>
      <c r="K887" s="9" t="s">
        <v>44</v>
      </c>
      <c r="L887" s="9" t="s">
        <v>25</v>
      </c>
      <c r="M887" s="9">
        <v>-1117.98</v>
      </c>
    </row>
    <row r="888" spans="1:13" x14ac:dyDescent="0.35">
      <c r="A888" s="9">
        <v>3104</v>
      </c>
      <c r="B888" s="9" t="s">
        <v>31</v>
      </c>
      <c r="C888" s="9" t="s">
        <v>20</v>
      </c>
      <c r="D888" s="9" t="s">
        <v>66</v>
      </c>
      <c r="E888" s="9" t="s">
        <v>60</v>
      </c>
      <c r="F888" s="9">
        <v>0</v>
      </c>
      <c r="G888" s="9">
        <v>7734.26</v>
      </c>
      <c r="H888" s="9">
        <v>0.47</v>
      </c>
      <c r="I888" s="9">
        <v>0</v>
      </c>
      <c r="J888" s="10">
        <v>45697</v>
      </c>
      <c r="K888" s="9" t="s">
        <v>45</v>
      </c>
      <c r="L888" s="9" t="s">
        <v>25</v>
      </c>
      <c r="M888" s="9">
        <v>1921.82</v>
      </c>
    </row>
    <row r="889" spans="1:13" x14ac:dyDescent="0.35">
      <c r="A889" s="9">
        <v>3105</v>
      </c>
      <c r="B889" s="9" t="s">
        <v>28</v>
      </c>
      <c r="C889" s="9" t="s">
        <v>19</v>
      </c>
      <c r="D889" s="9" t="s">
        <v>69</v>
      </c>
      <c r="E889" s="9" t="s">
        <v>60</v>
      </c>
      <c r="F889" s="9">
        <v>4</v>
      </c>
      <c r="G889" s="9">
        <v>0</v>
      </c>
      <c r="H889" s="9">
        <v>0.56999999999999995</v>
      </c>
      <c r="I889" s="9">
        <v>0</v>
      </c>
      <c r="J889" s="10">
        <v>45626</v>
      </c>
      <c r="K889" s="9" t="s">
        <v>45</v>
      </c>
      <c r="L889" s="9" t="s">
        <v>35</v>
      </c>
      <c r="M889" s="9">
        <v>3176.71</v>
      </c>
    </row>
    <row r="890" spans="1:13" x14ac:dyDescent="0.35">
      <c r="A890" s="9">
        <v>3107</v>
      </c>
      <c r="B890" s="9" t="s">
        <v>31</v>
      </c>
      <c r="C890" s="9" t="s">
        <v>20</v>
      </c>
      <c r="D890" s="9" t="s">
        <v>70</v>
      </c>
      <c r="E890" s="9" t="s">
        <v>59</v>
      </c>
      <c r="F890" s="9">
        <v>0</v>
      </c>
      <c r="G890" s="9">
        <v>9572.44</v>
      </c>
      <c r="H890" s="9">
        <v>0</v>
      </c>
      <c r="I890" s="9">
        <v>0</v>
      </c>
      <c r="J890" s="10">
        <v>45724</v>
      </c>
      <c r="K890" s="9" t="s">
        <v>44</v>
      </c>
      <c r="L890" s="9" t="s">
        <v>32</v>
      </c>
      <c r="M890" s="9">
        <v>-694.97</v>
      </c>
    </row>
    <row r="891" spans="1:13" x14ac:dyDescent="0.35">
      <c r="A891" s="9">
        <v>3108</v>
      </c>
      <c r="B891" s="9" t="s">
        <v>34</v>
      </c>
      <c r="C891" s="9" t="s">
        <v>19</v>
      </c>
      <c r="D891" s="9" t="s">
        <v>69</v>
      </c>
      <c r="E891" s="9" t="s">
        <v>59</v>
      </c>
      <c r="F891" s="9">
        <v>-1</v>
      </c>
      <c r="G891" s="9">
        <v>0</v>
      </c>
      <c r="H891" s="9">
        <v>0.38</v>
      </c>
      <c r="I891" s="9">
        <v>0</v>
      </c>
      <c r="J891" s="10">
        <v>45642</v>
      </c>
      <c r="K891" s="9" t="s">
        <v>45</v>
      </c>
      <c r="L891" s="9" t="s">
        <v>26</v>
      </c>
      <c r="M891" s="9">
        <v>1350.25</v>
      </c>
    </row>
    <row r="892" spans="1:13" x14ac:dyDescent="0.35">
      <c r="A892" s="9">
        <v>3109</v>
      </c>
      <c r="B892" s="9" t="s">
        <v>31</v>
      </c>
      <c r="C892" s="9" t="s">
        <v>20</v>
      </c>
      <c r="D892" s="9" t="s">
        <v>61</v>
      </c>
      <c r="E892" s="9" t="s">
        <v>62</v>
      </c>
      <c r="F892" s="9">
        <v>0</v>
      </c>
      <c r="G892" s="9">
        <v>6323.74</v>
      </c>
      <c r="H892" s="9">
        <v>0.8</v>
      </c>
      <c r="I892" s="9">
        <v>0</v>
      </c>
      <c r="J892" s="10">
        <v>45642</v>
      </c>
      <c r="K892" s="9" t="s">
        <v>44</v>
      </c>
      <c r="L892" s="9" t="s">
        <v>27</v>
      </c>
      <c r="M892" s="9">
        <v>492.62</v>
      </c>
    </row>
    <row r="893" spans="1:13" x14ac:dyDescent="0.35">
      <c r="A893" s="9">
        <v>3110</v>
      </c>
      <c r="B893" s="9" t="s">
        <v>31</v>
      </c>
      <c r="C893" s="9" t="s">
        <v>20</v>
      </c>
      <c r="D893" s="9" t="s">
        <v>61</v>
      </c>
      <c r="E893" s="9" t="s">
        <v>60</v>
      </c>
      <c r="F893" s="9">
        <v>0</v>
      </c>
      <c r="G893" s="9">
        <v>8431.5499999999993</v>
      </c>
      <c r="H893" s="9">
        <v>0</v>
      </c>
      <c r="I893" s="9">
        <v>0</v>
      </c>
      <c r="J893" s="10">
        <v>45578</v>
      </c>
      <c r="K893" s="9" t="s">
        <v>44</v>
      </c>
      <c r="L893" s="9" t="s">
        <v>26</v>
      </c>
      <c r="M893" s="9">
        <v>3977.41</v>
      </c>
    </row>
    <row r="894" spans="1:13" x14ac:dyDescent="0.35">
      <c r="A894" s="9">
        <v>3111</v>
      </c>
      <c r="B894" s="9" t="s">
        <v>28</v>
      </c>
      <c r="C894" s="9" t="s">
        <v>22</v>
      </c>
      <c r="D894" s="9" t="s">
        <v>65</v>
      </c>
      <c r="E894" s="9" t="s">
        <v>62</v>
      </c>
      <c r="F894" s="9">
        <v>3</v>
      </c>
      <c r="G894" s="9">
        <v>0</v>
      </c>
      <c r="H894" s="9">
        <v>0</v>
      </c>
      <c r="I894" s="9">
        <v>0</v>
      </c>
      <c r="J894" s="10">
        <v>45578</v>
      </c>
      <c r="K894" s="9" t="s">
        <v>44</v>
      </c>
      <c r="L894" s="9" t="s">
        <v>32</v>
      </c>
      <c r="M894" s="9">
        <v>2732.23</v>
      </c>
    </row>
    <row r="895" spans="1:13" x14ac:dyDescent="0.35">
      <c r="A895" s="9">
        <v>3112</v>
      </c>
      <c r="B895" s="9" t="s">
        <v>31</v>
      </c>
      <c r="C895" s="9" t="s">
        <v>22</v>
      </c>
      <c r="D895" s="9" t="s">
        <v>67</v>
      </c>
      <c r="E895" s="9" t="s">
        <v>60</v>
      </c>
      <c r="F895" s="9">
        <v>1</v>
      </c>
      <c r="G895" s="9">
        <v>0</v>
      </c>
      <c r="H895" s="9">
        <v>0.49</v>
      </c>
      <c r="I895" s="9">
        <v>0</v>
      </c>
      <c r="J895" s="10">
        <v>45578</v>
      </c>
      <c r="K895" s="9" t="s">
        <v>44</v>
      </c>
      <c r="L895" s="9" t="s">
        <v>29</v>
      </c>
      <c r="M895" s="9">
        <v>-532.65</v>
      </c>
    </row>
    <row r="896" spans="1:13" x14ac:dyDescent="0.35">
      <c r="A896" s="9">
        <v>3113</v>
      </c>
      <c r="B896" s="9" t="s">
        <v>28</v>
      </c>
      <c r="C896" s="9" t="s">
        <v>19</v>
      </c>
      <c r="D896" s="9" t="s">
        <v>42</v>
      </c>
      <c r="E896" s="9" t="s">
        <v>59</v>
      </c>
      <c r="F896" s="9">
        <v>0</v>
      </c>
      <c r="G896" s="9">
        <v>0</v>
      </c>
      <c r="H896" s="9">
        <v>0</v>
      </c>
      <c r="I896" s="9">
        <v>0</v>
      </c>
      <c r="J896" s="10">
        <v>45578</v>
      </c>
      <c r="K896" s="9" t="s">
        <v>45</v>
      </c>
      <c r="L896" s="9" t="s">
        <v>25</v>
      </c>
      <c r="M896" s="9">
        <v>1328.68</v>
      </c>
    </row>
    <row r="897" spans="1:13" x14ac:dyDescent="0.35">
      <c r="A897" s="9">
        <v>3114</v>
      </c>
      <c r="B897" s="9" t="s">
        <v>28</v>
      </c>
      <c r="C897" s="9" t="s">
        <v>20</v>
      </c>
      <c r="D897" s="9" t="s">
        <v>61</v>
      </c>
      <c r="E897" s="9" t="s">
        <v>60</v>
      </c>
      <c r="F897" s="9">
        <v>1</v>
      </c>
      <c r="G897" s="9">
        <v>7627.37</v>
      </c>
      <c r="H897" s="9">
        <v>0</v>
      </c>
      <c r="I897" s="9">
        <v>0</v>
      </c>
      <c r="J897" s="10">
        <v>45743</v>
      </c>
      <c r="K897" s="9" t="s">
        <v>44</v>
      </c>
      <c r="L897" s="9" t="s">
        <v>25</v>
      </c>
      <c r="M897" s="9">
        <v>2752.18</v>
      </c>
    </row>
    <row r="898" spans="1:13" x14ac:dyDescent="0.35">
      <c r="A898" s="9">
        <v>3115</v>
      </c>
      <c r="B898" s="9" t="s">
        <v>31</v>
      </c>
      <c r="C898" s="9" t="s">
        <v>20</v>
      </c>
      <c r="D898" s="9" t="s">
        <v>61</v>
      </c>
      <c r="E898" s="9" t="s">
        <v>59</v>
      </c>
      <c r="F898" s="9">
        <v>4</v>
      </c>
      <c r="G898" s="9">
        <v>0</v>
      </c>
      <c r="H898" s="9">
        <v>0</v>
      </c>
      <c r="I898" s="9">
        <v>0</v>
      </c>
      <c r="J898" s="10">
        <v>45743</v>
      </c>
      <c r="K898" s="9" t="s">
        <v>44</v>
      </c>
      <c r="L898" s="9" t="s">
        <v>29</v>
      </c>
      <c r="M898" s="9">
        <v>693.29</v>
      </c>
    </row>
    <row r="899" spans="1:13" x14ac:dyDescent="0.35">
      <c r="A899" s="9">
        <v>3116</v>
      </c>
      <c r="B899" s="9" t="s">
        <v>34</v>
      </c>
      <c r="C899" s="9" t="s">
        <v>22</v>
      </c>
      <c r="D899" s="9" t="s">
        <v>68</v>
      </c>
      <c r="E899" s="9" t="s">
        <v>59</v>
      </c>
      <c r="F899" s="9">
        <v>3</v>
      </c>
      <c r="G899" s="9">
        <v>0</v>
      </c>
      <c r="H899" s="9">
        <v>0.06</v>
      </c>
      <c r="I899" s="9">
        <v>0</v>
      </c>
      <c r="J899" s="10">
        <v>45617</v>
      </c>
      <c r="K899" s="9" t="s">
        <v>44</v>
      </c>
      <c r="L899" s="9" t="s">
        <v>27</v>
      </c>
      <c r="M899" s="9">
        <v>-236.15</v>
      </c>
    </row>
    <row r="900" spans="1:13" x14ac:dyDescent="0.35">
      <c r="A900" s="9">
        <v>3117</v>
      </c>
      <c r="B900" s="9" t="s">
        <v>31</v>
      </c>
      <c r="C900" s="9" t="s">
        <v>22</v>
      </c>
      <c r="D900" s="9" t="s">
        <v>65</v>
      </c>
      <c r="E900" s="9" t="s">
        <v>59</v>
      </c>
      <c r="F900" s="9">
        <v>0</v>
      </c>
      <c r="G900" s="9">
        <v>6435.2</v>
      </c>
      <c r="H900" s="9">
        <v>0</v>
      </c>
      <c r="I900" s="9">
        <v>0</v>
      </c>
      <c r="J900" s="10">
        <v>45556</v>
      </c>
      <c r="K900" s="9" t="s">
        <v>44</v>
      </c>
      <c r="L900" s="9" t="s">
        <v>29</v>
      </c>
      <c r="M900" s="9">
        <v>-1181.06</v>
      </c>
    </row>
    <row r="901" spans="1:13" x14ac:dyDescent="0.35">
      <c r="A901" s="9">
        <v>3118</v>
      </c>
      <c r="B901" s="9" t="s">
        <v>34</v>
      </c>
      <c r="C901" s="9" t="s">
        <v>21</v>
      </c>
      <c r="D901" s="9" t="s">
        <v>40</v>
      </c>
      <c r="E901" s="9" t="s">
        <v>59</v>
      </c>
      <c r="F901" s="9">
        <v>0</v>
      </c>
      <c r="G901" s="9">
        <v>0</v>
      </c>
      <c r="H901" s="9">
        <v>0</v>
      </c>
      <c r="I901" s="9">
        <v>0</v>
      </c>
      <c r="J901" s="10">
        <v>45556</v>
      </c>
      <c r="K901" s="9" t="s">
        <v>45</v>
      </c>
      <c r="L901" s="9" t="s">
        <v>25</v>
      </c>
      <c r="M901" s="9">
        <v>2058.9899999999998</v>
      </c>
    </row>
    <row r="902" spans="1:13" x14ac:dyDescent="0.35">
      <c r="A902" s="9">
        <v>3120</v>
      </c>
      <c r="B902" s="9" t="s">
        <v>34</v>
      </c>
      <c r="C902" s="9" t="s">
        <v>22</v>
      </c>
      <c r="D902" s="9" t="s">
        <v>67</v>
      </c>
      <c r="E902" s="9" t="s">
        <v>62</v>
      </c>
      <c r="F902" s="9">
        <v>0</v>
      </c>
      <c r="G902" s="9">
        <v>8869.93</v>
      </c>
      <c r="H902" s="9">
        <v>0</v>
      </c>
      <c r="I902" s="9">
        <v>0</v>
      </c>
      <c r="J902" s="10">
        <v>45556</v>
      </c>
      <c r="K902" s="9" t="s">
        <v>44</v>
      </c>
      <c r="L902" s="9" t="s">
        <v>25</v>
      </c>
      <c r="M902" s="9">
        <v>551.46</v>
      </c>
    </row>
    <row r="903" spans="1:13" x14ac:dyDescent="0.35">
      <c r="A903" s="9">
        <v>3121</v>
      </c>
      <c r="B903" s="9" t="s">
        <v>34</v>
      </c>
      <c r="C903" s="9" t="s">
        <v>18</v>
      </c>
      <c r="D903" s="9" t="s">
        <v>33</v>
      </c>
      <c r="E903" s="9" t="s">
        <v>59</v>
      </c>
      <c r="F903" s="9">
        <v>0</v>
      </c>
      <c r="G903" s="9">
        <v>2514</v>
      </c>
      <c r="H903" s="9">
        <v>0.69</v>
      </c>
      <c r="I903" s="9">
        <v>0</v>
      </c>
      <c r="J903" s="10">
        <v>45722</v>
      </c>
      <c r="K903" s="9" t="s">
        <v>45</v>
      </c>
      <c r="L903" s="9" t="s">
        <v>27</v>
      </c>
      <c r="M903" s="9">
        <v>1345.4</v>
      </c>
    </row>
    <row r="904" spans="1:13" x14ac:dyDescent="0.35">
      <c r="A904" s="9">
        <v>3122</v>
      </c>
      <c r="B904" s="9" t="s">
        <v>28</v>
      </c>
      <c r="C904" s="9" t="s">
        <v>22</v>
      </c>
      <c r="D904" s="9" t="s">
        <v>65</v>
      </c>
      <c r="E904" s="9" t="s">
        <v>59</v>
      </c>
      <c r="F904" s="9">
        <v>1</v>
      </c>
      <c r="G904" s="9">
        <v>5835.6</v>
      </c>
      <c r="H904" s="9">
        <v>1.04</v>
      </c>
      <c r="I904" s="9">
        <v>-233.42</v>
      </c>
      <c r="J904" s="10">
        <v>45722</v>
      </c>
      <c r="K904" s="9" t="s">
        <v>45</v>
      </c>
      <c r="L904" s="9" t="s">
        <v>27</v>
      </c>
      <c r="M904" s="9">
        <v>-1197.5999999999999</v>
      </c>
    </row>
    <row r="905" spans="1:13" x14ac:dyDescent="0.35">
      <c r="A905" s="9">
        <v>3123</v>
      </c>
      <c r="B905" s="9" t="s">
        <v>34</v>
      </c>
      <c r="C905" s="9" t="s">
        <v>20</v>
      </c>
      <c r="D905" s="9" t="s">
        <v>66</v>
      </c>
      <c r="E905" s="9" t="s">
        <v>60</v>
      </c>
      <c r="F905" s="9">
        <v>0</v>
      </c>
      <c r="G905" s="9">
        <v>9804.7800000000007</v>
      </c>
      <c r="H905" s="9">
        <v>0</v>
      </c>
      <c r="I905" s="9">
        <v>0</v>
      </c>
      <c r="J905" s="10">
        <v>45803</v>
      </c>
      <c r="K905" s="9" t="s">
        <v>45</v>
      </c>
      <c r="L905" s="9" t="s">
        <v>35</v>
      </c>
      <c r="M905" s="9">
        <v>-965.5</v>
      </c>
    </row>
    <row r="906" spans="1:13" x14ac:dyDescent="0.35">
      <c r="A906" s="9">
        <v>3125</v>
      </c>
      <c r="B906" s="9" t="s">
        <v>34</v>
      </c>
      <c r="C906" s="9" t="s">
        <v>19</v>
      </c>
      <c r="D906" s="9" t="s">
        <v>69</v>
      </c>
      <c r="E906" s="9" t="s">
        <v>62</v>
      </c>
      <c r="F906" s="9">
        <v>2</v>
      </c>
      <c r="G906" s="9">
        <v>0</v>
      </c>
      <c r="H906" s="9">
        <v>0.7</v>
      </c>
      <c r="I906" s="9">
        <v>0</v>
      </c>
      <c r="J906" s="10">
        <v>45726</v>
      </c>
      <c r="K906" s="9" t="s">
        <v>45</v>
      </c>
      <c r="L906" s="9" t="s">
        <v>25</v>
      </c>
      <c r="M906" s="9">
        <v>1561.59</v>
      </c>
    </row>
    <row r="907" spans="1:13" x14ac:dyDescent="0.35">
      <c r="A907" s="9">
        <v>3127</v>
      </c>
      <c r="B907" s="9" t="s">
        <v>31</v>
      </c>
      <c r="C907" s="9" t="s">
        <v>18</v>
      </c>
      <c r="D907" s="9" t="s">
        <v>38</v>
      </c>
      <c r="E907" s="9" t="s">
        <v>62</v>
      </c>
      <c r="F907" s="9">
        <v>1</v>
      </c>
      <c r="G907" s="9">
        <v>4614.33</v>
      </c>
      <c r="H907" s="9">
        <v>0.47</v>
      </c>
      <c r="I907" s="9">
        <v>2445.59</v>
      </c>
      <c r="J907" s="10">
        <v>45572</v>
      </c>
      <c r="K907" s="9" t="s">
        <v>45</v>
      </c>
      <c r="L907" s="9" t="s">
        <v>35</v>
      </c>
      <c r="M907" s="9">
        <v>-440.44</v>
      </c>
    </row>
    <row r="908" spans="1:13" x14ac:dyDescent="0.35">
      <c r="A908" s="9">
        <v>3128</v>
      </c>
      <c r="B908" s="9" t="s">
        <v>31</v>
      </c>
      <c r="C908" s="9" t="s">
        <v>20</v>
      </c>
      <c r="D908" s="9" t="s">
        <v>43</v>
      </c>
      <c r="E908" s="9" t="s">
        <v>59</v>
      </c>
      <c r="F908" s="9">
        <v>0</v>
      </c>
      <c r="G908" s="9">
        <v>0</v>
      </c>
      <c r="H908" s="9">
        <v>0</v>
      </c>
      <c r="I908" s="9">
        <v>0</v>
      </c>
      <c r="J908" s="10">
        <v>45572</v>
      </c>
      <c r="K908" s="9" t="s">
        <v>44</v>
      </c>
      <c r="L908" s="9" t="s">
        <v>27</v>
      </c>
      <c r="M908" s="9">
        <v>2219.8200000000002</v>
      </c>
    </row>
    <row r="909" spans="1:13" x14ac:dyDescent="0.35">
      <c r="A909" s="9">
        <v>3129</v>
      </c>
      <c r="B909" s="9" t="s">
        <v>34</v>
      </c>
      <c r="C909" s="9" t="s">
        <v>22</v>
      </c>
      <c r="D909" s="9" t="s">
        <v>67</v>
      </c>
      <c r="E909" s="9" t="s">
        <v>62</v>
      </c>
      <c r="F909" s="9">
        <v>0</v>
      </c>
      <c r="G909" s="9">
        <v>5732.66</v>
      </c>
      <c r="H909" s="9">
        <v>0</v>
      </c>
      <c r="I909" s="9">
        <v>0</v>
      </c>
      <c r="J909" s="10">
        <v>45321</v>
      </c>
      <c r="K909" s="9" t="s">
        <v>44</v>
      </c>
      <c r="L909" s="9" t="s">
        <v>29</v>
      </c>
      <c r="M909" s="9">
        <v>3187.59</v>
      </c>
    </row>
    <row r="910" spans="1:13" x14ac:dyDescent="0.35">
      <c r="A910" s="9">
        <v>3130</v>
      </c>
      <c r="B910" s="9" t="s">
        <v>31</v>
      </c>
      <c r="C910" s="9" t="s">
        <v>22</v>
      </c>
      <c r="D910" s="9" t="s">
        <v>65</v>
      </c>
      <c r="E910" s="9" t="s">
        <v>62</v>
      </c>
      <c r="F910" s="9">
        <v>0</v>
      </c>
      <c r="G910" s="9">
        <v>3015.02</v>
      </c>
      <c r="H910" s="9">
        <v>0</v>
      </c>
      <c r="I910" s="9">
        <v>0</v>
      </c>
      <c r="J910" s="10">
        <v>45793</v>
      </c>
      <c r="K910" s="9" t="s">
        <v>45</v>
      </c>
      <c r="L910" s="9" t="s">
        <v>35</v>
      </c>
      <c r="M910" s="9">
        <v>2868.91</v>
      </c>
    </row>
    <row r="911" spans="1:13" x14ac:dyDescent="0.35">
      <c r="A911" s="9">
        <v>3131</v>
      </c>
      <c r="B911" s="9" t="s">
        <v>34</v>
      </c>
      <c r="C911" s="9" t="s">
        <v>18</v>
      </c>
      <c r="D911" s="9" t="s">
        <v>37</v>
      </c>
      <c r="E911" s="9" t="s">
        <v>59</v>
      </c>
      <c r="F911" s="9">
        <v>0</v>
      </c>
      <c r="G911" s="9">
        <v>5171.4399999999996</v>
      </c>
      <c r="H911" s="9">
        <v>0.33</v>
      </c>
      <c r="I911" s="9">
        <v>0</v>
      </c>
      <c r="J911" s="10">
        <v>45804</v>
      </c>
      <c r="K911" s="9" t="s">
        <v>45</v>
      </c>
      <c r="L911" s="9" t="s">
        <v>35</v>
      </c>
      <c r="M911" s="9">
        <v>634.64</v>
      </c>
    </row>
    <row r="912" spans="1:13" x14ac:dyDescent="0.35">
      <c r="A912" s="9">
        <v>3133</v>
      </c>
      <c r="B912" s="9" t="s">
        <v>34</v>
      </c>
      <c r="C912" s="9" t="s">
        <v>19</v>
      </c>
      <c r="D912" s="9" t="s">
        <v>63</v>
      </c>
      <c r="E912" s="9" t="s">
        <v>60</v>
      </c>
      <c r="F912" s="9">
        <v>0</v>
      </c>
      <c r="G912" s="9">
        <v>0</v>
      </c>
      <c r="H912" s="9">
        <v>0.77</v>
      </c>
      <c r="I912" s="9">
        <v>0</v>
      </c>
      <c r="J912" s="10">
        <v>45397</v>
      </c>
      <c r="K912" s="9" t="s">
        <v>44</v>
      </c>
      <c r="L912" s="9" t="s">
        <v>29</v>
      </c>
      <c r="M912" s="9">
        <v>88.55</v>
      </c>
    </row>
    <row r="913" spans="1:13" x14ac:dyDescent="0.35">
      <c r="A913" s="9">
        <v>3134</v>
      </c>
      <c r="B913" s="9" t="s">
        <v>31</v>
      </c>
      <c r="C913" s="9" t="s">
        <v>22</v>
      </c>
      <c r="D913" s="9" t="s">
        <v>65</v>
      </c>
      <c r="E913" s="9" t="s">
        <v>60</v>
      </c>
      <c r="F913" s="9">
        <v>0</v>
      </c>
      <c r="G913" s="9">
        <v>0</v>
      </c>
      <c r="H913" s="9">
        <v>0.19</v>
      </c>
      <c r="I913" s="9">
        <v>0</v>
      </c>
      <c r="J913" s="10">
        <v>45791</v>
      </c>
      <c r="K913" s="9" t="s">
        <v>44</v>
      </c>
      <c r="L913" s="9" t="s">
        <v>29</v>
      </c>
      <c r="M913" s="9">
        <v>31.3</v>
      </c>
    </row>
    <row r="914" spans="1:13" x14ac:dyDescent="0.35">
      <c r="A914" s="9">
        <v>3135</v>
      </c>
      <c r="B914" s="9" t="s">
        <v>28</v>
      </c>
      <c r="C914" s="9" t="s">
        <v>19</v>
      </c>
      <c r="D914" s="9" t="s">
        <v>63</v>
      </c>
      <c r="E914" s="9" t="s">
        <v>62</v>
      </c>
      <c r="F914" s="9">
        <v>3</v>
      </c>
      <c r="G914" s="9">
        <v>4009.47</v>
      </c>
      <c r="H914" s="9">
        <v>1.21</v>
      </c>
      <c r="I914" s="9">
        <v>-2525.9699999999998</v>
      </c>
      <c r="J914" s="10">
        <v>45532</v>
      </c>
      <c r="K914" s="9" t="s">
        <v>45</v>
      </c>
      <c r="L914" s="9" t="s">
        <v>35</v>
      </c>
      <c r="M914" s="9">
        <v>2434.87</v>
      </c>
    </row>
    <row r="915" spans="1:13" x14ac:dyDescent="0.35">
      <c r="A915" s="9">
        <v>3138</v>
      </c>
      <c r="B915" s="9" t="s">
        <v>34</v>
      </c>
      <c r="C915" s="9" t="s">
        <v>21</v>
      </c>
      <c r="D915" s="9" t="s">
        <v>36</v>
      </c>
      <c r="E915" s="9" t="s">
        <v>60</v>
      </c>
      <c r="F915" s="9">
        <v>0</v>
      </c>
      <c r="G915" s="9">
        <v>3911.84</v>
      </c>
      <c r="H915" s="9">
        <v>0.42</v>
      </c>
      <c r="I915" s="9">
        <v>0</v>
      </c>
      <c r="J915" s="10">
        <v>45605</v>
      </c>
      <c r="K915" s="9" t="s">
        <v>45</v>
      </c>
      <c r="L915" s="9" t="s">
        <v>32</v>
      </c>
      <c r="M915" s="9">
        <v>3601.48</v>
      </c>
    </row>
    <row r="916" spans="1:13" x14ac:dyDescent="0.35">
      <c r="A916" s="9">
        <v>3139</v>
      </c>
      <c r="B916" s="9" t="s">
        <v>34</v>
      </c>
      <c r="C916" s="9" t="s">
        <v>21</v>
      </c>
      <c r="D916" s="9" t="s">
        <v>36</v>
      </c>
      <c r="E916" s="9" t="s">
        <v>62</v>
      </c>
      <c r="F916" s="9">
        <v>0</v>
      </c>
      <c r="G916" s="9">
        <v>9682.4599999999991</v>
      </c>
      <c r="H916" s="9">
        <v>0</v>
      </c>
      <c r="I916" s="9">
        <v>0</v>
      </c>
      <c r="J916" s="10">
        <v>45605</v>
      </c>
      <c r="K916" s="9" t="s">
        <v>45</v>
      </c>
      <c r="L916" s="9" t="s">
        <v>25</v>
      </c>
      <c r="M916" s="9">
        <v>3095.64</v>
      </c>
    </row>
    <row r="917" spans="1:13" x14ac:dyDescent="0.35">
      <c r="A917" s="9">
        <v>3140</v>
      </c>
      <c r="B917" s="9" t="s">
        <v>28</v>
      </c>
      <c r="C917" s="9" t="s">
        <v>21</v>
      </c>
      <c r="D917" s="9" t="s">
        <v>36</v>
      </c>
      <c r="E917" s="9" t="s">
        <v>60</v>
      </c>
      <c r="F917" s="9">
        <v>0</v>
      </c>
      <c r="G917" s="9">
        <v>0</v>
      </c>
      <c r="H917" s="9">
        <v>1.03</v>
      </c>
      <c r="I917" s="9">
        <v>0</v>
      </c>
      <c r="J917" s="10">
        <v>45249</v>
      </c>
      <c r="K917" s="9" t="s">
        <v>44</v>
      </c>
      <c r="L917" s="9" t="s">
        <v>25</v>
      </c>
      <c r="M917" s="9">
        <v>3855.21</v>
      </c>
    </row>
    <row r="918" spans="1:13" x14ac:dyDescent="0.35">
      <c r="A918" s="9">
        <v>3141</v>
      </c>
      <c r="B918" s="9" t="s">
        <v>28</v>
      </c>
      <c r="C918" s="9" t="s">
        <v>18</v>
      </c>
      <c r="D918" s="9" t="s">
        <v>38</v>
      </c>
      <c r="E918" s="9" t="s">
        <v>59</v>
      </c>
      <c r="F918" s="9">
        <v>-1</v>
      </c>
      <c r="G918" s="9">
        <v>0</v>
      </c>
      <c r="H918" s="9">
        <v>0</v>
      </c>
      <c r="I918" s="9">
        <v>0</v>
      </c>
      <c r="J918" s="10">
        <v>45249</v>
      </c>
      <c r="K918" s="9" t="s">
        <v>44</v>
      </c>
      <c r="L918" s="9" t="s">
        <v>27</v>
      </c>
      <c r="M918" s="9">
        <v>-734.72</v>
      </c>
    </row>
    <row r="919" spans="1:13" x14ac:dyDescent="0.35">
      <c r="A919" s="9">
        <v>3142</v>
      </c>
      <c r="B919" s="9" t="s">
        <v>34</v>
      </c>
      <c r="C919" s="9" t="s">
        <v>19</v>
      </c>
      <c r="D919" s="9" t="s">
        <v>69</v>
      </c>
      <c r="E919" s="9" t="s">
        <v>62</v>
      </c>
      <c r="F919" s="9">
        <v>0</v>
      </c>
      <c r="G919" s="9">
        <v>0</v>
      </c>
      <c r="H919" s="9">
        <v>0</v>
      </c>
      <c r="I919" s="9">
        <v>0</v>
      </c>
      <c r="J919" s="10">
        <v>45577</v>
      </c>
      <c r="K919" s="9" t="s">
        <v>45</v>
      </c>
      <c r="L919" s="9" t="s">
        <v>29</v>
      </c>
      <c r="M919" s="9">
        <v>2520.02</v>
      </c>
    </row>
    <row r="920" spans="1:13" x14ac:dyDescent="0.35">
      <c r="A920" s="9">
        <v>3143</v>
      </c>
      <c r="B920" s="9" t="s">
        <v>31</v>
      </c>
      <c r="C920" s="9" t="s">
        <v>18</v>
      </c>
      <c r="D920" s="9" t="s">
        <v>33</v>
      </c>
      <c r="E920" s="9" t="s">
        <v>59</v>
      </c>
      <c r="F920" s="9">
        <v>3</v>
      </c>
      <c r="G920" s="9">
        <v>3938.59</v>
      </c>
      <c r="H920" s="9">
        <v>0.98</v>
      </c>
      <c r="I920" s="9">
        <v>236.32</v>
      </c>
      <c r="J920" s="10">
        <v>45527</v>
      </c>
      <c r="K920" s="9" t="s">
        <v>45</v>
      </c>
      <c r="L920" s="9" t="s">
        <v>26</v>
      </c>
      <c r="M920" s="9">
        <v>635.39</v>
      </c>
    </row>
    <row r="921" spans="1:13" x14ac:dyDescent="0.35">
      <c r="A921" s="9">
        <v>3144</v>
      </c>
      <c r="B921" s="9" t="s">
        <v>28</v>
      </c>
      <c r="C921" s="9" t="s">
        <v>20</v>
      </c>
      <c r="D921" s="9" t="s">
        <v>66</v>
      </c>
      <c r="E921" s="9" t="s">
        <v>59</v>
      </c>
      <c r="F921" s="9">
        <v>0</v>
      </c>
      <c r="G921" s="9">
        <v>8613.08</v>
      </c>
      <c r="H921" s="9">
        <v>0</v>
      </c>
      <c r="I921" s="9">
        <v>0</v>
      </c>
      <c r="J921" s="10">
        <v>45180</v>
      </c>
      <c r="K921" s="9" t="s">
        <v>44</v>
      </c>
      <c r="L921" s="9" t="s">
        <v>32</v>
      </c>
      <c r="M921" s="9">
        <v>-1049.73</v>
      </c>
    </row>
    <row r="922" spans="1:13" x14ac:dyDescent="0.35">
      <c r="A922" s="9">
        <v>3145</v>
      </c>
      <c r="B922" s="9" t="s">
        <v>28</v>
      </c>
      <c r="C922" s="9" t="s">
        <v>22</v>
      </c>
      <c r="D922" s="9" t="s">
        <v>65</v>
      </c>
      <c r="E922" s="9" t="s">
        <v>59</v>
      </c>
      <c r="F922" s="9">
        <v>0</v>
      </c>
      <c r="G922" s="9">
        <v>3427.03</v>
      </c>
      <c r="H922" s="9">
        <v>0.37</v>
      </c>
      <c r="I922" s="9">
        <v>0</v>
      </c>
      <c r="J922" s="10">
        <v>45690</v>
      </c>
      <c r="K922" s="9" t="s">
        <v>44</v>
      </c>
      <c r="L922" s="9" t="s">
        <v>35</v>
      </c>
      <c r="M922" s="9">
        <v>2527.96</v>
      </c>
    </row>
    <row r="923" spans="1:13" x14ac:dyDescent="0.35">
      <c r="A923" s="9">
        <v>3146</v>
      </c>
      <c r="B923" s="9" t="s">
        <v>28</v>
      </c>
      <c r="C923" s="9" t="s">
        <v>19</v>
      </c>
      <c r="D923" s="9" t="s">
        <v>39</v>
      </c>
      <c r="E923" s="9" t="s">
        <v>62</v>
      </c>
      <c r="F923" s="9">
        <v>1</v>
      </c>
      <c r="G923" s="9">
        <v>0</v>
      </c>
      <c r="H923" s="9">
        <v>0</v>
      </c>
      <c r="I923" s="9">
        <v>0</v>
      </c>
      <c r="J923" s="10">
        <v>45655</v>
      </c>
      <c r="K923" s="9" t="s">
        <v>44</v>
      </c>
      <c r="L923" s="9" t="s">
        <v>32</v>
      </c>
      <c r="M923" s="9">
        <v>1087.27</v>
      </c>
    </row>
    <row r="924" spans="1:13" x14ac:dyDescent="0.35">
      <c r="A924" s="9">
        <v>3147</v>
      </c>
      <c r="B924" s="9" t="s">
        <v>34</v>
      </c>
      <c r="C924" s="9" t="s">
        <v>18</v>
      </c>
      <c r="D924" s="9" t="s">
        <v>37</v>
      </c>
      <c r="E924" s="9" t="s">
        <v>59</v>
      </c>
      <c r="F924" s="9">
        <v>0</v>
      </c>
      <c r="G924" s="9">
        <v>2579.36</v>
      </c>
      <c r="H924" s="9">
        <v>0</v>
      </c>
      <c r="I924" s="9">
        <v>0</v>
      </c>
      <c r="J924" s="10">
        <v>45729</v>
      </c>
      <c r="K924" s="9" t="s">
        <v>45</v>
      </c>
      <c r="L924" s="9" t="s">
        <v>26</v>
      </c>
      <c r="M924" s="9">
        <v>939.38</v>
      </c>
    </row>
    <row r="925" spans="1:13" x14ac:dyDescent="0.35">
      <c r="A925" s="9">
        <v>3148</v>
      </c>
      <c r="B925" s="9" t="s">
        <v>34</v>
      </c>
      <c r="C925" s="9" t="s">
        <v>19</v>
      </c>
      <c r="D925" s="9" t="s">
        <v>42</v>
      </c>
      <c r="E925" s="9" t="s">
        <v>59</v>
      </c>
      <c r="F925" s="9">
        <v>3</v>
      </c>
      <c r="G925" s="9">
        <v>0</v>
      </c>
      <c r="H925" s="9">
        <v>0</v>
      </c>
      <c r="I925" s="9">
        <v>0</v>
      </c>
      <c r="J925" s="10">
        <v>45729</v>
      </c>
      <c r="K925" s="9" t="s">
        <v>44</v>
      </c>
      <c r="L925" s="9" t="s">
        <v>25</v>
      </c>
      <c r="M925" s="9">
        <v>1125.29</v>
      </c>
    </row>
    <row r="926" spans="1:13" x14ac:dyDescent="0.35">
      <c r="A926" s="9">
        <v>3149</v>
      </c>
      <c r="B926" s="9" t="s">
        <v>34</v>
      </c>
      <c r="C926" s="9" t="s">
        <v>19</v>
      </c>
      <c r="D926" s="9" t="s">
        <v>39</v>
      </c>
      <c r="E926" s="9" t="s">
        <v>60</v>
      </c>
      <c r="F926" s="9">
        <v>0</v>
      </c>
      <c r="G926" s="9">
        <v>0</v>
      </c>
      <c r="H926" s="9">
        <v>0</v>
      </c>
      <c r="I926" s="9">
        <v>0</v>
      </c>
      <c r="J926" s="10">
        <v>45729</v>
      </c>
      <c r="K926" s="9" t="s">
        <v>44</v>
      </c>
      <c r="L926" s="9" t="s">
        <v>27</v>
      </c>
      <c r="M926" s="9">
        <v>3435.01</v>
      </c>
    </row>
    <row r="927" spans="1:13" x14ac:dyDescent="0.35">
      <c r="A927" s="9">
        <v>3151</v>
      </c>
      <c r="B927" s="9" t="s">
        <v>31</v>
      </c>
      <c r="C927" s="9" t="s">
        <v>21</v>
      </c>
      <c r="D927" s="9" t="s">
        <v>40</v>
      </c>
      <c r="E927" s="9" t="s">
        <v>60</v>
      </c>
      <c r="F927" s="9">
        <v>0</v>
      </c>
      <c r="G927" s="9">
        <v>0</v>
      </c>
      <c r="H927" s="9">
        <v>0</v>
      </c>
      <c r="I927" s="9">
        <v>0</v>
      </c>
      <c r="J927" s="10">
        <v>45857</v>
      </c>
      <c r="K927" s="9" t="s">
        <v>45</v>
      </c>
      <c r="L927" s="9" t="s">
        <v>27</v>
      </c>
      <c r="M927" s="9">
        <v>2968.24</v>
      </c>
    </row>
    <row r="928" spans="1:13" x14ac:dyDescent="0.35">
      <c r="A928" s="9">
        <v>3154</v>
      </c>
      <c r="B928" s="9" t="s">
        <v>34</v>
      </c>
      <c r="C928" s="9" t="s">
        <v>20</v>
      </c>
      <c r="D928" s="9" t="s">
        <v>66</v>
      </c>
      <c r="E928" s="9" t="s">
        <v>60</v>
      </c>
      <c r="F928" s="9">
        <v>2</v>
      </c>
      <c r="G928" s="9">
        <v>0</v>
      </c>
      <c r="H928" s="9">
        <v>0.95</v>
      </c>
      <c r="I928" s="9">
        <v>0</v>
      </c>
      <c r="J928" s="10">
        <v>45768</v>
      </c>
      <c r="K928" s="9" t="s">
        <v>45</v>
      </c>
      <c r="L928" s="9" t="s">
        <v>29</v>
      </c>
      <c r="M928" s="9">
        <v>-1100.45</v>
      </c>
    </row>
    <row r="929" spans="1:13" x14ac:dyDescent="0.35">
      <c r="A929" s="9">
        <v>3155</v>
      </c>
      <c r="B929" s="9" t="s">
        <v>28</v>
      </c>
      <c r="C929" s="9" t="s">
        <v>21</v>
      </c>
      <c r="D929" s="9" t="s">
        <v>64</v>
      </c>
      <c r="E929" s="9" t="s">
        <v>60</v>
      </c>
      <c r="F929" s="9">
        <v>0</v>
      </c>
      <c r="G929" s="9">
        <v>0</v>
      </c>
      <c r="H929" s="9">
        <v>0</v>
      </c>
      <c r="I929" s="9">
        <v>0</v>
      </c>
      <c r="J929" s="10">
        <v>45768</v>
      </c>
      <c r="K929" s="9" t="s">
        <v>44</v>
      </c>
      <c r="L929" s="9" t="s">
        <v>25</v>
      </c>
      <c r="M929" s="9">
        <v>2013.96</v>
      </c>
    </row>
    <row r="930" spans="1:13" x14ac:dyDescent="0.35">
      <c r="A930" s="9">
        <v>3156</v>
      </c>
      <c r="B930" s="9" t="s">
        <v>28</v>
      </c>
      <c r="C930" s="9" t="s">
        <v>19</v>
      </c>
      <c r="D930" s="9" t="s">
        <v>69</v>
      </c>
      <c r="E930" s="9" t="s">
        <v>62</v>
      </c>
      <c r="F930" s="9">
        <v>0</v>
      </c>
      <c r="G930" s="9">
        <v>6700.68</v>
      </c>
      <c r="H930" s="9">
        <v>0</v>
      </c>
      <c r="I930" s="9">
        <v>0</v>
      </c>
      <c r="J930" s="10">
        <v>45668</v>
      </c>
      <c r="K930" s="9" t="s">
        <v>44</v>
      </c>
      <c r="L930" s="9" t="s">
        <v>26</v>
      </c>
      <c r="M930" s="9">
        <v>611.80999999999995</v>
      </c>
    </row>
    <row r="931" spans="1:13" x14ac:dyDescent="0.35">
      <c r="A931" s="9">
        <v>3157</v>
      </c>
      <c r="B931" s="9" t="s">
        <v>34</v>
      </c>
      <c r="C931" s="9" t="s">
        <v>20</v>
      </c>
      <c r="D931" s="9" t="s">
        <v>70</v>
      </c>
      <c r="E931" s="9" t="s">
        <v>59</v>
      </c>
      <c r="F931" s="9">
        <v>0</v>
      </c>
      <c r="G931" s="9">
        <v>2991.75</v>
      </c>
      <c r="H931" s="9">
        <v>1.21</v>
      </c>
      <c r="I931" s="9">
        <v>0</v>
      </c>
      <c r="J931" s="10">
        <v>45668</v>
      </c>
      <c r="K931" s="9" t="s">
        <v>45</v>
      </c>
      <c r="L931" s="9" t="s">
        <v>25</v>
      </c>
      <c r="M931" s="9">
        <v>-92.45</v>
      </c>
    </row>
    <row r="932" spans="1:13" x14ac:dyDescent="0.35">
      <c r="A932" s="9">
        <v>3158</v>
      </c>
      <c r="B932" s="9" t="s">
        <v>34</v>
      </c>
      <c r="C932" s="9" t="s">
        <v>21</v>
      </c>
      <c r="D932" s="9" t="s">
        <v>40</v>
      </c>
      <c r="E932" s="9" t="s">
        <v>59</v>
      </c>
      <c r="F932" s="9">
        <v>2</v>
      </c>
      <c r="G932" s="9">
        <v>0</v>
      </c>
      <c r="H932" s="9">
        <v>0</v>
      </c>
      <c r="I932" s="9">
        <v>0</v>
      </c>
      <c r="J932" s="10">
        <v>45668</v>
      </c>
      <c r="K932" s="9" t="s">
        <v>45</v>
      </c>
      <c r="L932" s="9" t="s">
        <v>35</v>
      </c>
      <c r="M932" s="9">
        <v>324.37</v>
      </c>
    </row>
    <row r="933" spans="1:13" x14ac:dyDescent="0.35">
      <c r="A933" s="9">
        <v>3159</v>
      </c>
      <c r="B933" s="9" t="s">
        <v>28</v>
      </c>
      <c r="C933" s="9" t="s">
        <v>20</v>
      </c>
      <c r="D933" s="9" t="s">
        <v>43</v>
      </c>
      <c r="E933" s="9" t="s">
        <v>59</v>
      </c>
      <c r="F933" s="9">
        <v>-1</v>
      </c>
      <c r="G933" s="9">
        <v>0</v>
      </c>
      <c r="H933" s="9">
        <v>0</v>
      </c>
      <c r="I933" s="9">
        <v>0</v>
      </c>
      <c r="J933" s="10">
        <v>45755</v>
      </c>
      <c r="K933" s="9" t="s">
        <v>44</v>
      </c>
      <c r="L933" s="9" t="s">
        <v>35</v>
      </c>
      <c r="M933" s="9">
        <v>2494.21</v>
      </c>
    </row>
    <row r="934" spans="1:13" x14ac:dyDescent="0.35">
      <c r="A934" s="9">
        <v>3160</v>
      </c>
      <c r="B934" s="9" t="s">
        <v>28</v>
      </c>
      <c r="C934" s="9" t="s">
        <v>22</v>
      </c>
      <c r="D934" s="9" t="s">
        <v>65</v>
      </c>
      <c r="E934" s="9" t="s">
        <v>59</v>
      </c>
      <c r="F934" s="9">
        <v>0</v>
      </c>
      <c r="G934" s="9">
        <v>0</v>
      </c>
      <c r="H934" s="9">
        <v>0</v>
      </c>
      <c r="I934" s="9">
        <v>0</v>
      </c>
      <c r="J934" s="10">
        <v>45498</v>
      </c>
      <c r="K934" s="9" t="s">
        <v>44</v>
      </c>
      <c r="L934" s="9" t="s">
        <v>29</v>
      </c>
      <c r="M934" s="9">
        <v>888.87</v>
      </c>
    </row>
    <row r="935" spans="1:13" x14ac:dyDescent="0.35">
      <c r="A935" s="9">
        <v>3162</v>
      </c>
      <c r="B935" s="9" t="s">
        <v>31</v>
      </c>
      <c r="C935" s="9" t="s">
        <v>19</v>
      </c>
      <c r="D935" s="9" t="s">
        <v>42</v>
      </c>
      <c r="E935" s="9" t="s">
        <v>62</v>
      </c>
      <c r="F935" s="9">
        <v>2</v>
      </c>
      <c r="G935" s="9">
        <v>0</v>
      </c>
      <c r="H935" s="9">
        <v>0</v>
      </c>
      <c r="I935" s="9">
        <v>0</v>
      </c>
      <c r="J935" s="10">
        <v>45346</v>
      </c>
      <c r="K935" s="9" t="s">
        <v>45</v>
      </c>
      <c r="L935" s="9" t="s">
        <v>35</v>
      </c>
      <c r="M935" s="9">
        <v>1686.78</v>
      </c>
    </row>
    <row r="936" spans="1:13" x14ac:dyDescent="0.35">
      <c r="A936" s="9">
        <v>3165</v>
      </c>
      <c r="B936" s="9" t="s">
        <v>28</v>
      </c>
      <c r="C936" s="9" t="s">
        <v>19</v>
      </c>
      <c r="D936" s="9" t="s">
        <v>69</v>
      </c>
      <c r="E936" s="9" t="s">
        <v>62</v>
      </c>
      <c r="F936" s="9">
        <v>2</v>
      </c>
      <c r="G936" s="9">
        <v>2530.29</v>
      </c>
      <c r="H936" s="9">
        <v>0.28999999999999998</v>
      </c>
      <c r="I936" s="9">
        <v>3593.01</v>
      </c>
      <c r="J936" s="10">
        <v>45705</v>
      </c>
      <c r="K936" s="9" t="s">
        <v>45</v>
      </c>
      <c r="L936" s="9" t="s">
        <v>27</v>
      </c>
      <c r="M936" s="9">
        <v>3264.03</v>
      </c>
    </row>
    <row r="937" spans="1:13" x14ac:dyDescent="0.35">
      <c r="A937" s="9">
        <v>3167</v>
      </c>
      <c r="B937" s="9" t="s">
        <v>28</v>
      </c>
      <c r="C937" s="9" t="s">
        <v>22</v>
      </c>
      <c r="D937" s="9" t="s">
        <v>68</v>
      </c>
      <c r="E937" s="9" t="s">
        <v>59</v>
      </c>
      <c r="F937" s="9">
        <v>0</v>
      </c>
      <c r="G937" s="9">
        <v>3212.74</v>
      </c>
      <c r="H937" s="9">
        <v>0</v>
      </c>
      <c r="I937" s="9">
        <v>0</v>
      </c>
      <c r="J937" s="10">
        <v>45705</v>
      </c>
      <c r="K937" s="9" t="s">
        <v>45</v>
      </c>
      <c r="L937" s="9" t="s">
        <v>32</v>
      </c>
      <c r="M937" s="9">
        <v>3517.65</v>
      </c>
    </row>
    <row r="938" spans="1:13" x14ac:dyDescent="0.35">
      <c r="A938" s="9">
        <v>3168</v>
      </c>
      <c r="B938" s="9" t="s">
        <v>28</v>
      </c>
      <c r="C938" s="9" t="s">
        <v>21</v>
      </c>
      <c r="D938" s="9" t="s">
        <v>40</v>
      </c>
      <c r="E938" s="9" t="s">
        <v>59</v>
      </c>
      <c r="F938" s="9">
        <v>2</v>
      </c>
      <c r="G938" s="9">
        <v>6125.15</v>
      </c>
      <c r="H938" s="9">
        <v>0</v>
      </c>
      <c r="I938" s="9">
        <v>0</v>
      </c>
      <c r="J938" s="10">
        <v>45716</v>
      </c>
      <c r="K938" s="9" t="s">
        <v>44</v>
      </c>
      <c r="L938" s="9" t="s">
        <v>29</v>
      </c>
      <c r="M938" s="9">
        <v>61.83</v>
      </c>
    </row>
    <row r="939" spans="1:13" x14ac:dyDescent="0.35">
      <c r="A939" s="9">
        <v>3169</v>
      </c>
      <c r="B939" s="9" t="s">
        <v>31</v>
      </c>
      <c r="C939" s="9" t="s">
        <v>21</v>
      </c>
      <c r="D939" s="9" t="s">
        <v>36</v>
      </c>
      <c r="E939" s="9" t="s">
        <v>59</v>
      </c>
      <c r="F939" s="9">
        <v>0</v>
      </c>
      <c r="G939" s="9">
        <v>0</v>
      </c>
      <c r="H939" s="9">
        <v>1.1499999999999999</v>
      </c>
      <c r="I939" s="9">
        <v>0</v>
      </c>
      <c r="J939" s="10">
        <v>45575</v>
      </c>
      <c r="K939" s="9" t="s">
        <v>44</v>
      </c>
      <c r="L939" s="9" t="s">
        <v>29</v>
      </c>
      <c r="M939" s="9">
        <v>-744.54</v>
      </c>
    </row>
    <row r="940" spans="1:13" x14ac:dyDescent="0.35">
      <c r="A940" s="9">
        <v>3170</v>
      </c>
      <c r="B940" s="9" t="s">
        <v>31</v>
      </c>
      <c r="C940" s="9" t="s">
        <v>18</v>
      </c>
      <c r="D940" s="9" t="s">
        <v>33</v>
      </c>
      <c r="E940" s="9" t="s">
        <v>60</v>
      </c>
      <c r="F940" s="9">
        <v>0</v>
      </c>
      <c r="G940" s="9">
        <v>0</v>
      </c>
      <c r="H940" s="9">
        <v>0</v>
      </c>
      <c r="I940" s="9">
        <v>0</v>
      </c>
      <c r="J940" s="10">
        <v>45792</v>
      </c>
      <c r="K940" s="9" t="s">
        <v>45</v>
      </c>
      <c r="L940" s="9" t="s">
        <v>35</v>
      </c>
      <c r="M940" s="9">
        <v>-367.73</v>
      </c>
    </row>
    <row r="941" spans="1:13" x14ac:dyDescent="0.35">
      <c r="A941" s="9">
        <v>3172</v>
      </c>
      <c r="B941" s="9" t="s">
        <v>31</v>
      </c>
      <c r="C941" s="9" t="s">
        <v>18</v>
      </c>
      <c r="D941" s="9" t="s">
        <v>41</v>
      </c>
      <c r="E941" s="9" t="s">
        <v>59</v>
      </c>
      <c r="F941" s="9">
        <v>-1</v>
      </c>
      <c r="G941" s="9">
        <v>0</v>
      </c>
      <c r="H941" s="9">
        <v>0.39</v>
      </c>
      <c r="I941" s="9">
        <v>0</v>
      </c>
      <c r="J941" s="10">
        <v>45244</v>
      </c>
      <c r="K941" s="9" t="s">
        <v>44</v>
      </c>
      <c r="L941" s="9" t="s">
        <v>35</v>
      </c>
      <c r="M941" s="9">
        <v>1877.19</v>
      </c>
    </row>
    <row r="942" spans="1:13" x14ac:dyDescent="0.35">
      <c r="A942" s="9">
        <v>3173</v>
      </c>
      <c r="B942" s="9" t="s">
        <v>28</v>
      </c>
      <c r="C942" s="9" t="s">
        <v>19</v>
      </c>
      <c r="D942" s="9" t="s">
        <v>39</v>
      </c>
      <c r="E942" s="9" t="s">
        <v>62</v>
      </c>
      <c r="F942" s="9">
        <v>0</v>
      </c>
      <c r="G942" s="9">
        <v>0</v>
      </c>
      <c r="H942" s="9">
        <v>0</v>
      </c>
      <c r="I942" s="9">
        <v>0</v>
      </c>
      <c r="J942" s="10">
        <v>45600</v>
      </c>
      <c r="K942" s="9" t="s">
        <v>44</v>
      </c>
      <c r="L942" s="9" t="s">
        <v>35</v>
      </c>
      <c r="M942" s="9">
        <v>1560.81</v>
      </c>
    </row>
    <row r="943" spans="1:13" x14ac:dyDescent="0.35">
      <c r="A943" s="9">
        <v>3175</v>
      </c>
      <c r="B943" s="9" t="s">
        <v>28</v>
      </c>
      <c r="C943" s="9" t="s">
        <v>21</v>
      </c>
      <c r="D943" s="9" t="s">
        <v>71</v>
      </c>
      <c r="E943" s="9" t="s">
        <v>59</v>
      </c>
      <c r="F943" s="9">
        <v>-1</v>
      </c>
      <c r="G943" s="9">
        <v>6583.76</v>
      </c>
      <c r="H943" s="9">
        <v>0.71</v>
      </c>
      <c r="I943" s="9">
        <v>-1909.29</v>
      </c>
      <c r="J943" s="10">
        <v>45635</v>
      </c>
      <c r="K943" s="9" t="s">
        <v>44</v>
      </c>
      <c r="L943" s="9" t="s">
        <v>26</v>
      </c>
      <c r="M943" s="9">
        <v>2194.69</v>
      </c>
    </row>
    <row r="944" spans="1:13" x14ac:dyDescent="0.35">
      <c r="A944" s="9">
        <v>3177</v>
      </c>
      <c r="B944" s="9" t="s">
        <v>34</v>
      </c>
      <c r="C944" s="9" t="s">
        <v>21</v>
      </c>
      <c r="D944" s="9" t="s">
        <v>40</v>
      </c>
      <c r="E944" s="9" t="s">
        <v>60</v>
      </c>
      <c r="F944" s="9">
        <v>3</v>
      </c>
      <c r="G944" s="9">
        <v>7042.12</v>
      </c>
      <c r="H944" s="9">
        <v>0.89</v>
      </c>
      <c r="I944" s="9">
        <v>2323.9</v>
      </c>
      <c r="J944" s="10">
        <v>45635</v>
      </c>
      <c r="K944" s="9" t="s">
        <v>45</v>
      </c>
      <c r="L944" s="9" t="s">
        <v>26</v>
      </c>
      <c r="M944" s="9">
        <v>-411.55</v>
      </c>
    </row>
    <row r="945" spans="1:13" x14ac:dyDescent="0.35">
      <c r="A945" s="9">
        <v>3178</v>
      </c>
      <c r="B945" s="9" t="s">
        <v>28</v>
      </c>
      <c r="C945" s="9" t="s">
        <v>18</v>
      </c>
      <c r="D945" s="9" t="s">
        <v>37</v>
      </c>
      <c r="E945" s="9" t="s">
        <v>59</v>
      </c>
      <c r="F945" s="9">
        <v>0</v>
      </c>
      <c r="G945" s="9">
        <v>0</v>
      </c>
      <c r="H945" s="9">
        <v>0</v>
      </c>
      <c r="I945" s="9">
        <v>0</v>
      </c>
      <c r="J945" s="10">
        <v>45554</v>
      </c>
      <c r="K945" s="9" t="s">
        <v>44</v>
      </c>
      <c r="L945" s="9" t="s">
        <v>29</v>
      </c>
      <c r="M945" s="9">
        <v>-271.02999999999997</v>
      </c>
    </row>
    <row r="946" spans="1:13" x14ac:dyDescent="0.35">
      <c r="A946" s="9">
        <v>3180</v>
      </c>
      <c r="B946" s="9" t="s">
        <v>31</v>
      </c>
      <c r="C946" s="9" t="s">
        <v>22</v>
      </c>
      <c r="D946" s="9" t="s">
        <v>68</v>
      </c>
      <c r="E946" s="9" t="s">
        <v>62</v>
      </c>
      <c r="F946" s="9">
        <v>0</v>
      </c>
      <c r="G946" s="9">
        <v>0</v>
      </c>
      <c r="H946" s="9">
        <v>0.65</v>
      </c>
      <c r="I946" s="9">
        <v>0</v>
      </c>
      <c r="J946" s="10">
        <v>45721</v>
      </c>
      <c r="K946" s="9" t="s">
        <v>45</v>
      </c>
      <c r="L946" s="9" t="s">
        <v>35</v>
      </c>
      <c r="M946" s="9">
        <v>1603.13</v>
      </c>
    </row>
    <row r="947" spans="1:13" x14ac:dyDescent="0.35">
      <c r="A947" s="9">
        <v>3181</v>
      </c>
      <c r="B947" s="9" t="s">
        <v>28</v>
      </c>
      <c r="C947" s="9" t="s">
        <v>20</v>
      </c>
      <c r="D947" s="9" t="s">
        <v>43</v>
      </c>
      <c r="E947" s="9" t="s">
        <v>62</v>
      </c>
      <c r="F947" s="9">
        <v>1</v>
      </c>
      <c r="G947" s="9">
        <v>0</v>
      </c>
      <c r="H947" s="9">
        <v>0</v>
      </c>
      <c r="I947" s="9">
        <v>0</v>
      </c>
      <c r="J947" s="10">
        <v>45721</v>
      </c>
      <c r="K947" s="9" t="s">
        <v>44</v>
      </c>
      <c r="L947" s="9" t="s">
        <v>29</v>
      </c>
      <c r="M947" s="9">
        <v>2808</v>
      </c>
    </row>
    <row r="948" spans="1:13" x14ac:dyDescent="0.35">
      <c r="A948" s="9">
        <v>3182</v>
      </c>
      <c r="B948" s="9" t="s">
        <v>31</v>
      </c>
      <c r="C948" s="9" t="s">
        <v>19</v>
      </c>
      <c r="D948" s="9" t="s">
        <v>39</v>
      </c>
      <c r="E948" s="9" t="s">
        <v>60</v>
      </c>
      <c r="F948" s="9">
        <v>0</v>
      </c>
      <c r="G948" s="9">
        <v>0</v>
      </c>
      <c r="H948" s="9">
        <v>0</v>
      </c>
      <c r="I948" s="9">
        <v>0</v>
      </c>
      <c r="J948" s="10">
        <v>45721</v>
      </c>
      <c r="K948" s="9" t="s">
        <v>44</v>
      </c>
      <c r="L948" s="9" t="s">
        <v>26</v>
      </c>
      <c r="M948" s="9">
        <v>42.14</v>
      </c>
    </row>
    <row r="949" spans="1:13" x14ac:dyDescent="0.35">
      <c r="A949" s="9">
        <v>3183</v>
      </c>
      <c r="B949" s="9" t="s">
        <v>34</v>
      </c>
      <c r="C949" s="9" t="s">
        <v>19</v>
      </c>
      <c r="D949" s="9" t="s">
        <v>69</v>
      </c>
      <c r="E949" s="9" t="s">
        <v>62</v>
      </c>
      <c r="F949" s="9">
        <v>2</v>
      </c>
      <c r="G949" s="9">
        <v>8074.82</v>
      </c>
      <c r="H949" s="9">
        <v>0</v>
      </c>
      <c r="I949" s="9">
        <v>0</v>
      </c>
      <c r="J949" s="10">
        <v>45721</v>
      </c>
      <c r="K949" s="9" t="s">
        <v>44</v>
      </c>
      <c r="L949" s="9" t="s">
        <v>26</v>
      </c>
      <c r="M949" s="9">
        <v>2968.78</v>
      </c>
    </row>
    <row r="950" spans="1:13" x14ac:dyDescent="0.35">
      <c r="A950" s="9">
        <v>3184</v>
      </c>
      <c r="B950" s="9" t="s">
        <v>31</v>
      </c>
      <c r="C950" s="9" t="s">
        <v>18</v>
      </c>
      <c r="D950" s="9" t="s">
        <v>38</v>
      </c>
      <c r="E950" s="9" t="s">
        <v>59</v>
      </c>
      <c r="F950" s="9">
        <v>0</v>
      </c>
      <c r="G950" s="9">
        <v>0</v>
      </c>
      <c r="H950" s="9">
        <v>0.42</v>
      </c>
      <c r="I950" s="9">
        <v>0</v>
      </c>
      <c r="J950" s="10">
        <v>45580</v>
      </c>
      <c r="K950" s="9" t="s">
        <v>45</v>
      </c>
      <c r="L950" s="9" t="s">
        <v>26</v>
      </c>
      <c r="M950" s="9">
        <v>-760.63</v>
      </c>
    </row>
    <row r="951" spans="1:13" x14ac:dyDescent="0.35">
      <c r="A951" s="9">
        <v>3188</v>
      </c>
      <c r="B951" s="9" t="s">
        <v>34</v>
      </c>
      <c r="C951" s="9" t="s">
        <v>21</v>
      </c>
      <c r="D951" s="9" t="s">
        <v>40</v>
      </c>
      <c r="E951" s="9" t="s">
        <v>60</v>
      </c>
      <c r="F951" s="9">
        <v>0</v>
      </c>
      <c r="G951" s="9">
        <v>8024.17</v>
      </c>
      <c r="H951" s="9">
        <v>0.6</v>
      </c>
      <c r="I951" s="9">
        <v>0</v>
      </c>
      <c r="J951" s="10">
        <v>45697</v>
      </c>
      <c r="K951" s="9" t="s">
        <v>44</v>
      </c>
      <c r="L951" s="9" t="s">
        <v>35</v>
      </c>
      <c r="M951" s="9">
        <v>2328.33</v>
      </c>
    </row>
    <row r="952" spans="1:13" x14ac:dyDescent="0.35">
      <c r="A952" s="9">
        <v>3189</v>
      </c>
      <c r="B952" s="9" t="s">
        <v>31</v>
      </c>
      <c r="C952" s="9" t="s">
        <v>22</v>
      </c>
      <c r="D952" s="9" t="s">
        <v>30</v>
      </c>
      <c r="E952" s="9" t="s">
        <v>60</v>
      </c>
      <c r="F952" s="9">
        <v>3</v>
      </c>
      <c r="G952" s="9">
        <v>6730.48</v>
      </c>
      <c r="H952" s="9">
        <v>0.33</v>
      </c>
      <c r="I952" s="9">
        <v>13528.26</v>
      </c>
      <c r="J952" s="10">
        <v>45696</v>
      </c>
      <c r="K952" s="9" t="s">
        <v>45</v>
      </c>
      <c r="L952" s="9" t="s">
        <v>27</v>
      </c>
      <c r="M952" s="9">
        <v>1456.87</v>
      </c>
    </row>
    <row r="953" spans="1:13" x14ac:dyDescent="0.35">
      <c r="A953" s="9">
        <v>3190</v>
      </c>
      <c r="B953" s="9" t="s">
        <v>28</v>
      </c>
      <c r="C953" s="9" t="s">
        <v>19</v>
      </c>
      <c r="D953" s="9" t="s">
        <v>69</v>
      </c>
      <c r="E953" s="9" t="s">
        <v>59</v>
      </c>
      <c r="F953" s="9">
        <v>0</v>
      </c>
      <c r="G953" s="9">
        <v>0</v>
      </c>
      <c r="H953" s="9">
        <v>0</v>
      </c>
      <c r="I953" s="9">
        <v>0</v>
      </c>
      <c r="J953" s="10">
        <v>45696</v>
      </c>
      <c r="K953" s="9" t="s">
        <v>45</v>
      </c>
      <c r="L953" s="9" t="s">
        <v>27</v>
      </c>
      <c r="M953" s="9">
        <v>457.93</v>
      </c>
    </row>
    <row r="954" spans="1:13" x14ac:dyDescent="0.35">
      <c r="A954" s="9">
        <v>3191</v>
      </c>
      <c r="B954" s="9" t="s">
        <v>34</v>
      </c>
      <c r="C954" s="9" t="s">
        <v>19</v>
      </c>
      <c r="D954" s="9" t="s">
        <v>63</v>
      </c>
      <c r="E954" s="9" t="s">
        <v>60</v>
      </c>
      <c r="F954" s="9">
        <v>4</v>
      </c>
      <c r="G954" s="9">
        <v>0</v>
      </c>
      <c r="H954" s="9">
        <v>0</v>
      </c>
      <c r="I954" s="9">
        <v>0</v>
      </c>
      <c r="J954" s="10">
        <v>45692</v>
      </c>
      <c r="K954" s="9" t="s">
        <v>44</v>
      </c>
      <c r="L954" s="9" t="s">
        <v>35</v>
      </c>
      <c r="M954" s="9">
        <v>2709.18</v>
      </c>
    </row>
    <row r="955" spans="1:13" x14ac:dyDescent="0.35">
      <c r="A955" s="9">
        <v>3192</v>
      </c>
      <c r="B955" s="9" t="s">
        <v>34</v>
      </c>
      <c r="C955" s="9" t="s">
        <v>20</v>
      </c>
      <c r="D955" s="9" t="s">
        <v>66</v>
      </c>
      <c r="E955" s="9" t="s">
        <v>59</v>
      </c>
      <c r="F955" s="9">
        <v>1</v>
      </c>
      <c r="G955" s="9">
        <v>0</v>
      </c>
      <c r="H955" s="9">
        <v>0</v>
      </c>
      <c r="I955" s="9">
        <v>0</v>
      </c>
      <c r="J955" s="10">
        <v>45732</v>
      </c>
      <c r="K955" s="9" t="s">
        <v>45</v>
      </c>
      <c r="L955" s="9" t="s">
        <v>35</v>
      </c>
      <c r="M955" s="9">
        <v>2055.67</v>
      </c>
    </row>
    <row r="956" spans="1:13" x14ac:dyDescent="0.35">
      <c r="A956" s="9">
        <v>3193</v>
      </c>
      <c r="B956" s="9" t="s">
        <v>34</v>
      </c>
      <c r="C956" s="9" t="s">
        <v>20</v>
      </c>
      <c r="D956" s="9" t="s">
        <v>70</v>
      </c>
      <c r="E956" s="9" t="s">
        <v>59</v>
      </c>
      <c r="F956" s="9">
        <v>0</v>
      </c>
      <c r="G956" s="9">
        <v>8581.98</v>
      </c>
      <c r="H956" s="9">
        <v>0</v>
      </c>
      <c r="I956" s="9">
        <v>0</v>
      </c>
      <c r="J956" s="10">
        <v>45712</v>
      </c>
      <c r="K956" s="9" t="s">
        <v>44</v>
      </c>
      <c r="L956" s="9" t="s">
        <v>35</v>
      </c>
      <c r="M956" s="9">
        <v>3969.18</v>
      </c>
    </row>
    <row r="957" spans="1:13" x14ac:dyDescent="0.35">
      <c r="A957" s="9">
        <v>3194</v>
      </c>
      <c r="B957" s="9" t="s">
        <v>34</v>
      </c>
      <c r="C957" s="9" t="s">
        <v>18</v>
      </c>
      <c r="D957" s="9" t="s">
        <v>37</v>
      </c>
      <c r="E957" s="9" t="s">
        <v>59</v>
      </c>
      <c r="F957" s="9">
        <v>-1</v>
      </c>
      <c r="G957" s="9">
        <v>0</v>
      </c>
      <c r="H957" s="9">
        <v>0</v>
      </c>
      <c r="I957" s="9">
        <v>0</v>
      </c>
      <c r="J957" s="10">
        <v>45220</v>
      </c>
      <c r="K957" s="9" t="s">
        <v>45</v>
      </c>
      <c r="L957" s="9" t="s">
        <v>32</v>
      </c>
      <c r="M957" s="9">
        <v>896.94</v>
      </c>
    </row>
    <row r="958" spans="1:13" x14ac:dyDescent="0.35">
      <c r="A958" s="9">
        <v>3196</v>
      </c>
      <c r="B958" s="9" t="s">
        <v>28</v>
      </c>
      <c r="C958" s="9" t="s">
        <v>18</v>
      </c>
      <c r="D958" s="9" t="s">
        <v>38</v>
      </c>
      <c r="E958" s="9" t="s">
        <v>59</v>
      </c>
      <c r="F958" s="9">
        <v>1</v>
      </c>
      <c r="G958" s="9">
        <v>0</v>
      </c>
      <c r="H958" s="9">
        <v>0</v>
      </c>
      <c r="I958" s="9">
        <v>0</v>
      </c>
      <c r="J958" s="10">
        <v>45220</v>
      </c>
      <c r="K958" s="9" t="s">
        <v>44</v>
      </c>
      <c r="L958" s="9" t="s">
        <v>27</v>
      </c>
      <c r="M958" s="9">
        <v>425.5</v>
      </c>
    </row>
    <row r="959" spans="1:13" x14ac:dyDescent="0.35">
      <c r="A959" s="9">
        <v>3197</v>
      </c>
      <c r="B959" s="9" t="s">
        <v>31</v>
      </c>
      <c r="C959" s="9" t="s">
        <v>18</v>
      </c>
      <c r="D959" s="9" t="s">
        <v>41</v>
      </c>
      <c r="E959" s="9" t="s">
        <v>59</v>
      </c>
      <c r="F959" s="9">
        <v>-1</v>
      </c>
      <c r="G959" s="9">
        <v>0</v>
      </c>
      <c r="H959" s="9">
        <v>0</v>
      </c>
      <c r="I959" s="9">
        <v>0</v>
      </c>
      <c r="J959" s="10">
        <v>45220</v>
      </c>
      <c r="K959" s="9" t="s">
        <v>45</v>
      </c>
      <c r="L959" s="9" t="s">
        <v>29</v>
      </c>
      <c r="M959" s="9">
        <v>751.76</v>
      </c>
    </row>
    <row r="960" spans="1:13" x14ac:dyDescent="0.35">
      <c r="A960" s="9">
        <v>3198</v>
      </c>
      <c r="B960" s="9" t="s">
        <v>28</v>
      </c>
      <c r="C960" s="9" t="s">
        <v>20</v>
      </c>
      <c r="D960" s="9" t="s">
        <v>43</v>
      </c>
      <c r="E960" s="9" t="s">
        <v>62</v>
      </c>
      <c r="F960" s="9">
        <v>0</v>
      </c>
      <c r="G960" s="9">
        <v>0</v>
      </c>
      <c r="H960" s="9">
        <v>0</v>
      </c>
      <c r="I960" s="9">
        <v>0</v>
      </c>
      <c r="J960" s="10">
        <v>45220</v>
      </c>
      <c r="K960" s="9" t="s">
        <v>45</v>
      </c>
      <c r="L960" s="9" t="s">
        <v>29</v>
      </c>
      <c r="M960" s="9">
        <v>2009.69</v>
      </c>
    </row>
    <row r="961" spans="1:13" x14ac:dyDescent="0.35">
      <c r="A961" s="9">
        <v>3200</v>
      </c>
      <c r="B961" s="9" t="s">
        <v>31</v>
      </c>
      <c r="C961" s="9" t="s">
        <v>19</v>
      </c>
      <c r="D961" s="9" t="s">
        <v>39</v>
      </c>
      <c r="E961" s="9" t="s">
        <v>60</v>
      </c>
      <c r="F961" s="9">
        <v>0</v>
      </c>
      <c r="G961" s="9">
        <v>6308.83</v>
      </c>
      <c r="H961" s="9">
        <v>0</v>
      </c>
      <c r="I961" s="9">
        <v>0</v>
      </c>
      <c r="J961" s="10">
        <v>45220</v>
      </c>
      <c r="K961" s="9" t="s">
        <v>44</v>
      </c>
      <c r="L961" s="9" t="s">
        <v>35</v>
      </c>
      <c r="M961" s="9">
        <v>-582.02</v>
      </c>
    </row>
    <row r="962" spans="1:13" x14ac:dyDescent="0.35">
      <c r="A962" s="9">
        <v>3201</v>
      </c>
      <c r="B962" s="9" t="s">
        <v>28</v>
      </c>
      <c r="C962" s="9" t="s">
        <v>18</v>
      </c>
      <c r="D962" s="9" t="s">
        <v>33</v>
      </c>
      <c r="E962" s="9" t="s">
        <v>60</v>
      </c>
      <c r="F962" s="9">
        <v>0</v>
      </c>
      <c r="G962" s="9">
        <v>9608.99</v>
      </c>
      <c r="H962" s="9">
        <v>0</v>
      </c>
      <c r="I962" s="9">
        <v>0</v>
      </c>
      <c r="J962" s="10">
        <v>45220</v>
      </c>
      <c r="K962" s="9" t="s">
        <v>44</v>
      </c>
      <c r="L962" s="9" t="s">
        <v>26</v>
      </c>
      <c r="M962" s="9">
        <v>2866.39</v>
      </c>
    </row>
    <row r="963" spans="1:13" x14ac:dyDescent="0.35">
      <c r="A963" s="9">
        <v>3202</v>
      </c>
      <c r="B963" s="9" t="s">
        <v>34</v>
      </c>
      <c r="C963" s="9" t="s">
        <v>20</v>
      </c>
      <c r="D963" s="9" t="s">
        <v>70</v>
      </c>
      <c r="E963" s="9" t="s">
        <v>59</v>
      </c>
      <c r="F963" s="9">
        <v>0</v>
      </c>
      <c r="G963" s="9">
        <v>8926.14</v>
      </c>
      <c r="H963" s="9">
        <v>0</v>
      </c>
      <c r="I963" s="9">
        <v>0</v>
      </c>
      <c r="J963" s="10">
        <v>45220</v>
      </c>
      <c r="K963" s="9" t="s">
        <v>45</v>
      </c>
      <c r="L963" s="9" t="s">
        <v>25</v>
      </c>
      <c r="M963" s="9">
        <v>1565.51</v>
      </c>
    </row>
    <row r="964" spans="1:13" x14ac:dyDescent="0.35">
      <c r="A964" s="9">
        <v>3203</v>
      </c>
      <c r="B964" s="9" t="s">
        <v>28</v>
      </c>
      <c r="C964" s="9" t="s">
        <v>18</v>
      </c>
      <c r="D964" s="9" t="s">
        <v>37</v>
      </c>
      <c r="E964" s="9" t="s">
        <v>59</v>
      </c>
      <c r="F964" s="9">
        <v>0</v>
      </c>
      <c r="G964" s="9">
        <v>0</v>
      </c>
      <c r="H964" s="9">
        <v>1.17</v>
      </c>
      <c r="I964" s="9">
        <v>0</v>
      </c>
      <c r="J964" s="10">
        <v>45727</v>
      </c>
      <c r="K964" s="9" t="s">
        <v>44</v>
      </c>
      <c r="L964" s="9" t="s">
        <v>35</v>
      </c>
      <c r="M964" s="9">
        <v>2854.21</v>
      </c>
    </row>
    <row r="965" spans="1:13" x14ac:dyDescent="0.35">
      <c r="A965" s="9">
        <v>2002</v>
      </c>
      <c r="B965" s="9" t="s">
        <v>28</v>
      </c>
      <c r="C965" s="9" t="s">
        <v>21</v>
      </c>
      <c r="D965" s="9" t="s">
        <v>71</v>
      </c>
      <c r="E965" s="9" t="s">
        <v>59</v>
      </c>
      <c r="F965" s="9">
        <v>0</v>
      </c>
      <c r="G965" s="9">
        <v>0</v>
      </c>
      <c r="H965" s="9">
        <v>0.24</v>
      </c>
      <c r="I965" s="9">
        <v>0</v>
      </c>
      <c r="J965" s="10">
        <v>45637</v>
      </c>
      <c r="K965" s="9" t="s">
        <v>45</v>
      </c>
      <c r="L965" s="9" t="s">
        <v>29</v>
      </c>
      <c r="M965" s="9">
        <v>912.61</v>
      </c>
    </row>
    <row r="966" spans="1:13" x14ac:dyDescent="0.35">
      <c r="A966" s="9">
        <v>3206</v>
      </c>
      <c r="B966" s="9" t="s">
        <v>34</v>
      </c>
      <c r="C966" s="9" t="s">
        <v>22</v>
      </c>
      <c r="D966" s="9" t="s">
        <v>67</v>
      </c>
      <c r="E966" s="9" t="s">
        <v>60</v>
      </c>
      <c r="F966" s="9">
        <v>-1</v>
      </c>
      <c r="G966" s="9">
        <v>4694.72</v>
      </c>
      <c r="H966" s="9">
        <v>0.57999999999999996</v>
      </c>
      <c r="I966" s="9">
        <v>-1971.78</v>
      </c>
      <c r="J966" s="10">
        <v>45376</v>
      </c>
      <c r="K966" s="9" t="s">
        <v>44</v>
      </c>
      <c r="L966" s="9" t="s">
        <v>25</v>
      </c>
      <c r="M966" s="9">
        <v>3611.24</v>
      </c>
    </row>
    <row r="967" spans="1:13" x14ac:dyDescent="0.35">
      <c r="A967" s="9">
        <v>3209</v>
      </c>
      <c r="B967" s="9" t="s">
        <v>28</v>
      </c>
      <c r="C967" s="9" t="s">
        <v>18</v>
      </c>
      <c r="D967" s="9" t="s">
        <v>33</v>
      </c>
      <c r="E967" s="9" t="s">
        <v>59</v>
      </c>
      <c r="F967" s="9">
        <v>0</v>
      </c>
      <c r="G967" s="9">
        <v>0</v>
      </c>
      <c r="H967" s="9">
        <v>0.17</v>
      </c>
      <c r="I967" s="9">
        <v>0</v>
      </c>
      <c r="J967" s="10">
        <v>45524</v>
      </c>
      <c r="K967" s="9" t="s">
        <v>44</v>
      </c>
      <c r="L967" s="9" t="s">
        <v>25</v>
      </c>
      <c r="M967" s="9">
        <v>1986.27</v>
      </c>
    </row>
    <row r="968" spans="1:13" x14ac:dyDescent="0.35">
      <c r="A968" s="9">
        <v>3210</v>
      </c>
      <c r="B968" s="9" t="s">
        <v>28</v>
      </c>
      <c r="C968" s="9" t="s">
        <v>18</v>
      </c>
      <c r="D968" s="9" t="s">
        <v>37</v>
      </c>
      <c r="E968" s="9" t="s">
        <v>59</v>
      </c>
      <c r="F968" s="9">
        <v>4</v>
      </c>
      <c r="G968" s="9">
        <v>6344.63</v>
      </c>
      <c r="H968" s="9">
        <v>0</v>
      </c>
      <c r="I968" s="9">
        <v>0</v>
      </c>
      <c r="J968" s="10">
        <v>45524</v>
      </c>
      <c r="K968" s="9" t="s">
        <v>45</v>
      </c>
      <c r="L968" s="9" t="s">
        <v>26</v>
      </c>
      <c r="M968" s="9">
        <v>160.72999999999999</v>
      </c>
    </row>
    <row r="969" spans="1:13" x14ac:dyDescent="0.35">
      <c r="A969" s="9">
        <v>3211</v>
      </c>
      <c r="B969" s="9" t="s">
        <v>28</v>
      </c>
      <c r="C969" s="9" t="s">
        <v>21</v>
      </c>
      <c r="D969" s="9" t="s">
        <v>36</v>
      </c>
      <c r="E969" s="9" t="s">
        <v>60</v>
      </c>
      <c r="F969" s="9">
        <v>0</v>
      </c>
      <c r="G969" s="9">
        <v>8346.17</v>
      </c>
      <c r="H969" s="9">
        <v>0.82</v>
      </c>
      <c r="I969" s="9">
        <v>0</v>
      </c>
      <c r="J969" s="10">
        <v>45506</v>
      </c>
      <c r="K969" s="9" t="s">
        <v>44</v>
      </c>
      <c r="L969" s="9" t="s">
        <v>27</v>
      </c>
      <c r="M969" s="9">
        <v>1368.59</v>
      </c>
    </row>
    <row r="970" spans="1:13" x14ac:dyDescent="0.35">
      <c r="A970" s="9">
        <v>3212</v>
      </c>
      <c r="B970" s="9" t="s">
        <v>34</v>
      </c>
      <c r="C970" s="9" t="s">
        <v>19</v>
      </c>
      <c r="D970" s="9" t="s">
        <v>63</v>
      </c>
      <c r="E970" s="9" t="s">
        <v>59</v>
      </c>
      <c r="F970" s="9">
        <v>4</v>
      </c>
      <c r="G970" s="9">
        <v>7670.57</v>
      </c>
      <c r="H970" s="9">
        <v>0</v>
      </c>
      <c r="I970" s="9">
        <v>0</v>
      </c>
      <c r="J970" s="10">
        <v>45570</v>
      </c>
      <c r="K970" s="9" t="s">
        <v>44</v>
      </c>
      <c r="L970" s="9" t="s">
        <v>27</v>
      </c>
      <c r="M970" s="9">
        <v>2025.11</v>
      </c>
    </row>
    <row r="971" spans="1:13" x14ac:dyDescent="0.35">
      <c r="A971" s="9">
        <v>3213</v>
      </c>
      <c r="B971" s="9" t="s">
        <v>31</v>
      </c>
      <c r="C971" s="9" t="s">
        <v>20</v>
      </c>
      <c r="D971" s="9" t="s">
        <v>43</v>
      </c>
      <c r="E971" s="9" t="s">
        <v>62</v>
      </c>
      <c r="F971" s="9">
        <v>0</v>
      </c>
      <c r="G971" s="9">
        <v>0</v>
      </c>
      <c r="H971" s="9">
        <v>0</v>
      </c>
      <c r="I971" s="9">
        <v>0</v>
      </c>
      <c r="J971" s="10">
        <v>45654</v>
      </c>
      <c r="K971" s="9" t="s">
        <v>45</v>
      </c>
      <c r="L971" s="9" t="s">
        <v>27</v>
      </c>
      <c r="M971" s="9">
        <v>3221.7</v>
      </c>
    </row>
    <row r="972" spans="1:13" x14ac:dyDescent="0.35">
      <c r="A972" s="9">
        <v>3214</v>
      </c>
      <c r="B972" s="9" t="s">
        <v>34</v>
      </c>
      <c r="C972" s="9" t="s">
        <v>21</v>
      </c>
      <c r="D972" s="9" t="s">
        <v>71</v>
      </c>
      <c r="E972" s="9" t="s">
        <v>62</v>
      </c>
      <c r="F972" s="9">
        <v>0</v>
      </c>
      <c r="G972" s="9">
        <v>0</v>
      </c>
      <c r="H972" s="9">
        <v>0</v>
      </c>
      <c r="I972" s="9">
        <v>0</v>
      </c>
      <c r="J972" s="10">
        <v>45546</v>
      </c>
      <c r="K972" s="9" t="s">
        <v>45</v>
      </c>
      <c r="L972" s="9" t="s">
        <v>27</v>
      </c>
      <c r="M972" s="9">
        <v>-857.15</v>
      </c>
    </row>
    <row r="973" spans="1:13" x14ac:dyDescent="0.35">
      <c r="A973" s="9">
        <v>3215</v>
      </c>
      <c r="B973" s="9" t="s">
        <v>31</v>
      </c>
      <c r="C973" s="9" t="s">
        <v>19</v>
      </c>
      <c r="D973" s="9" t="s">
        <v>69</v>
      </c>
      <c r="E973" s="9" t="s">
        <v>62</v>
      </c>
      <c r="F973" s="9">
        <v>0</v>
      </c>
      <c r="G973" s="9">
        <v>0</v>
      </c>
      <c r="H973" s="9">
        <v>0</v>
      </c>
      <c r="I973" s="9">
        <v>0</v>
      </c>
      <c r="J973" s="10">
        <v>45342</v>
      </c>
      <c r="K973" s="9" t="s">
        <v>45</v>
      </c>
      <c r="L973" s="9" t="s">
        <v>27</v>
      </c>
      <c r="M973" s="9">
        <v>2109.6799999999998</v>
      </c>
    </row>
    <row r="974" spans="1:13" x14ac:dyDescent="0.35">
      <c r="A974" s="9">
        <v>3216</v>
      </c>
      <c r="B974" s="9" t="s">
        <v>31</v>
      </c>
      <c r="C974" s="9" t="s">
        <v>22</v>
      </c>
      <c r="D974" s="9" t="s">
        <v>65</v>
      </c>
      <c r="E974" s="9" t="s">
        <v>62</v>
      </c>
      <c r="F974" s="9">
        <v>0</v>
      </c>
      <c r="G974" s="9">
        <v>0</v>
      </c>
      <c r="H974" s="9">
        <v>0</v>
      </c>
      <c r="I974" s="9">
        <v>0</v>
      </c>
      <c r="J974" s="10">
        <v>45152</v>
      </c>
      <c r="K974" s="9" t="s">
        <v>45</v>
      </c>
      <c r="L974" s="9" t="s">
        <v>26</v>
      </c>
      <c r="M974" s="9">
        <v>2508.13</v>
      </c>
    </row>
    <row r="975" spans="1:13" x14ac:dyDescent="0.35">
      <c r="A975" s="9">
        <v>3217</v>
      </c>
      <c r="B975" s="9" t="s">
        <v>31</v>
      </c>
      <c r="C975" s="9" t="s">
        <v>19</v>
      </c>
      <c r="D975" s="9" t="s">
        <v>42</v>
      </c>
      <c r="E975" s="9" t="s">
        <v>59</v>
      </c>
      <c r="F975" s="9">
        <v>1</v>
      </c>
      <c r="G975" s="9">
        <v>4819.75</v>
      </c>
      <c r="H975" s="9">
        <v>0.22</v>
      </c>
      <c r="I975" s="9">
        <v>3759.41</v>
      </c>
      <c r="J975" s="10">
        <v>45703</v>
      </c>
      <c r="K975" s="9" t="s">
        <v>44</v>
      </c>
      <c r="L975" s="9" t="s">
        <v>35</v>
      </c>
      <c r="M975" s="9">
        <v>-514.9</v>
      </c>
    </row>
    <row r="976" spans="1:13" x14ac:dyDescent="0.35">
      <c r="A976" s="9">
        <v>3218</v>
      </c>
      <c r="B976" s="9" t="s">
        <v>31</v>
      </c>
      <c r="C976" s="9" t="s">
        <v>20</v>
      </c>
      <c r="D976" s="9" t="s">
        <v>43</v>
      </c>
      <c r="E976" s="9" t="s">
        <v>59</v>
      </c>
      <c r="F976" s="9">
        <v>0</v>
      </c>
      <c r="G976" s="9">
        <v>4854.18</v>
      </c>
      <c r="H976" s="9">
        <v>0</v>
      </c>
      <c r="I976" s="9">
        <v>0</v>
      </c>
      <c r="J976" s="10">
        <v>45564</v>
      </c>
      <c r="K976" s="9" t="s">
        <v>44</v>
      </c>
      <c r="L976" s="9" t="s">
        <v>27</v>
      </c>
      <c r="M976" s="9">
        <v>3807.88</v>
      </c>
    </row>
    <row r="977" spans="1:13" x14ac:dyDescent="0.35">
      <c r="A977" s="9">
        <v>3219</v>
      </c>
      <c r="B977" s="9" t="s">
        <v>28</v>
      </c>
      <c r="C977" s="9" t="s">
        <v>22</v>
      </c>
      <c r="D977" s="9" t="s">
        <v>65</v>
      </c>
      <c r="E977" s="9" t="s">
        <v>62</v>
      </c>
      <c r="F977" s="9">
        <v>0</v>
      </c>
      <c r="G977" s="9">
        <v>2277.83</v>
      </c>
      <c r="H977" s="9">
        <v>1.04</v>
      </c>
      <c r="I977" s="9">
        <v>0</v>
      </c>
      <c r="J977" s="10">
        <v>45733</v>
      </c>
      <c r="K977" s="9" t="s">
        <v>45</v>
      </c>
      <c r="L977" s="9" t="s">
        <v>29</v>
      </c>
      <c r="M977" s="9">
        <v>1151.76</v>
      </c>
    </row>
    <row r="978" spans="1:13" x14ac:dyDescent="0.35">
      <c r="A978" s="9">
        <v>3220</v>
      </c>
      <c r="B978" s="9" t="s">
        <v>28</v>
      </c>
      <c r="C978" s="9" t="s">
        <v>21</v>
      </c>
      <c r="D978" s="9" t="s">
        <v>71</v>
      </c>
      <c r="E978" s="9" t="s">
        <v>59</v>
      </c>
      <c r="F978" s="9">
        <v>0</v>
      </c>
      <c r="G978" s="9">
        <v>0</v>
      </c>
      <c r="H978" s="9">
        <v>0</v>
      </c>
      <c r="I978" s="9">
        <v>0</v>
      </c>
      <c r="J978" s="10">
        <v>45704</v>
      </c>
      <c r="K978" s="9" t="s">
        <v>45</v>
      </c>
      <c r="L978" s="9" t="s">
        <v>25</v>
      </c>
      <c r="M978" s="9">
        <v>2731.04</v>
      </c>
    </row>
    <row r="979" spans="1:13" x14ac:dyDescent="0.35">
      <c r="A979" s="9">
        <v>3222</v>
      </c>
      <c r="B979" s="9" t="s">
        <v>34</v>
      </c>
      <c r="C979" s="9" t="s">
        <v>22</v>
      </c>
      <c r="D979" s="9" t="s">
        <v>65</v>
      </c>
      <c r="E979" s="9" t="s">
        <v>62</v>
      </c>
      <c r="F979" s="9">
        <v>-1</v>
      </c>
      <c r="G979" s="9">
        <v>5300.32</v>
      </c>
      <c r="H979" s="9">
        <v>0</v>
      </c>
      <c r="I979" s="9">
        <v>0</v>
      </c>
      <c r="J979" s="10">
        <v>45573</v>
      </c>
      <c r="K979" s="9" t="s">
        <v>45</v>
      </c>
      <c r="L979" s="9" t="s">
        <v>25</v>
      </c>
      <c r="M979" s="9">
        <v>2593.48</v>
      </c>
    </row>
    <row r="980" spans="1:13" x14ac:dyDescent="0.35">
      <c r="A980" s="9">
        <v>3223</v>
      </c>
      <c r="B980" s="9" t="s">
        <v>31</v>
      </c>
      <c r="C980" s="9" t="s">
        <v>19</v>
      </c>
      <c r="D980" s="9" t="s">
        <v>63</v>
      </c>
      <c r="E980" s="9" t="s">
        <v>59</v>
      </c>
      <c r="F980" s="9">
        <v>0</v>
      </c>
      <c r="G980" s="9">
        <v>0</v>
      </c>
      <c r="H980" s="9">
        <v>0</v>
      </c>
      <c r="I980" s="9">
        <v>0</v>
      </c>
      <c r="J980" s="10">
        <v>45573</v>
      </c>
      <c r="K980" s="9" t="s">
        <v>45</v>
      </c>
      <c r="L980" s="9" t="s">
        <v>29</v>
      </c>
      <c r="M980" s="9">
        <v>3088.54</v>
      </c>
    </row>
    <row r="981" spans="1:13" x14ac:dyDescent="0.35">
      <c r="A981" s="9">
        <v>3225</v>
      </c>
      <c r="B981" s="9" t="s">
        <v>34</v>
      </c>
      <c r="C981" s="9" t="s">
        <v>22</v>
      </c>
      <c r="D981" s="9" t="s">
        <v>67</v>
      </c>
      <c r="E981" s="9" t="s">
        <v>60</v>
      </c>
      <c r="F981" s="9">
        <v>0</v>
      </c>
      <c r="G981" s="9">
        <v>7364.6</v>
      </c>
      <c r="H981" s="9">
        <v>0</v>
      </c>
      <c r="I981" s="9">
        <v>0</v>
      </c>
      <c r="J981" s="10">
        <v>45280</v>
      </c>
      <c r="K981" s="9" t="s">
        <v>44</v>
      </c>
      <c r="L981" s="9" t="s">
        <v>27</v>
      </c>
      <c r="M981" s="9">
        <v>-458.05</v>
      </c>
    </row>
    <row r="982" spans="1:13" x14ac:dyDescent="0.35">
      <c r="A982" s="9">
        <v>3227</v>
      </c>
      <c r="B982" s="9" t="s">
        <v>28</v>
      </c>
      <c r="C982" s="9" t="s">
        <v>18</v>
      </c>
      <c r="D982" s="9" t="s">
        <v>38</v>
      </c>
      <c r="E982" s="9" t="s">
        <v>59</v>
      </c>
      <c r="F982" s="9">
        <v>1</v>
      </c>
      <c r="G982" s="9">
        <v>0</v>
      </c>
      <c r="H982" s="9">
        <v>0.2</v>
      </c>
      <c r="I982" s="9">
        <v>0</v>
      </c>
      <c r="J982" s="10">
        <v>45280</v>
      </c>
      <c r="K982" s="9" t="s">
        <v>45</v>
      </c>
      <c r="L982" s="9" t="s">
        <v>29</v>
      </c>
      <c r="M982" s="9">
        <v>-604.23</v>
      </c>
    </row>
    <row r="983" spans="1:13" x14ac:dyDescent="0.35">
      <c r="A983" s="9">
        <v>3228</v>
      </c>
      <c r="B983" s="9" t="s">
        <v>34</v>
      </c>
      <c r="C983" s="9" t="s">
        <v>22</v>
      </c>
      <c r="D983" s="9" t="s">
        <v>30</v>
      </c>
      <c r="E983" s="9" t="s">
        <v>62</v>
      </c>
      <c r="F983" s="9">
        <v>0</v>
      </c>
      <c r="G983" s="9">
        <v>6745.63</v>
      </c>
      <c r="H983" s="9">
        <v>0</v>
      </c>
      <c r="I983" s="9">
        <v>0</v>
      </c>
      <c r="J983" s="10">
        <v>45766</v>
      </c>
      <c r="K983" s="9" t="s">
        <v>44</v>
      </c>
      <c r="L983" s="9" t="s">
        <v>25</v>
      </c>
      <c r="M983" s="9">
        <v>3620.9</v>
      </c>
    </row>
    <row r="984" spans="1:13" x14ac:dyDescent="0.35">
      <c r="A984" s="9">
        <v>3230</v>
      </c>
      <c r="B984" s="9" t="s">
        <v>31</v>
      </c>
      <c r="C984" s="9" t="s">
        <v>19</v>
      </c>
      <c r="D984" s="9" t="s">
        <v>69</v>
      </c>
      <c r="E984" s="9" t="s">
        <v>62</v>
      </c>
      <c r="F984" s="9">
        <v>0</v>
      </c>
      <c r="G984" s="9">
        <v>7398.98</v>
      </c>
      <c r="H984" s="9">
        <v>0.87</v>
      </c>
      <c r="I984" s="9">
        <v>0</v>
      </c>
      <c r="J984" s="10">
        <v>45766</v>
      </c>
      <c r="K984" s="9" t="s">
        <v>44</v>
      </c>
      <c r="L984" s="9" t="s">
        <v>29</v>
      </c>
      <c r="M984" s="9">
        <v>3634.75</v>
      </c>
    </row>
    <row r="985" spans="1:13" x14ac:dyDescent="0.35">
      <c r="A985" s="9">
        <v>3231</v>
      </c>
      <c r="B985" s="9" t="s">
        <v>31</v>
      </c>
      <c r="C985" s="9" t="s">
        <v>21</v>
      </c>
      <c r="D985" s="9" t="s">
        <v>71</v>
      </c>
      <c r="E985" s="9" t="s">
        <v>60</v>
      </c>
      <c r="F985" s="9">
        <v>0</v>
      </c>
      <c r="G985" s="9">
        <v>6406.53</v>
      </c>
      <c r="H985" s="9">
        <v>0.9</v>
      </c>
      <c r="I985" s="9">
        <v>0</v>
      </c>
      <c r="J985" s="10">
        <v>45643</v>
      </c>
      <c r="K985" s="9" t="s">
        <v>45</v>
      </c>
      <c r="L985" s="9" t="s">
        <v>27</v>
      </c>
      <c r="M985" s="9">
        <v>2859.55</v>
      </c>
    </row>
    <row r="986" spans="1:13" x14ac:dyDescent="0.35">
      <c r="A986" s="9">
        <v>3233</v>
      </c>
      <c r="B986" s="9" t="s">
        <v>31</v>
      </c>
      <c r="C986" s="9" t="s">
        <v>19</v>
      </c>
      <c r="D986" s="9" t="s">
        <v>69</v>
      </c>
      <c r="E986" s="9" t="s">
        <v>59</v>
      </c>
      <c r="F986" s="9">
        <v>1</v>
      </c>
      <c r="G986" s="9">
        <v>4091.68</v>
      </c>
      <c r="H986" s="9">
        <v>0</v>
      </c>
      <c r="I986" s="9">
        <v>0</v>
      </c>
      <c r="J986" s="10">
        <v>45773</v>
      </c>
      <c r="K986" s="9" t="s">
        <v>44</v>
      </c>
      <c r="L986" s="9" t="s">
        <v>32</v>
      </c>
      <c r="M986" s="9">
        <v>571.79999999999995</v>
      </c>
    </row>
    <row r="987" spans="1:13" x14ac:dyDescent="0.35">
      <c r="A987" s="9">
        <v>3234</v>
      </c>
      <c r="B987" s="9" t="s">
        <v>34</v>
      </c>
      <c r="C987" s="9" t="s">
        <v>19</v>
      </c>
      <c r="D987" s="9" t="s">
        <v>69</v>
      </c>
      <c r="E987" s="9" t="s">
        <v>62</v>
      </c>
      <c r="F987" s="9">
        <v>0</v>
      </c>
      <c r="G987" s="9">
        <v>0</v>
      </c>
      <c r="H987" s="9">
        <v>0</v>
      </c>
      <c r="I987" s="9">
        <v>0</v>
      </c>
      <c r="J987" s="10">
        <v>45791</v>
      </c>
      <c r="K987" s="9" t="s">
        <v>45</v>
      </c>
      <c r="L987" s="9" t="s">
        <v>29</v>
      </c>
      <c r="M987" s="9">
        <v>327.76</v>
      </c>
    </row>
    <row r="988" spans="1:13" x14ac:dyDescent="0.35">
      <c r="A988" s="9">
        <v>3237</v>
      </c>
      <c r="B988" s="9" t="s">
        <v>34</v>
      </c>
      <c r="C988" s="9" t="s">
        <v>22</v>
      </c>
      <c r="D988" s="9" t="s">
        <v>30</v>
      </c>
      <c r="E988" s="9" t="s">
        <v>60</v>
      </c>
      <c r="F988" s="9">
        <v>3</v>
      </c>
      <c r="G988" s="9">
        <v>5596.52</v>
      </c>
      <c r="H988" s="9">
        <v>0</v>
      </c>
      <c r="I988" s="9">
        <v>0</v>
      </c>
      <c r="J988" s="10">
        <v>45520</v>
      </c>
      <c r="K988" s="9" t="s">
        <v>44</v>
      </c>
      <c r="L988" s="9" t="s">
        <v>26</v>
      </c>
      <c r="M988" s="9">
        <v>2926.28</v>
      </c>
    </row>
    <row r="989" spans="1:13" x14ac:dyDescent="0.35">
      <c r="A989" s="9">
        <v>3238</v>
      </c>
      <c r="B989" s="9" t="s">
        <v>28</v>
      </c>
      <c r="C989" s="9" t="s">
        <v>18</v>
      </c>
      <c r="D989" s="9" t="s">
        <v>37</v>
      </c>
      <c r="E989" s="9" t="s">
        <v>62</v>
      </c>
      <c r="F989" s="9">
        <v>1</v>
      </c>
      <c r="G989" s="9">
        <v>4420.21</v>
      </c>
      <c r="H989" s="9">
        <v>0.32</v>
      </c>
      <c r="I989" s="9">
        <v>3005.74</v>
      </c>
      <c r="J989" s="10">
        <v>45520</v>
      </c>
      <c r="K989" s="9" t="s">
        <v>44</v>
      </c>
      <c r="L989" s="9" t="s">
        <v>26</v>
      </c>
      <c r="M989" s="9">
        <v>705.58</v>
      </c>
    </row>
    <row r="990" spans="1:13" x14ac:dyDescent="0.35">
      <c r="A990" s="9">
        <v>3239</v>
      </c>
      <c r="B990" s="9" t="s">
        <v>31</v>
      </c>
      <c r="C990" s="9" t="s">
        <v>20</v>
      </c>
      <c r="D990" s="9" t="s">
        <v>70</v>
      </c>
      <c r="E990" s="9" t="s">
        <v>62</v>
      </c>
      <c r="F990" s="9">
        <v>-1</v>
      </c>
      <c r="G990" s="9">
        <v>0</v>
      </c>
      <c r="H990" s="9">
        <v>0</v>
      </c>
      <c r="I990" s="9">
        <v>0</v>
      </c>
      <c r="J990" s="10">
        <v>45520</v>
      </c>
      <c r="K990" s="9" t="s">
        <v>44</v>
      </c>
      <c r="L990" s="9" t="s">
        <v>26</v>
      </c>
      <c r="M990" s="9">
        <v>1810.07</v>
      </c>
    </row>
    <row r="991" spans="1:13" x14ac:dyDescent="0.35">
      <c r="A991" s="9">
        <v>3240</v>
      </c>
      <c r="B991" s="9" t="s">
        <v>34</v>
      </c>
      <c r="C991" s="9" t="s">
        <v>22</v>
      </c>
      <c r="D991" s="9" t="s">
        <v>68</v>
      </c>
      <c r="E991" s="9" t="s">
        <v>59</v>
      </c>
      <c r="F991" s="9">
        <v>-1</v>
      </c>
      <c r="G991" s="9">
        <v>8776.59</v>
      </c>
      <c r="H991" s="9">
        <v>0</v>
      </c>
      <c r="I991" s="9">
        <v>0</v>
      </c>
      <c r="J991" s="10">
        <v>45439</v>
      </c>
      <c r="K991" s="9" t="s">
        <v>44</v>
      </c>
      <c r="L991" s="9" t="s">
        <v>32</v>
      </c>
      <c r="M991" s="9">
        <v>-1020.05</v>
      </c>
    </row>
    <row r="992" spans="1:13" x14ac:dyDescent="0.35">
      <c r="A992" s="9">
        <v>3241</v>
      </c>
      <c r="B992" s="9" t="s">
        <v>28</v>
      </c>
      <c r="C992" s="9" t="s">
        <v>22</v>
      </c>
      <c r="D992" s="9" t="s">
        <v>30</v>
      </c>
      <c r="E992" s="9" t="s">
        <v>62</v>
      </c>
      <c r="F992" s="9">
        <v>0</v>
      </c>
      <c r="G992" s="9">
        <v>7477.49</v>
      </c>
      <c r="H992" s="9">
        <v>0</v>
      </c>
      <c r="I992" s="9">
        <v>0</v>
      </c>
      <c r="J992" s="10">
        <v>45628</v>
      </c>
      <c r="K992" s="9" t="s">
        <v>44</v>
      </c>
      <c r="L992" s="9" t="s">
        <v>25</v>
      </c>
      <c r="M992" s="9">
        <v>3176.2</v>
      </c>
    </row>
    <row r="993" spans="1:13" x14ac:dyDescent="0.35">
      <c r="A993" s="9">
        <v>3242</v>
      </c>
      <c r="B993" s="9" t="s">
        <v>31</v>
      </c>
      <c r="C993" s="9" t="s">
        <v>22</v>
      </c>
      <c r="D993" s="9" t="s">
        <v>30</v>
      </c>
      <c r="E993" s="9" t="s">
        <v>60</v>
      </c>
      <c r="F993" s="9">
        <v>0</v>
      </c>
      <c r="G993" s="9">
        <v>9677.18</v>
      </c>
      <c r="H993" s="9">
        <v>0.59</v>
      </c>
      <c r="I993" s="9">
        <v>0</v>
      </c>
      <c r="J993" s="10">
        <v>45528</v>
      </c>
      <c r="K993" s="9" t="s">
        <v>44</v>
      </c>
      <c r="L993" s="9" t="s">
        <v>25</v>
      </c>
      <c r="M993" s="9">
        <v>609.45000000000005</v>
      </c>
    </row>
    <row r="994" spans="1:13" x14ac:dyDescent="0.35">
      <c r="A994" s="9">
        <v>3243</v>
      </c>
      <c r="B994" s="9" t="s">
        <v>31</v>
      </c>
      <c r="C994" s="9" t="s">
        <v>21</v>
      </c>
      <c r="D994" s="9" t="s">
        <v>40</v>
      </c>
      <c r="E994" s="9" t="s">
        <v>60</v>
      </c>
      <c r="F994" s="9">
        <v>3</v>
      </c>
      <c r="G994" s="9">
        <v>0</v>
      </c>
      <c r="H994" s="9">
        <v>0</v>
      </c>
      <c r="I994" s="9">
        <v>0</v>
      </c>
      <c r="J994" s="10">
        <v>45590</v>
      </c>
      <c r="K994" s="9" t="s">
        <v>44</v>
      </c>
      <c r="L994" s="9" t="s">
        <v>35</v>
      </c>
      <c r="M994" s="9">
        <v>1943.22</v>
      </c>
    </row>
    <row r="995" spans="1:13" x14ac:dyDescent="0.35">
      <c r="A995" s="9">
        <v>3244</v>
      </c>
      <c r="B995" s="9" t="s">
        <v>28</v>
      </c>
      <c r="C995" s="9" t="s">
        <v>18</v>
      </c>
      <c r="D995" s="9" t="s">
        <v>41</v>
      </c>
      <c r="E995" s="9" t="s">
        <v>59</v>
      </c>
      <c r="F995" s="9">
        <v>0</v>
      </c>
      <c r="G995" s="9">
        <v>0</v>
      </c>
      <c r="H995" s="9">
        <v>0</v>
      </c>
      <c r="I995" s="9">
        <v>0</v>
      </c>
      <c r="J995" s="10">
        <v>45729</v>
      </c>
      <c r="K995" s="9" t="s">
        <v>45</v>
      </c>
      <c r="L995" s="9" t="s">
        <v>32</v>
      </c>
      <c r="M995" s="9">
        <v>1750.18</v>
      </c>
    </row>
    <row r="996" spans="1:13" x14ac:dyDescent="0.35">
      <c r="A996" s="9">
        <v>3245</v>
      </c>
      <c r="B996" s="9" t="s">
        <v>28</v>
      </c>
      <c r="C996" s="9" t="s">
        <v>20</v>
      </c>
      <c r="D996" s="9" t="s">
        <v>61</v>
      </c>
      <c r="E996" s="9" t="s">
        <v>60</v>
      </c>
      <c r="F996" s="9">
        <v>3</v>
      </c>
      <c r="G996" s="9">
        <v>0</v>
      </c>
      <c r="H996" s="9">
        <v>0</v>
      </c>
      <c r="I996" s="9">
        <v>0</v>
      </c>
      <c r="J996" s="10">
        <v>45431</v>
      </c>
      <c r="K996" s="9" t="s">
        <v>44</v>
      </c>
      <c r="L996" s="9" t="s">
        <v>35</v>
      </c>
      <c r="M996" s="9">
        <v>3102.91</v>
      </c>
    </row>
    <row r="997" spans="1:13" x14ac:dyDescent="0.35">
      <c r="A997" s="9">
        <v>3246</v>
      </c>
      <c r="B997" s="9" t="s">
        <v>31</v>
      </c>
      <c r="C997" s="9" t="s">
        <v>20</v>
      </c>
      <c r="D997" s="9" t="s">
        <v>43</v>
      </c>
      <c r="E997" s="9" t="s">
        <v>59</v>
      </c>
      <c r="F997" s="9">
        <v>0</v>
      </c>
      <c r="G997" s="9">
        <v>7787.74</v>
      </c>
      <c r="H997" s="9">
        <v>0</v>
      </c>
      <c r="I997" s="9">
        <v>0</v>
      </c>
      <c r="J997" s="10">
        <v>45791</v>
      </c>
      <c r="K997" s="9" t="s">
        <v>45</v>
      </c>
      <c r="L997" s="9" t="s">
        <v>35</v>
      </c>
      <c r="M997" s="9">
        <v>479.25</v>
      </c>
    </row>
    <row r="998" spans="1:13" x14ac:dyDescent="0.35">
      <c r="A998" s="9">
        <v>3248</v>
      </c>
      <c r="B998" s="9" t="s">
        <v>28</v>
      </c>
      <c r="C998" s="9" t="s">
        <v>21</v>
      </c>
      <c r="D998" s="9" t="s">
        <v>36</v>
      </c>
      <c r="E998" s="9" t="s">
        <v>59</v>
      </c>
      <c r="F998" s="9">
        <v>0</v>
      </c>
      <c r="G998" s="9">
        <v>8234.91</v>
      </c>
      <c r="H998" s="9">
        <v>0</v>
      </c>
      <c r="I998" s="9">
        <v>0</v>
      </c>
      <c r="J998" s="10">
        <v>45620</v>
      </c>
      <c r="K998" s="9" t="s">
        <v>45</v>
      </c>
      <c r="L998" s="9" t="s">
        <v>26</v>
      </c>
      <c r="M998" s="9">
        <v>2984.1</v>
      </c>
    </row>
    <row r="999" spans="1:13" x14ac:dyDescent="0.35">
      <c r="A999" s="9">
        <v>3249</v>
      </c>
      <c r="B999" s="9" t="s">
        <v>34</v>
      </c>
      <c r="C999" s="9" t="s">
        <v>21</v>
      </c>
      <c r="D999" s="9" t="s">
        <v>36</v>
      </c>
      <c r="E999" s="9" t="s">
        <v>59</v>
      </c>
      <c r="F999" s="9">
        <v>1</v>
      </c>
      <c r="G999" s="9">
        <v>4738.25</v>
      </c>
      <c r="H999" s="9">
        <v>0</v>
      </c>
      <c r="I999" s="9">
        <v>0</v>
      </c>
      <c r="J999" s="10">
        <v>45713</v>
      </c>
      <c r="K999" s="9" t="s">
        <v>45</v>
      </c>
      <c r="L999" s="9" t="s">
        <v>25</v>
      </c>
      <c r="M999" s="9">
        <v>731.1</v>
      </c>
    </row>
    <row r="1000" spans="1:13" x14ac:dyDescent="0.35">
      <c r="A1000" s="9">
        <v>3250</v>
      </c>
      <c r="B1000" s="9" t="s">
        <v>28</v>
      </c>
      <c r="C1000" s="9" t="s">
        <v>21</v>
      </c>
      <c r="D1000" s="9" t="s">
        <v>40</v>
      </c>
      <c r="E1000" s="9" t="s">
        <v>60</v>
      </c>
      <c r="F1000" s="9">
        <v>0</v>
      </c>
      <c r="G1000" s="9">
        <v>0</v>
      </c>
      <c r="H1000" s="9">
        <v>0</v>
      </c>
      <c r="I1000" s="9">
        <v>0</v>
      </c>
      <c r="J1000" s="10">
        <v>45553</v>
      </c>
      <c r="K1000" s="9" t="s">
        <v>45</v>
      </c>
      <c r="L1000" s="9" t="s">
        <v>35</v>
      </c>
      <c r="M1000" s="9">
        <v>1172.07</v>
      </c>
    </row>
    <row r="1001" spans="1:13" x14ac:dyDescent="0.35">
      <c r="A1001" s="9">
        <v>3251</v>
      </c>
      <c r="B1001" s="9" t="s">
        <v>31</v>
      </c>
      <c r="C1001" s="9" t="s">
        <v>19</v>
      </c>
      <c r="D1001" s="9" t="s">
        <v>39</v>
      </c>
      <c r="E1001" s="9" t="s">
        <v>59</v>
      </c>
      <c r="F1001" s="9">
        <v>-1</v>
      </c>
      <c r="G1001" s="9">
        <v>6735.33</v>
      </c>
      <c r="H1001" s="9">
        <v>0</v>
      </c>
      <c r="I1001" s="9">
        <v>0</v>
      </c>
      <c r="J1001" s="10">
        <v>45566</v>
      </c>
      <c r="K1001" s="9" t="s">
        <v>44</v>
      </c>
      <c r="L1001" s="9" t="s">
        <v>27</v>
      </c>
      <c r="M1001" s="9">
        <v>3462.04</v>
      </c>
    </row>
    <row r="1002" spans="1:13" x14ac:dyDescent="0.35">
      <c r="A1002" s="9">
        <v>3252</v>
      </c>
      <c r="B1002" s="9" t="s">
        <v>31</v>
      </c>
      <c r="C1002" s="9" t="s">
        <v>22</v>
      </c>
      <c r="D1002" s="9" t="s">
        <v>68</v>
      </c>
      <c r="E1002" s="9" t="s">
        <v>59</v>
      </c>
      <c r="F1002" s="9">
        <v>1</v>
      </c>
      <c r="G1002" s="9">
        <v>0</v>
      </c>
      <c r="H1002" s="9">
        <v>0</v>
      </c>
      <c r="I1002" s="9">
        <v>0</v>
      </c>
      <c r="J1002" s="10">
        <v>45377</v>
      </c>
      <c r="K1002" s="9" t="s">
        <v>45</v>
      </c>
      <c r="L1002" s="9" t="s">
        <v>26</v>
      </c>
      <c r="M1002" s="9">
        <v>-563.83000000000004</v>
      </c>
    </row>
    <row r="1003" spans="1:13" x14ac:dyDescent="0.35">
      <c r="A1003" s="9">
        <v>3253</v>
      </c>
      <c r="B1003" s="9" t="s">
        <v>34</v>
      </c>
      <c r="C1003" s="9" t="s">
        <v>20</v>
      </c>
      <c r="D1003" s="9" t="s">
        <v>43</v>
      </c>
      <c r="E1003" s="9" t="s">
        <v>59</v>
      </c>
      <c r="F1003" s="9">
        <v>0</v>
      </c>
      <c r="G1003" s="9">
        <v>0</v>
      </c>
      <c r="H1003" s="9">
        <v>0</v>
      </c>
      <c r="I1003" s="9">
        <v>0</v>
      </c>
      <c r="J1003" s="10">
        <v>45764</v>
      </c>
      <c r="K1003" s="9" t="s">
        <v>45</v>
      </c>
      <c r="L1003" s="9" t="s">
        <v>25</v>
      </c>
      <c r="M1003" s="9">
        <v>2267.92</v>
      </c>
    </row>
    <row r="1004" spans="1:13" x14ac:dyDescent="0.35">
      <c r="A1004" s="9">
        <v>3255</v>
      </c>
      <c r="B1004" s="9" t="s">
        <v>34</v>
      </c>
      <c r="C1004" s="9" t="s">
        <v>22</v>
      </c>
      <c r="D1004" s="9" t="s">
        <v>65</v>
      </c>
      <c r="E1004" s="9" t="s">
        <v>62</v>
      </c>
      <c r="F1004" s="9">
        <v>-1</v>
      </c>
      <c r="G1004" s="9">
        <v>6975.67</v>
      </c>
      <c r="H1004" s="9">
        <v>0</v>
      </c>
      <c r="I1004" s="9">
        <v>0</v>
      </c>
      <c r="J1004" s="10">
        <v>45718</v>
      </c>
      <c r="K1004" s="9" t="s">
        <v>45</v>
      </c>
      <c r="L1004" s="9" t="s">
        <v>25</v>
      </c>
      <c r="M1004" s="9">
        <v>960.65</v>
      </c>
    </row>
    <row r="1005" spans="1:13" x14ac:dyDescent="0.35">
      <c r="A1005" s="9">
        <v>3256</v>
      </c>
      <c r="B1005" s="9" t="s">
        <v>31</v>
      </c>
      <c r="C1005" s="9" t="s">
        <v>18</v>
      </c>
      <c r="D1005" s="9" t="s">
        <v>37</v>
      </c>
      <c r="E1005" s="9" t="s">
        <v>59</v>
      </c>
      <c r="F1005" s="9">
        <v>0</v>
      </c>
      <c r="G1005" s="9">
        <v>4814.32</v>
      </c>
      <c r="H1005" s="9">
        <v>0</v>
      </c>
      <c r="I1005" s="9">
        <v>0</v>
      </c>
      <c r="J1005" s="10">
        <v>45718</v>
      </c>
      <c r="K1005" s="9" t="s">
        <v>44</v>
      </c>
      <c r="L1005" s="9" t="s">
        <v>32</v>
      </c>
      <c r="M1005" s="9">
        <v>-583.08000000000004</v>
      </c>
    </row>
    <row r="1006" spans="1:13" x14ac:dyDescent="0.35">
      <c r="A1006" s="9">
        <v>3257</v>
      </c>
      <c r="B1006" s="9" t="s">
        <v>28</v>
      </c>
      <c r="C1006" s="9" t="s">
        <v>20</v>
      </c>
      <c r="D1006" s="9" t="s">
        <v>66</v>
      </c>
      <c r="E1006" s="9" t="s">
        <v>59</v>
      </c>
      <c r="F1006" s="9">
        <v>-1</v>
      </c>
      <c r="G1006" s="9">
        <v>7056.01</v>
      </c>
      <c r="H1006" s="9">
        <v>0</v>
      </c>
      <c r="I1006" s="9">
        <v>0</v>
      </c>
      <c r="J1006" s="10">
        <v>45676</v>
      </c>
      <c r="K1006" s="9" t="s">
        <v>44</v>
      </c>
      <c r="L1006" s="9" t="s">
        <v>27</v>
      </c>
      <c r="M1006" s="9">
        <v>1190.8900000000001</v>
      </c>
    </row>
    <row r="1007" spans="1:13" x14ac:dyDescent="0.35">
      <c r="A1007" s="9">
        <v>3258</v>
      </c>
      <c r="B1007" s="9" t="s">
        <v>31</v>
      </c>
      <c r="C1007" s="9" t="s">
        <v>21</v>
      </c>
      <c r="D1007" s="9" t="s">
        <v>71</v>
      </c>
      <c r="E1007" s="9" t="s">
        <v>59</v>
      </c>
      <c r="F1007" s="9">
        <v>0</v>
      </c>
      <c r="G1007" s="9">
        <v>0</v>
      </c>
      <c r="H1007" s="9">
        <v>0</v>
      </c>
      <c r="I1007" s="9">
        <v>0</v>
      </c>
      <c r="J1007" s="10">
        <v>45676</v>
      </c>
      <c r="K1007" s="9" t="s">
        <v>45</v>
      </c>
      <c r="L1007" s="9" t="s">
        <v>26</v>
      </c>
      <c r="M1007" s="9">
        <v>853.35</v>
      </c>
    </row>
    <row r="1008" spans="1:13" x14ac:dyDescent="0.35">
      <c r="A1008" s="9">
        <v>3259</v>
      </c>
      <c r="B1008" s="9" t="s">
        <v>28</v>
      </c>
      <c r="C1008" s="9" t="s">
        <v>21</v>
      </c>
      <c r="D1008" s="9" t="s">
        <v>40</v>
      </c>
      <c r="E1008" s="9" t="s">
        <v>59</v>
      </c>
      <c r="F1008" s="9">
        <v>0</v>
      </c>
      <c r="G1008" s="9">
        <v>7305.78</v>
      </c>
      <c r="H1008" s="9">
        <v>0</v>
      </c>
      <c r="I1008" s="9">
        <v>0</v>
      </c>
      <c r="J1008" s="10">
        <v>45842</v>
      </c>
      <c r="K1008" s="9" t="s">
        <v>44</v>
      </c>
      <c r="L1008" s="9" t="s">
        <v>26</v>
      </c>
      <c r="M1008" s="9">
        <v>573.79</v>
      </c>
    </row>
    <row r="1009" spans="1:13" x14ac:dyDescent="0.35">
      <c r="A1009" s="9">
        <v>3260</v>
      </c>
      <c r="B1009" s="9" t="s">
        <v>31</v>
      </c>
      <c r="C1009" s="9" t="s">
        <v>19</v>
      </c>
      <c r="D1009" s="9" t="s">
        <v>63</v>
      </c>
      <c r="E1009" s="9" t="s">
        <v>59</v>
      </c>
      <c r="F1009" s="9">
        <v>1</v>
      </c>
      <c r="G1009" s="9">
        <v>0</v>
      </c>
      <c r="H1009" s="9">
        <v>0</v>
      </c>
      <c r="I1009" s="9">
        <v>0</v>
      </c>
      <c r="J1009" s="10">
        <v>45836</v>
      </c>
      <c r="K1009" s="9" t="s">
        <v>45</v>
      </c>
      <c r="L1009" s="9" t="s">
        <v>26</v>
      </c>
      <c r="M1009" s="9">
        <v>1287.17</v>
      </c>
    </row>
    <row r="1010" spans="1:13" x14ac:dyDescent="0.35">
      <c r="A1010" s="9">
        <v>3261</v>
      </c>
      <c r="B1010" s="9" t="s">
        <v>31</v>
      </c>
      <c r="C1010" s="9" t="s">
        <v>22</v>
      </c>
      <c r="D1010" s="9" t="s">
        <v>65</v>
      </c>
      <c r="E1010" s="9" t="s">
        <v>62</v>
      </c>
      <c r="F1010" s="9">
        <v>0</v>
      </c>
      <c r="G1010" s="9">
        <v>0</v>
      </c>
      <c r="H1010" s="9">
        <v>0</v>
      </c>
      <c r="I1010" s="9">
        <v>0</v>
      </c>
      <c r="J1010" s="10">
        <v>45622</v>
      </c>
      <c r="K1010" s="9" t="s">
        <v>45</v>
      </c>
      <c r="L1010" s="9" t="s">
        <v>32</v>
      </c>
      <c r="M1010" s="9">
        <v>472.79</v>
      </c>
    </row>
    <row r="1011" spans="1:13" x14ac:dyDescent="0.35">
      <c r="A1011" s="9">
        <v>3262</v>
      </c>
      <c r="B1011" s="9" t="s">
        <v>28</v>
      </c>
      <c r="C1011" s="9" t="s">
        <v>22</v>
      </c>
      <c r="D1011" s="9" t="s">
        <v>30</v>
      </c>
      <c r="E1011" s="9" t="s">
        <v>59</v>
      </c>
      <c r="F1011" s="9">
        <v>0</v>
      </c>
      <c r="G1011" s="9">
        <v>0</v>
      </c>
      <c r="H1011" s="9">
        <v>0</v>
      </c>
      <c r="I1011" s="9">
        <v>0</v>
      </c>
      <c r="J1011" s="10">
        <v>45652</v>
      </c>
      <c r="K1011" s="9" t="s">
        <v>44</v>
      </c>
      <c r="L1011" s="9" t="s">
        <v>25</v>
      </c>
      <c r="M1011" s="9">
        <v>1490.29</v>
      </c>
    </row>
    <row r="1012" spans="1:13" x14ac:dyDescent="0.35">
      <c r="A1012" s="9">
        <v>3263</v>
      </c>
      <c r="B1012" s="9" t="s">
        <v>28</v>
      </c>
      <c r="C1012" s="9" t="s">
        <v>20</v>
      </c>
      <c r="D1012" s="9" t="s">
        <v>61</v>
      </c>
      <c r="E1012" s="9" t="s">
        <v>60</v>
      </c>
      <c r="F1012" s="9">
        <v>4</v>
      </c>
      <c r="G1012" s="9">
        <v>0</v>
      </c>
      <c r="H1012" s="9">
        <v>0</v>
      </c>
      <c r="I1012" s="9">
        <v>0</v>
      </c>
      <c r="J1012" s="10">
        <v>45711</v>
      </c>
      <c r="K1012" s="9" t="s">
        <v>45</v>
      </c>
      <c r="L1012" s="9" t="s">
        <v>26</v>
      </c>
      <c r="M1012" s="9">
        <v>2278.12</v>
      </c>
    </row>
    <row r="1013" spans="1:13" x14ac:dyDescent="0.35">
      <c r="A1013" s="9">
        <v>3265</v>
      </c>
      <c r="B1013" s="9" t="s">
        <v>28</v>
      </c>
      <c r="C1013" s="9" t="s">
        <v>19</v>
      </c>
      <c r="D1013" s="9" t="s">
        <v>63</v>
      </c>
      <c r="E1013" s="9" t="s">
        <v>59</v>
      </c>
      <c r="F1013" s="9">
        <v>4</v>
      </c>
      <c r="G1013" s="9">
        <v>0</v>
      </c>
      <c r="H1013" s="9">
        <v>0</v>
      </c>
      <c r="I1013" s="9">
        <v>0</v>
      </c>
      <c r="J1013" s="10">
        <v>45557</v>
      </c>
      <c r="K1013" s="9" t="s">
        <v>44</v>
      </c>
      <c r="L1013" s="9" t="s">
        <v>25</v>
      </c>
      <c r="M1013" s="9">
        <v>2860.71</v>
      </c>
    </row>
    <row r="1014" spans="1:13" x14ac:dyDescent="0.35">
      <c r="A1014" s="9">
        <v>2006</v>
      </c>
      <c r="B1014" s="9" t="s">
        <v>34</v>
      </c>
      <c r="C1014" s="9" t="s">
        <v>18</v>
      </c>
      <c r="D1014" s="9" t="s">
        <v>33</v>
      </c>
      <c r="E1014" s="9" t="s">
        <v>59</v>
      </c>
      <c r="F1014" s="9">
        <v>3</v>
      </c>
      <c r="G1014" s="9">
        <v>0</v>
      </c>
      <c r="H1014" s="9">
        <v>0</v>
      </c>
      <c r="I1014" s="9">
        <v>0</v>
      </c>
      <c r="J1014" s="10">
        <v>45557</v>
      </c>
      <c r="K1014" s="9" t="s">
        <v>44</v>
      </c>
      <c r="L1014" s="9" t="s">
        <v>29</v>
      </c>
      <c r="M1014" s="9">
        <v>-573.17999999999995</v>
      </c>
    </row>
    <row r="1015" spans="1:13" x14ac:dyDescent="0.35">
      <c r="A1015" s="9">
        <v>3268</v>
      </c>
      <c r="B1015" s="9" t="s">
        <v>31</v>
      </c>
      <c r="C1015" s="9" t="s">
        <v>19</v>
      </c>
      <c r="D1015" s="9" t="s">
        <v>63</v>
      </c>
      <c r="E1015" s="9" t="s">
        <v>60</v>
      </c>
      <c r="F1015" s="9">
        <v>0</v>
      </c>
      <c r="G1015" s="9">
        <v>0</v>
      </c>
      <c r="H1015" s="9">
        <v>0</v>
      </c>
      <c r="I1015" s="9">
        <v>0</v>
      </c>
      <c r="J1015" s="10">
        <v>45849</v>
      </c>
      <c r="K1015" s="9" t="s">
        <v>44</v>
      </c>
      <c r="L1015" s="9" t="s">
        <v>26</v>
      </c>
      <c r="M1015" s="9">
        <v>1586.4</v>
      </c>
    </row>
    <row r="1016" spans="1:13" x14ac:dyDescent="0.35">
      <c r="A1016" s="9">
        <v>3269</v>
      </c>
      <c r="B1016" s="9" t="s">
        <v>28</v>
      </c>
      <c r="C1016" s="9" t="s">
        <v>19</v>
      </c>
      <c r="D1016" s="9" t="s">
        <v>63</v>
      </c>
      <c r="E1016" s="9" t="s">
        <v>59</v>
      </c>
      <c r="F1016" s="9">
        <v>0</v>
      </c>
      <c r="G1016" s="9">
        <v>7268.31</v>
      </c>
      <c r="H1016" s="9">
        <v>0</v>
      </c>
      <c r="I1016" s="9">
        <v>0</v>
      </c>
      <c r="J1016" s="10">
        <v>45629</v>
      </c>
      <c r="K1016" s="9" t="s">
        <v>45</v>
      </c>
      <c r="L1016" s="9" t="s">
        <v>26</v>
      </c>
      <c r="M1016" s="9">
        <v>-719.57</v>
      </c>
    </row>
    <row r="1017" spans="1:13" x14ac:dyDescent="0.35">
      <c r="A1017" s="9">
        <v>3270</v>
      </c>
      <c r="B1017" s="9" t="s">
        <v>34</v>
      </c>
      <c r="C1017" s="9" t="s">
        <v>21</v>
      </c>
      <c r="D1017" s="9" t="s">
        <v>71</v>
      </c>
      <c r="E1017" s="9" t="s">
        <v>62</v>
      </c>
      <c r="F1017" s="9">
        <v>0</v>
      </c>
      <c r="G1017" s="9">
        <v>0</v>
      </c>
      <c r="H1017" s="9">
        <v>0</v>
      </c>
      <c r="I1017" s="9">
        <v>0</v>
      </c>
      <c r="J1017" s="10">
        <v>45811</v>
      </c>
      <c r="K1017" s="9" t="s">
        <v>45</v>
      </c>
      <c r="L1017" s="9" t="s">
        <v>35</v>
      </c>
      <c r="M1017" s="9">
        <v>3619.8</v>
      </c>
    </row>
    <row r="1018" spans="1:13" x14ac:dyDescent="0.35">
      <c r="A1018" s="9">
        <v>3271</v>
      </c>
      <c r="B1018" s="9" t="s">
        <v>31</v>
      </c>
      <c r="C1018" s="9" t="s">
        <v>22</v>
      </c>
      <c r="D1018" s="9" t="s">
        <v>30</v>
      </c>
      <c r="E1018" s="9" t="s">
        <v>59</v>
      </c>
      <c r="F1018" s="9">
        <v>0</v>
      </c>
      <c r="G1018" s="9">
        <v>0</v>
      </c>
      <c r="H1018" s="9">
        <v>0</v>
      </c>
      <c r="I1018" s="9">
        <v>0</v>
      </c>
      <c r="J1018" s="10">
        <v>45795</v>
      </c>
      <c r="K1018" s="9" t="s">
        <v>44</v>
      </c>
      <c r="L1018" s="9" t="s">
        <v>32</v>
      </c>
      <c r="M1018" s="9">
        <v>545.1</v>
      </c>
    </row>
    <row r="1019" spans="1:13" x14ac:dyDescent="0.35">
      <c r="A1019" s="9">
        <v>3272</v>
      </c>
      <c r="B1019" s="9" t="s">
        <v>31</v>
      </c>
      <c r="C1019" s="9" t="s">
        <v>21</v>
      </c>
      <c r="D1019" s="9" t="s">
        <v>36</v>
      </c>
      <c r="E1019" s="9" t="s">
        <v>59</v>
      </c>
      <c r="F1019" s="9">
        <v>0</v>
      </c>
      <c r="G1019" s="9">
        <v>0</v>
      </c>
      <c r="H1019" s="9">
        <v>0</v>
      </c>
      <c r="I1019" s="9">
        <v>0</v>
      </c>
      <c r="J1019" s="10">
        <v>45795</v>
      </c>
      <c r="K1019" s="9" t="s">
        <v>44</v>
      </c>
      <c r="L1019" s="9" t="s">
        <v>32</v>
      </c>
      <c r="M1019" s="9">
        <v>-321.24</v>
      </c>
    </row>
    <row r="1020" spans="1:13" x14ac:dyDescent="0.35">
      <c r="A1020" s="9">
        <v>3273</v>
      </c>
      <c r="B1020" s="9" t="s">
        <v>28</v>
      </c>
      <c r="C1020" s="9" t="s">
        <v>19</v>
      </c>
      <c r="D1020" s="9" t="s">
        <v>69</v>
      </c>
      <c r="E1020" s="9" t="s">
        <v>59</v>
      </c>
      <c r="F1020" s="9">
        <v>-1</v>
      </c>
      <c r="G1020" s="9">
        <v>5527.7</v>
      </c>
      <c r="H1020" s="9">
        <v>0.17</v>
      </c>
      <c r="I1020" s="9">
        <v>-4587.99</v>
      </c>
      <c r="J1020" s="10">
        <v>45326</v>
      </c>
      <c r="K1020" s="9" t="s">
        <v>45</v>
      </c>
      <c r="L1020" s="9" t="s">
        <v>25</v>
      </c>
      <c r="M1020" s="9">
        <v>2577.59</v>
      </c>
    </row>
    <row r="1021" spans="1:13" x14ac:dyDescent="0.35">
      <c r="A1021" s="9">
        <v>3274</v>
      </c>
      <c r="B1021" s="9" t="s">
        <v>31</v>
      </c>
      <c r="C1021" s="9" t="s">
        <v>18</v>
      </c>
      <c r="D1021" s="9" t="s">
        <v>37</v>
      </c>
      <c r="E1021" s="9" t="s">
        <v>60</v>
      </c>
      <c r="F1021" s="9">
        <v>3</v>
      </c>
      <c r="G1021" s="9">
        <v>6031.14</v>
      </c>
      <c r="H1021" s="9">
        <v>0.15</v>
      </c>
      <c r="I1021" s="9">
        <v>15379.41</v>
      </c>
      <c r="J1021" s="10">
        <v>45780</v>
      </c>
      <c r="K1021" s="9" t="s">
        <v>44</v>
      </c>
      <c r="L1021" s="9" t="s">
        <v>32</v>
      </c>
      <c r="M1021" s="9">
        <v>169.05</v>
      </c>
    </row>
    <row r="1022" spans="1:13" x14ac:dyDescent="0.35">
      <c r="A1022" s="9">
        <v>3275</v>
      </c>
      <c r="B1022" s="9" t="s">
        <v>28</v>
      </c>
      <c r="C1022" s="9" t="s">
        <v>19</v>
      </c>
      <c r="D1022" s="9" t="s">
        <v>39</v>
      </c>
      <c r="E1022" s="9" t="s">
        <v>60</v>
      </c>
      <c r="F1022" s="9">
        <v>4</v>
      </c>
      <c r="G1022" s="9">
        <v>0</v>
      </c>
      <c r="H1022" s="9">
        <v>0</v>
      </c>
      <c r="I1022" s="9">
        <v>0</v>
      </c>
      <c r="J1022" s="10">
        <v>45804</v>
      </c>
      <c r="K1022" s="9" t="s">
        <v>44</v>
      </c>
      <c r="L1022" s="9" t="s">
        <v>32</v>
      </c>
      <c r="M1022" s="9">
        <v>1652.12</v>
      </c>
    </row>
    <row r="1023" spans="1:13" x14ac:dyDescent="0.35">
      <c r="A1023" s="9">
        <v>3278</v>
      </c>
      <c r="B1023" s="9" t="s">
        <v>34</v>
      </c>
      <c r="C1023" s="9" t="s">
        <v>21</v>
      </c>
      <c r="D1023" s="9" t="s">
        <v>71</v>
      </c>
      <c r="E1023" s="9" t="s">
        <v>60</v>
      </c>
      <c r="F1023" s="9">
        <v>0</v>
      </c>
      <c r="G1023" s="9">
        <v>0</v>
      </c>
      <c r="H1023" s="9">
        <v>0</v>
      </c>
      <c r="I1023" s="9">
        <v>0</v>
      </c>
      <c r="J1023" s="10">
        <v>45663</v>
      </c>
      <c r="K1023" s="9" t="s">
        <v>44</v>
      </c>
      <c r="L1023" s="9" t="s">
        <v>35</v>
      </c>
      <c r="M1023" s="9">
        <v>107.83</v>
      </c>
    </row>
    <row r="1024" spans="1:13" x14ac:dyDescent="0.35">
      <c r="A1024" s="9">
        <v>3279</v>
      </c>
      <c r="B1024" s="9" t="s">
        <v>34</v>
      </c>
      <c r="C1024" s="9" t="s">
        <v>19</v>
      </c>
      <c r="D1024" s="9" t="s">
        <v>63</v>
      </c>
      <c r="E1024" s="9" t="s">
        <v>62</v>
      </c>
      <c r="F1024" s="9">
        <v>4</v>
      </c>
      <c r="G1024" s="9">
        <v>2572.41</v>
      </c>
      <c r="H1024" s="9">
        <v>0.1</v>
      </c>
      <c r="I1024" s="9">
        <v>9260.68</v>
      </c>
      <c r="J1024" s="10">
        <v>45605</v>
      </c>
      <c r="K1024" s="9" t="s">
        <v>44</v>
      </c>
      <c r="L1024" s="9" t="s">
        <v>29</v>
      </c>
      <c r="M1024" s="9">
        <v>3098.28</v>
      </c>
    </row>
    <row r="1025" spans="1:13" x14ac:dyDescent="0.35">
      <c r="A1025" s="9">
        <v>3280</v>
      </c>
      <c r="B1025" s="9" t="s">
        <v>34</v>
      </c>
      <c r="C1025" s="9" t="s">
        <v>18</v>
      </c>
      <c r="D1025" s="9" t="s">
        <v>37</v>
      </c>
      <c r="E1025" s="9" t="s">
        <v>62</v>
      </c>
      <c r="F1025" s="9">
        <v>-1</v>
      </c>
      <c r="G1025" s="9">
        <v>7709.7</v>
      </c>
      <c r="H1025" s="9">
        <v>0</v>
      </c>
      <c r="I1025" s="9">
        <v>0</v>
      </c>
      <c r="J1025" s="10">
        <v>45577</v>
      </c>
      <c r="K1025" s="9" t="s">
        <v>45</v>
      </c>
      <c r="L1025" s="9" t="s">
        <v>26</v>
      </c>
      <c r="M1025" s="9">
        <v>663.54</v>
      </c>
    </row>
    <row r="1026" spans="1:13" x14ac:dyDescent="0.35">
      <c r="A1026" s="9">
        <v>3281</v>
      </c>
      <c r="B1026" s="9" t="s">
        <v>31</v>
      </c>
      <c r="C1026" s="9" t="s">
        <v>19</v>
      </c>
      <c r="D1026" s="9" t="s">
        <v>63</v>
      </c>
      <c r="E1026" s="9" t="s">
        <v>60</v>
      </c>
      <c r="F1026" s="9">
        <v>2</v>
      </c>
      <c r="G1026" s="9">
        <v>6075.6</v>
      </c>
      <c r="H1026" s="9">
        <v>0</v>
      </c>
      <c r="I1026" s="9">
        <v>0</v>
      </c>
      <c r="J1026" s="10">
        <v>45577</v>
      </c>
      <c r="K1026" s="9" t="s">
        <v>44</v>
      </c>
      <c r="L1026" s="9" t="s">
        <v>35</v>
      </c>
      <c r="M1026" s="9">
        <v>93.8</v>
      </c>
    </row>
    <row r="1027" spans="1:13" x14ac:dyDescent="0.35">
      <c r="A1027" s="9">
        <v>3282</v>
      </c>
      <c r="B1027" s="9" t="s">
        <v>34</v>
      </c>
      <c r="C1027" s="9" t="s">
        <v>22</v>
      </c>
      <c r="D1027" s="9" t="s">
        <v>65</v>
      </c>
      <c r="E1027" s="9" t="s">
        <v>62</v>
      </c>
      <c r="F1027" s="9">
        <v>4</v>
      </c>
      <c r="G1027" s="9">
        <v>0</v>
      </c>
      <c r="H1027" s="9">
        <v>0.23</v>
      </c>
      <c r="I1027" s="9">
        <v>0</v>
      </c>
      <c r="J1027" s="10">
        <v>45431</v>
      </c>
      <c r="K1027" s="9" t="s">
        <v>44</v>
      </c>
      <c r="L1027" s="9" t="s">
        <v>29</v>
      </c>
      <c r="M1027" s="9">
        <v>-190.17</v>
      </c>
    </row>
    <row r="1028" spans="1:13" x14ac:dyDescent="0.35">
      <c r="A1028" s="9">
        <v>3283</v>
      </c>
      <c r="B1028" s="9" t="s">
        <v>31</v>
      </c>
      <c r="C1028" s="9" t="s">
        <v>19</v>
      </c>
      <c r="D1028" s="9" t="s">
        <v>39</v>
      </c>
      <c r="E1028" s="9" t="s">
        <v>62</v>
      </c>
      <c r="F1028" s="9">
        <v>2</v>
      </c>
      <c r="G1028" s="9">
        <v>0</v>
      </c>
      <c r="H1028" s="9">
        <v>0</v>
      </c>
      <c r="I1028" s="9">
        <v>0</v>
      </c>
      <c r="J1028" s="10">
        <v>45583</v>
      </c>
      <c r="K1028" s="9" t="s">
        <v>45</v>
      </c>
      <c r="L1028" s="9" t="s">
        <v>26</v>
      </c>
      <c r="M1028" s="9">
        <v>3871.51</v>
      </c>
    </row>
    <row r="1029" spans="1:13" x14ac:dyDescent="0.35">
      <c r="A1029" s="9">
        <v>3285</v>
      </c>
      <c r="B1029" s="9" t="s">
        <v>31</v>
      </c>
      <c r="C1029" s="9" t="s">
        <v>18</v>
      </c>
      <c r="D1029" s="9" t="s">
        <v>41</v>
      </c>
      <c r="E1029" s="9" t="s">
        <v>62</v>
      </c>
      <c r="F1029" s="9">
        <v>4</v>
      </c>
      <c r="G1029" s="9">
        <v>0</v>
      </c>
      <c r="H1029" s="9">
        <v>0</v>
      </c>
      <c r="I1029" s="9">
        <v>0</v>
      </c>
      <c r="J1029" s="10">
        <v>45570</v>
      </c>
      <c r="K1029" s="9" t="s">
        <v>45</v>
      </c>
      <c r="L1029" s="9" t="s">
        <v>32</v>
      </c>
      <c r="M1029" s="9">
        <v>-401.38</v>
      </c>
    </row>
    <row r="1030" spans="1:13" x14ac:dyDescent="0.35">
      <c r="A1030" s="9">
        <v>3288</v>
      </c>
      <c r="B1030" s="9" t="s">
        <v>34</v>
      </c>
      <c r="C1030" s="9" t="s">
        <v>21</v>
      </c>
      <c r="D1030" s="9" t="s">
        <v>71</v>
      </c>
      <c r="E1030" s="9" t="s">
        <v>59</v>
      </c>
      <c r="F1030" s="9">
        <v>4</v>
      </c>
      <c r="G1030" s="9">
        <v>0</v>
      </c>
      <c r="H1030" s="9">
        <v>0</v>
      </c>
      <c r="I1030" s="9">
        <v>0</v>
      </c>
      <c r="J1030" s="10">
        <v>45498</v>
      </c>
      <c r="K1030" s="9" t="s">
        <v>44</v>
      </c>
      <c r="L1030" s="9" t="s">
        <v>29</v>
      </c>
      <c r="M1030" s="9">
        <v>3852.98</v>
      </c>
    </row>
    <row r="1031" spans="1:13" x14ac:dyDescent="0.35">
      <c r="A1031" s="9">
        <v>3289</v>
      </c>
      <c r="B1031" s="9" t="s">
        <v>31</v>
      </c>
      <c r="C1031" s="9" t="s">
        <v>18</v>
      </c>
      <c r="D1031" s="9" t="s">
        <v>41</v>
      </c>
      <c r="E1031" s="9" t="s">
        <v>59</v>
      </c>
      <c r="F1031" s="9">
        <v>-1</v>
      </c>
      <c r="G1031" s="9">
        <v>0</v>
      </c>
      <c r="H1031" s="9">
        <v>0</v>
      </c>
      <c r="I1031" s="9">
        <v>0</v>
      </c>
      <c r="J1031" s="10">
        <v>45548</v>
      </c>
      <c r="K1031" s="9" t="s">
        <v>45</v>
      </c>
      <c r="L1031" s="9" t="s">
        <v>35</v>
      </c>
      <c r="M1031" s="9">
        <v>-878.7</v>
      </c>
    </row>
    <row r="1032" spans="1:13" x14ac:dyDescent="0.35">
      <c r="A1032" s="9">
        <v>3290</v>
      </c>
      <c r="B1032" s="9" t="s">
        <v>34</v>
      </c>
      <c r="C1032" s="9" t="s">
        <v>21</v>
      </c>
      <c r="D1032" s="9" t="s">
        <v>40</v>
      </c>
      <c r="E1032" s="9" t="s">
        <v>62</v>
      </c>
      <c r="F1032" s="9">
        <v>2</v>
      </c>
      <c r="G1032" s="9">
        <v>7377.71</v>
      </c>
      <c r="H1032" s="9">
        <v>0</v>
      </c>
      <c r="I1032" s="9">
        <v>0</v>
      </c>
      <c r="J1032" s="10">
        <v>45548</v>
      </c>
      <c r="K1032" s="9" t="s">
        <v>45</v>
      </c>
      <c r="L1032" s="9" t="s">
        <v>35</v>
      </c>
      <c r="M1032" s="9">
        <v>2588.85</v>
      </c>
    </row>
    <row r="1033" spans="1:13" x14ac:dyDescent="0.35">
      <c r="A1033" s="9">
        <v>3291</v>
      </c>
      <c r="B1033" s="9" t="s">
        <v>28</v>
      </c>
      <c r="C1033" s="9" t="s">
        <v>20</v>
      </c>
      <c r="D1033" s="9" t="s">
        <v>66</v>
      </c>
      <c r="E1033" s="9" t="s">
        <v>62</v>
      </c>
      <c r="F1033" s="9">
        <v>0</v>
      </c>
      <c r="G1033" s="9">
        <v>0</v>
      </c>
      <c r="H1033" s="9">
        <v>0</v>
      </c>
      <c r="I1033" s="9">
        <v>0</v>
      </c>
      <c r="J1033" s="10">
        <v>45548</v>
      </c>
      <c r="K1033" s="9" t="s">
        <v>44</v>
      </c>
      <c r="L1033" s="9" t="s">
        <v>32</v>
      </c>
      <c r="M1033" s="9">
        <v>-231.54</v>
      </c>
    </row>
    <row r="1034" spans="1:13" x14ac:dyDescent="0.35">
      <c r="A1034" s="9">
        <v>3292</v>
      </c>
      <c r="B1034" s="9" t="s">
        <v>28</v>
      </c>
      <c r="C1034" s="9" t="s">
        <v>18</v>
      </c>
      <c r="D1034" s="9" t="s">
        <v>41</v>
      </c>
      <c r="E1034" s="9" t="s">
        <v>59</v>
      </c>
      <c r="F1034" s="9">
        <v>0</v>
      </c>
      <c r="G1034" s="9">
        <v>0</v>
      </c>
      <c r="H1034" s="9">
        <v>0</v>
      </c>
      <c r="I1034" s="9">
        <v>0</v>
      </c>
      <c r="J1034" s="10">
        <v>45800</v>
      </c>
      <c r="K1034" s="9" t="s">
        <v>45</v>
      </c>
      <c r="L1034" s="9" t="s">
        <v>32</v>
      </c>
      <c r="M1034" s="9">
        <v>2299.04</v>
      </c>
    </row>
    <row r="1035" spans="1:13" x14ac:dyDescent="0.35">
      <c r="A1035" s="9">
        <v>3295</v>
      </c>
      <c r="B1035" s="9" t="s">
        <v>28</v>
      </c>
      <c r="C1035" s="9" t="s">
        <v>18</v>
      </c>
      <c r="D1035" s="9" t="s">
        <v>37</v>
      </c>
      <c r="E1035" s="9" t="s">
        <v>59</v>
      </c>
      <c r="F1035" s="9">
        <v>0</v>
      </c>
      <c r="G1035" s="9">
        <v>2983.6</v>
      </c>
      <c r="H1035" s="9">
        <v>0</v>
      </c>
      <c r="I1035" s="9">
        <v>0</v>
      </c>
      <c r="J1035" s="10">
        <v>45655</v>
      </c>
      <c r="K1035" s="9" t="s">
        <v>45</v>
      </c>
      <c r="L1035" s="9" t="s">
        <v>29</v>
      </c>
      <c r="M1035" s="9">
        <v>3650.65</v>
      </c>
    </row>
    <row r="1036" spans="1:13" x14ac:dyDescent="0.35">
      <c r="A1036" s="9">
        <v>2021</v>
      </c>
      <c r="B1036" s="9" t="s">
        <v>34</v>
      </c>
      <c r="C1036" s="9" t="s">
        <v>20</v>
      </c>
      <c r="D1036" s="9" t="s">
        <v>61</v>
      </c>
      <c r="E1036" s="9" t="s">
        <v>59</v>
      </c>
      <c r="F1036" s="9">
        <v>4</v>
      </c>
      <c r="G1036" s="9">
        <v>0</v>
      </c>
      <c r="H1036" s="9">
        <v>0</v>
      </c>
      <c r="I1036" s="9">
        <v>0</v>
      </c>
      <c r="J1036" s="10">
        <v>45655</v>
      </c>
      <c r="K1036" s="9" t="s">
        <v>45</v>
      </c>
      <c r="L1036" s="9" t="s">
        <v>32</v>
      </c>
      <c r="M1036" s="9">
        <v>2465.98</v>
      </c>
    </row>
    <row r="1037" spans="1:13" x14ac:dyDescent="0.35">
      <c r="A1037" s="9">
        <v>3297</v>
      </c>
      <c r="B1037" s="9" t="s">
        <v>31</v>
      </c>
      <c r="C1037" s="9" t="s">
        <v>21</v>
      </c>
      <c r="D1037" s="9" t="s">
        <v>40</v>
      </c>
      <c r="E1037" s="9" t="s">
        <v>60</v>
      </c>
      <c r="F1037" s="9">
        <v>0</v>
      </c>
      <c r="G1037" s="9">
        <v>5875.99</v>
      </c>
      <c r="H1037" s="9">
        <v>0</v>
      </c>
      <c r="I1037" s="9">
        <v>0</v>
      </c>
      <c r="J1037" s="10">
        <v>45695</v>
      </c>
      <c r="K1037" s="9" t="s">
        <v>45</v>
      </c>
      <c r="L1037" s="9" t="s">
        <v>29</v>
      </c>
      <c r="M1037" s="9">
        <v>3803.18</v>
      </c>
    </row>
    <row r="1038" spans="1:13" x14ac:dyDescent="0.35">
      <c r="A1038" s="9">
        <v>3300</v>
      </c>
      <c r="B1038" s="9" t="s">
        <v>28</v>
      </c>
      <c r="C1038" s="9" t="s">
        <v>22</v>
      </c>
      <c r="D1038" s="9" t="s">
        <v>65</v>
      </c>
      <c r="E1038" s="9" t="s">
        <v>60</v>
      </c>
      <c r="F1038" s="9">
        <v>2</v>
      </c>
      <c r="G1038" s="9">
        <v>0</v>
      </c>
      <c r="H1038" s="9">
        <v>0</v>
      </c>
      <c r="I1038" s="9">
        <v>0</v>
      </c>
      <c r="J1038" s="10">
        <v>45644</v>
      </c>
      <c r="K1038" s="9" t="s">
        <v>44</v>
      </c>
      <c r="L1038" s="9" t="s">
        <v>25</v>
      </c>
      <c r="M1038" s="9">
        <v>3436.23</v>
      </c>
    </row>
    <row r="1039" spans="1:13" x14ac:dyDescent="0.35">
      <c r="A1039" s="9">
        <v>3301</v>
      </c>
      <c r="B1039" s="9" t="s">
        <v>28</v>
      </c>
      <c r="C1039" s="9" t="s">
        <v>21</v>
      </c>
      <c r="D1039" s="9" t="s">
        <v>64</v>
      </c>
      <c r="E1039" s="9" t="s">
        <v>60</v>
      </c>
      <c r="F1039" s="9">
        <v>0</v>
      </c>
      <c r="G1039" s="9">
        <v>4492.46</v>
      </c>
      <c r="H1039" s="9">
        <v>0</v>
      </c>
      <c r="I1039" s="9">
        <v>0</v>
      </c>
      <c r="J1039" s="10">
        <v>45644</v>
      </c>
      <c r="K1039" s="9" t="s">
        <v>44</v>
      </c>
      <c r="L1039" s="9" t="s">
        <v>32</v>
      </c>
      <c r="M1039" s="9">
        <v>1018.52</v>
      </c>
    </row>
    <row r="1040" spans="1:13" x14ac:dyDescent="0.35">
      <c r="A1040" s="9">
        <v>3302</v>
      </c>
      <c r="B1040" s="9" t="s">
        <v>28</v>
      </c>
      <c r="C1040" s="9" t="s">
        <v>19</v>
      </c>
      <c r="D1040" s="9" t="s">
        <v>42</v>
      </c>
      <c r="E1040" s="9" t="s">
        <v>59</v>
      </c>
      <c r="F1040" s="9">
        <v>0</v>
      </c>
      <c r="G1040" s="9">
        <v>6226.74</v>
      </c>
      <c r="H1040" s="9">
        <v>0</v>
      </c>
      <c r="I1040" s="9">
        <v>0</v>
      </c>
      <c r="J1040" s="10">
        <v>45789</v>
      </c>
      <c r="K1040" s="9" t="s">
        <v>44</v>
      </c>
      <c r="L1040" s="9" t="s">
        <v>35</v>
      </c>
      <c r="M1040" s="9">
        <v>-316.51</v>
      </c>
    </row>
    <row r="1041" spans="1:13" x14ac:dyDescent="0.35">
      <c r="A1041" s="9">
        <v>3303</v>
      </c>
      <c r="B1041" s="9" t="s">
        <v>34</v>
      </c>
      <c r="C1041" s="9" t="s">
        <v>19</v>
      </c>
      <c r="D1041" s="9" t="s">
        <v>42</v>
      </c>
      <c r="E1041" s="9" t="s">
        <v>59</v>
      </c>
      <c r="F1041" s="9">
        <v>2</v>
      </c>
      <c r="G1041" s="9">
        <v>6380.5</v>
      </c>
      <c r="H1041" s="9">
        <v>0</v>
      </c>
      <c r="I1041" s="9">
        <v>0</v>
      </c>
      <c r="J1041" s="10">
        <v>45584</v>
      </c>
      <c r="K1041" s="9" t="s">
        <v>45</v>
      </c>
      <c r="L1041" s="9" t="s">
        <v>27</v>
      </c>
      <c r="M1041" s="9">
        <v>2846.02</v>
      </c>
    </row>
    <row r="1042" spans="1:13" x14ac:dyDescent="0.35">
      <c r="A1042" s="9">
        <v>3304</v>
      </c>
      <c r="B1042" s="9" t="s">
        <v>28</v>
      </c>
      <c r="C1042" s="9" t="s">
        <v>20</v>
      </c>
      <c r="D1042" s="9" t="s">
        <v>61</v>
      </c>
      <c r="E1042" s="9" t="s">
        <v>59</v>
      </c>
      <c r="F1042" s="9">
        <v>0</v>
      </c>
      <c r="G1042" s="9">
        <v>0</v>
      </c>
      <c r="H1042" s="9">
        <v>0.65</v>
      </c>
      <c r="I1042" s="9">
        <v>0</v>
      </c>
      <c r="J1042" s="10">
        <v>45611</v>
      </c>
      <c r="K1042" s="9" t="s">
        <v>45</v>
      </c>
      <c r="L1042" s="9" t="s">
        <v>26</v>
      </c>
      <c r="M1042" s="9">
        <v>2405.3000000000002</v>
      </c>
    </row>
    <row r="1043" spans="1:13" x14ac:dyDescent="0.35">
      <c r="A1043" s="9">
        <v>3306</v>
      </c>
      <c r="B1043" s="9" t="s">
        <v>34</v>
      </c>
      <c r="C1043" s="9" t="s">
        <v>22</v>
      </c>
      <c r="D1043" s="9" t="s">
        <v>30</v>
      </c>
      <c r="E1043" s="9" t="s">
        <v>60</v>
      </c>
      <c r="F1043" s="9">
        <v>0</v>
      </c>
      <c r="G1043" s="9">
        <v>0</v>
      </c>
      <c r="H1043" s="9">
        <v>0.25</v>
      </c>
      <c r="I1043" s="9">
        <v>0</v>
      </c>
      <c r="J1043" s="10">
        <v>45503</v>
      </c>
      <c r="K1043" s="9" t="s">
        <v>44</v>
      </c>
      <c r="L1043" s="9" t="s">
        <v>26</v>
      </c>
      <c r="M1043" s="9">
        <v>3052.49</v>
      </c>
    </row>
    <row r="1044" spans="1:13" x14ac:dyDescent="0.35">
      <c r="A1044" s="9">
        <v>3307</v>
      </c>
      <c r="B1044" s="9" t="s">
        <v>28</v>
      </c>
      <c r="C1044" s="9" t="s">
        <v>19</v>
      </c>
      <c r="D1044" s="9" t="s">
        <v>63</v>
      </c>
      <c r="E1044" s="9" t="s">
        <v>59</v>
      </c>
      <c r="F1044" s="9">
        <v>0</v>
      </c>
      <c r="G1044" s="9">
        <v>7127.99</v>
      </c>
      <c r="H1044" s="9">
        <v>0</v>
      </c>
      <c r="I1044" s="9">
        <v>0</v>
      </c>
      <c r="J1044" s="10">
        <v>45516</v>
      </c>
      <c r="K1044" s="9" t="s">
        <v>45</v>
      </c>
      <c r="L1044" s="9" t="s">
        <v>26</v>
      </c>
      <c r="M1044" s="9">
        <v>818.55</v>
      </c>
    </row>
    <row r="1045" spans="1:13" x14ac:dyDescent="0.35">
      <c r="A1045" s="9">
        <v>3310</v>
      </c>
      <c r="B1045" s="9" t="s">
        <v>28</v>
      </c>
      <c r="C1045" s="9" t="s">
        <v>20</v>
      </c>
      <c r="D1045" s="9" t="s">
        <v>66</v>
      </c>
      <c r="E1045" s="9" t="s">
        <v>59</v>
      </c>
      <c r="F1045" s="9">
        <v>4</v>
      </c>
      <c r="G1045" s="9">
        <v>0</v>
      </c>
      <c r="H1045" s="9">
        <v>0.21</v>
      </c>
      <c r="I1045" s="9">
        <v>0</v>
      </c>
      <c r="J1045" s="10">
        <v>45765</v>
      </c>
      <c r="K1045" s="9" t="s">
        <v>44</v>
      </c>
      <c r="L1045" s="9" t="s">
        <v>27</v>
      </c>
      <c r="M1045" s="9">
        <v>2856.16</v>
      </c>
    </row>
    <row r="1046" spans="1:13" x14ac:dyDescent="0.35">
      <c r="A1046" s="9">
        <v>3311</v>
      </c>
      <c r="B1046" s="9" t="s">
        <v>34</v>
      </c>
      <c r="C1046" s="9" t="s">
        <v>19</v>
      </c>
      <c r="D1046" s="9" t="s">
        <v>39</v>
      </c>
      <c r="E1046" s="9" t="s">
        <v>59</v>
      </c>
      <c r="F1046" s="9">
        <v>0</v>
      </c>
      <c r="G1046" s="9">
        <v>0</v>
      </c>
      <c r="H1046" s="9">
        <v>0.04</v>
      </c>
      <c r="I1046" s="9">
        <v>0</v>
      </c>
      <c r="J1046" s="10">
        <v>45779</v>
      </c>
      <c r="K1046" s="9" t="s">
        <v>45</v>
      </c>
      <c r="L1046" s="9" t="s">
        <v>29</v>
      </c>
      <c r="M1046" s="9">
        <v>3152.21</v>
      </c>
    </row>
    <row r="1047" spans="1:13" x14ac:dyDescent="0.35">
      <c r="A1047" s="9">
        <v>3312</v>
      </c>
      <c r="B1047" s="9" t="s">
        <v>28</v>
      </c>
      <c r="C1047" s="9" t="s">
        <v>22</v>
      </c>
      <c r="D1047" s="9" t="s">
        <v>68</v>
      </c>
      <c r="E1047" s="9" t="s">
        <v>59</v>
      </c>
      <c r="F1047" s="9">
        <v>1</v>
      </c>
      <c r="G1047" s="9">
        <v>8069.3</v>
      </c>
      <c r="H1047" s="9">
        <v>0</v>
      </c>
      <c r="I1047" s="9">
        <v>0</v>
      </c>
      <c r="J1047" s="10">
        <v>45802</v>
      </c>
      <c r="K1047" s="9" t="s">
        <v>44</v>
      </c>
      <c r="L1047" s="9" t="s">
        <v>35</v>
      </c>
      <c r="M1047" s="9">
        <v>-95.96</v>
      </c>
    </row>
    <row r="1048" spans="1:13" x14ac:dyDescent="0.35">
      <c r="A1048" s="9">
        <v>3313</v>
      </c>
      <c r="B1048" s="9" t="s">
        <v>34</v>
      </c>
      <c r="C1048" s="9" t="s">
        <v>22</v>
      </c>
      <c r="D1048" s="9" t="s">
        <v>67</v>
      </c>
      <c r="E1048" s="9" t="s">
        <v>59</v>
      </c>
      <c r="F1048" s="9">
        <v>0</v>
      </c>
      <c r="G1048" s="9">
        <v>9460.52</v>
      </c>
      <c r="H1048" s="9">
        <v>0</v>
      </c>
      <c r="I1048" s="9">
        <v>0</v>
      </c>
      <c r="J1048" s="10">
        <v>45802</v>
      </c>
      <c r="K1048" s="9" t="s">
        <v>44</v>
      </c>
      <c r="L1048" s="9" t="s">
        <v>32</v>
      </c>
      <c r="M1048" s="9">
        <v>-476.54</v>
      </c>
    </row>
    <row r="1049" spans="1:13" x14ac:dyDescent="0.35">
      <c r="A1049" s="9">
        <v>3314</v>
      </c>
      <c r="B1049" s="9" t="s">
        <v>31</v>
      </c>
      <c r="C1049" s="9" t="s">
        <v>18</v>
      </c>
      <c r="D1049" s="9" t="s">
        <v>38</v>
      </c>
      <c r="E1049" s="9" t="s">
        <v>59</v>
      </c>
      <c r="F1049" s="9">
        <v>2</v>
      </c>
      <c r="G1049" s="9">
        <v>7050.14</v>
      </c>
      <c r="H1049" s="9">
        <v>0</v>
      </c>
      <c r="I1049" s="9">
        <v>0</v>
      </c>
      <c r="J1049" s="10">
        <v>45802</v>
      </c>
      <c r="K1049" s="9" t="s">
        <v>44</v>
      </c>
      <c r="L1049" s="9" t="s">
        <v>32</v>
      </c>
      <c r="M1049" s="9">
        <v>-815.54</v>
      </c>
    </row>
    <row r="1050" spans="1:13" x14ac:dyDescent="0.35">
      <c r="A1050" s="9">
        <v>3315</v>
      </c>
      <c r="B1050" s="9" t="s">
        <v>28</v>
      </c>
      <c r="C1050" s="9" t="s">
        <v>18</v>
      </c>
      <c r="D1050" s="9" t="s">
        <v>41</v>
      </c>
      <c r="E1050" s="9" t="s">
        <v>62</v>
      </c>
      <c r="F1050" s="9">
        <v>0</v>
      </c>
      <c r="G1050" s="9">
        <v>0</v>
      </c>
      <c r="H1050" s="9">
        <v>0</v>
      </c>
      <c r="I1050" s="9">
        <v>0</v>
      </c>
      <c r="J1050" s="10">
        <v>45802</v>
      </c>
      <c r="K1050" s="9" t="s">
        <v>44</v>
      </c>
      <c r="L1050" s="9" t="s">
        <v>25</v>
      </c>
      <c r="M1050" s="9">
        <v>1345.26</v>
      </c>
    </row>
    <row r="1051" spans="1:13" x14ac:dyDescent="0.35">
      <c r="A1051" s="9">
        <v>3316</v>
      </c>
      <c r="B1051" s="9" t="s">
        <v>28</v>
      </c>
      <c r="C1051" s="9" t="s">
        <v>20</v>
      </c>
      <c r="D1051" s="9" t="s">
        <v>61</v>
      </c>
      <c r="E1051" s="9" t="s">
        <v>60</v>
      </c>
      <c r="F1051" s="9">
        <v>0</v>
      </c>
      <c r="G1051" s="9">
        <v>0</v>
      </c>
      <c r="H1051" s="9">
        <v>1.02</v>
      </c>
      <c r="I1051" s="9">
        <v>0</v>
      </c>
      <c r="J1051" s="10">
        <v>45407</v>
      </c>
      <c r="K1051" s="9" t="s">
        <v>45</v>
      </c>
      <c r="L1051" s="9" t="s">
        <v>25</v>
      </c>
      <c r="M1051" s="9">
        <v>27.15</v>
      </c>
    </row>
    <row r="1052" spans="1:13" x14ac:dyDescent="0.35">
      <c r="A1052" s="9">
        <v>3317</v>
      </c>
      <c r="B1052" s="9" t="s">
        <v>34</v>
      </c>
      <c r="C1052" s="9" t="s">
        <v>22</v>
      </c>
      <c r="D1052" s="9" t="s">
        <v>65</v>
      </c>
      <c r="E1052" s="9" t="s">
        <v>59</v>
      </c>
      <c r="F1052" s="9">
        <v>3</v>
      </c>
      <c r="G1052" s="9">
        <v>0</v>
      </c>
      <c r="H1052" s="9">
        <v>0</v>
      </c>
      <c r="I1052" s="9">
        <v>0</v>
      </c>
      <c r="J1052" s="10">
        <v>45407</v>
      </c>
      <c r="K1052" s="9" t="s">
        <v>45</v>
      </c>
      <c r="L1052" s="9" t="s">
        <v>32</v>
      </c>
      <c r="M1052" s="9">
        <v>3852.52</v>
      </c>
    </row>
    <row r="1053" spans="1:13" x14ac:dyDescent="0.35">
      <c r="A1053" s="9">
        <v>3318</v>
      </c>
      <c r="B1053" s="9" t="s">
        <v>31</v>
      </c>
      <c r="C1053" s="9" t="s">
        <v>18</v>
      </c>
      <c r="D1053" s="9" t="s">
        <v>33</v>
      </c>
      <c r="E1053" s="9" t="s">
        <v>62</v>
      </c>
      <c r="F1053" s="9">
        <v>0</v>
      </c>
      <c r="G1053" s="9">
        <v>0</v>
      </c>
      <c r="H1053" s="9">
        <v>0</v>
      </c>
      <c r="I1053" s="9">
        <v>0</v>
      </c>
      <c r="J1053" s="10">
        <v>45758</v>
      </c>
      <c r="K1053" s="9" t="s">
        <v>45</v>
      </c>
      <c r="L1053" s="9" t="s">
        <v>29</v>
      </c>
      <c r="M1053" s="9">
        <v>1096.06</v>
      </c>
    </row>
    <row r="1054" spans="1:13" x14ac:dyDescent="0.35">
      <c r="A1054" s="9">
        <v>3319</v>
      </c>
      <c r="B1054" s="9" t="s">
        <v>28</v>
      </c>
      <c r="C1054" s="9" t="s">
        <v>20</v>
      </c>
      <c r="D1054" s="9" t="s">
        <v>43</v>
      </c>
      <c r="E1054" s="9" t="s">
        <v>62</v>
      </c>
      <c r="F1054" s="9">
        <v>0</v>
      </c>
      <c r="G1054" s="9">
        <v>6109.1</v>
      </c>
      <c r="H1054" s="9">
        <v>0.37</v>
      </c>
      <c r="I1054" s="9">
        <v>0</v>
      </c>
      <c r="J1054" s="10">
        <v>45563</v>
      </c>
      <c r="K1054" s="9" t="s">
        <v>44</v>
      </c>
      <c r="L1054" s="9" t="s">
        <v>26</v>
      </c>
      <c r="M1054" s="9">
        <v>-846.73</v>
      </c>
    </row>
    <row r="1055" spans="1:13" x14ac:dyDescent="0.35">
      <c r="A1055" s="9">
        <v>3321</v>
      </c>
      <c r="B1055" s="9" t="s">
        <v>34</v>
      </c>
      <c r="C1055" s="9" t="s">
        <v>19</v>
      </c>
      <c r="D1055" s="9" t="s">
        <v>42</v>
      </c>
      <c r="E1055" s="9" t="s">
        <v>59</v>
      </c>
      <c r="F1055" s="9">
        <v>4</v>
      </c>
      <c r="G1055" s="9">
        <v>4986.67</v>
      </c>
      <c r="H1055" s="9">
        <v>1.07</v>
      </c>
      <c r="I1055" s="9">
        <v>-1396.27</v>
      </c>
      <c r="J1055" s="10">
        <v>45672</v>
      </c>
      <c r="K1055" s="9" t="s">
        <v>44</v>
      </c>
      <c r="L1055" s="9" t="s">
        <v>26</v>
      </c>
      <c r="M1055" s="9">
        <v>3170.16</v>
      </c>
    </row>
    <row r="1056" spans="1:13" x14ac:dyDescent="0.35">
      <c r="A1056" s="9">
        <v>3322</v>
      </c>
      <c r="B1056" s="9" t="s">
        <v>31</v>
      </c>
      <c r="C1056" s="9" t="s">
        <v>18</v>
      </c>
      <c r="D1056" s="9" t="s">
        <v>41</v>
      </c>
      <c r="E1056" s="9" t="s">
        <v>59</v>
      </c>
      <c r="F1056" s="9">
        <v>0</v>
      </c>
      <c r="G1056" s="9">
        <v>0</v>
      </c>
      <c r="H1056" s="9">
        <v>0</v>
      </c>
      <c r="I1056" s="9">
        <v>0</v>
      </c>
      <c r="J1056" s="10">
        <v>45166</v>
      </c>
      <c r="K1056" s="9" t="s">
        <v>45</v>
      </c>
      <c r="L1056" s="9" t="s">
        <v>32</v>
      </c>
      <c r="M1056" s="9">
        <v>864.55</v>
      </c>
    </row>
    <row r="1057" spans="1:13" x14ac:dyDescent="0.35">
      <c r="A1057" s="9">
        <v>3325</v>
      </c>
      <c r="B1057" s="9" t="s">
        <v>34</v>
      </c>
      <c r="C1057" s="9" t="s">
        <v>22</v>
      </c>
      <c r="D1057" s="9" t="s">
        <v>30</v>
      </c>
      <c r="E1057" s="9" t="s">
        <v>60</v>
      </c>
      <c r="F1057" s="9">
        <v>0</v>
      </c>
      <c r="G1057" s="9">
        <v>0</v>
      </c>
      <c r="H1057" s="9">
        <v>0</v>
      </c>
      <c r="I1057" s="9">
        <v>0</v>
      </c>
      <c r="J1057" s="10">
        <v>45602</v>
      </c>
      <c r="K1057" s="9" t="s">
        <v>45</v>
      </c>
      <c r="L1057" s="9" t="s">
        <v>32</v>
      </c>
      <c r="M1057" s="9">
        <v>1115.7</v>
      </c>
    </row>
    <row r="1058" spans="1:13" x14ac:dyDescent="0.35">
      <c r="A1058" s="9">
        <v>3326</v>
      </c>
      <c r="B1058" s="9" t="s">
        <v>31</v>
      </c>
      <c r="C1058" s="9" t="s">
        <v>18</v>
      </c>
      <c r="D1058" s="9" t="s">
        <v>37</v>
      </c>
      <c r="E1058" s="9" t="s">
        <v>59</v>
      </c>
      <c r="F1058" s="9">
        <v>0</v>
      </c>
      <c r="G1058" s="9">
        <v>0</v>
      </c>
      <c r="H1058" s="9">
        <v>0.88</v>
      </c>
      <c r="I1058" s="9">
        <v>0</v>
      </c>
      <c r="J1058" s="10">
        <v>45807</v>
      </c>
      <c r="K1058" s="9" t="s">
        <v>45</v>
      </c>
      <c r="L1058" s="9" t="s">
        <v>26</v>
      </c>
      <c r="M1058" s="9">
        <v>991.04</v>
      </c>
    </row>
    <row r="1059" spans="1:13" x14ac:dyDescent="0.35">
      <c r="A1059" s="9">
        <v>3327</v>
      </c>
      <c r="B1059" s="9" t="s">
        <v>31</v>
      </c>
      <c r="C1059" s="9" t="s">
        <v>18</v>
      </c>
      <c r="D1059" s="9" t="s">
        <v>33</v>
      </c>
      <c r="E1059" s="9" t="s">
        <v>59</v>
      </c>
      <c r="F1059" s="9">
        <v>3</v>
      </c>
      <c r="G1059" s="9">
        <v>0</v>
      </c>
      <c r="H1059" s="9">
        <v>0</v>
      </c>
      <c r="I1059" s="9">
        <v>0</v>
      </c>
      <c r="J1059" s="10">
        <v>45726</v>
      </c>
      <c r="K1059" s="9" t="s">
        <v>45</v>
      </c>
      <c r="L1059" s="9" t="s">
        <v>25</v>
      </c>
      <c r="M1059" s="9">
        <v>-1155.6099999999999</v>
      </c>
    </row>
    <row r="1060" spans="1:13" x14ac:dyDescent="0.35">
      <c r="A1060" s="9">
        <v>3329</v>
      </c>
      <c r="B1060" s="9" t="s">
        <v>34</v>
      </c>
      <c r="C1060" s="9" t="s">
        <v>18</v>
      </c>
      <c r="D1060" s="9" t="s">
        <v>38</v>
      </c>
      <c r="E1060" s="9" t="s">
        <v>59</v>
      </c>
      <c r="F1060" s="9">
        <v>0</v>
      </c>
      <c r="G1060" s="9">
        <v>0</v>
      </c>
      <c r="H1060" s="9">
        <v>0</v>
      </c>
      <c r="I1060" s="9">
        <v>0</v>
      </c>
      <c r="J1060" s="10">
        <v>45410</v>
      </c>
      <c r="K1060" s="9" t="s">
        <v>44</v>
      </c>
      <c r="L1060" s="9" t="s">
        <v>27</v>
      </c>
      <c r="M1060" s="9">
        <v>530.29</v>
      </c>
    </row>
    <row r="1061" spans="1:13" x14ac:dyDescent="0.35">
      <c r="A1061" s="9">
        <v>3330</v>
      </c>
      <c r="B1061" s="9" t="s">
        <v>28</v>
      </c>
      <c r="C1061" s="9" t="s">
        <v>18</v>
      </c>
      <c r="D1061" s="9" t="s">
        <v>41</v>
      </c>
      <c r="E1061" s="9" t="s">
        <v>59</v>
      </c>
      <c r="F1061" s="9">
        <v>-1</v>
      </c>
      <c r="G1061" s="9">
        <v>0</v>
      </c>
      <c r="H1061" s="9">
        <v>0.85</v>
      </c>
      <c r="I1061" s="9">
        <v>0</v>
      </c>
      <c r="J1061" s="10">
        <v>45410</v>
      </c>
      <c r="K1061" s="9" t="s">
        <v>45</v>
      </c>
      <c r="L1061" s="9" t="s">
        <v>27</v>
      </c>
      <c r="M1061" s="9">
        <v>1714.75</v>
      </c>
    </row>
    <row r="1062" spans="1:13" x14ac:dyDescent="0.35">
      <c r="A1062" s="9">
        <v>3331</v>
      </c>
      <c r="B1062" s="9" t="s">
        <v>34</v>
      </c>
      <c r="C1062" s="9" t="s">
        <v>19</v>
      </c>
      <c r="D1062" s="9" t="s">
        <v>69</v>
      </c>
      <c r="E1062" s="9" t="s">
        <v>60</v>
      </c>
      <c r="F1062" s="9">
        <v>-1</v>
      </c>
      <c r="G1062" s="9">
        <v>9040.5499999999993</v>
      </c>
      <c r="H1062" s="9">
        <v>0</v>
      </c>
      <c r="I1062" s="9">
        <v>0</v>
      </c>
      <c r="J1062" s="10">
        <v>45410</v>
      </c>
      <c r="K1062" s="9" t="s">
        <v>44</v>
      </c>
      <c r="L1062" s="9" t="s">
        <v>26</v>
      </c>
      <c r="M1062" s="9">
        <v>2233.5700000000002</v>
      </c>
    </row>
    <row r="1063" spans="1:13" x14ac:dyDescent="0.35">
      <c r="A1063" s="9">
        <v>3332</v>
      </c>
      <c r="B1063" s="9" t="s">
        <v>31</v>
      </c>
      <c r="C1063" s="9" t="s">
        <v>18</v>
      </c>
      <c r="D1063" s="9" t="s">
        <v>37</v>
      </c>
      <c r="E1063" s="9" t="s">
        <v>60</v>
      </c>
      <c r="F1063" s="9">
        <v>0</v>
      </c>
      <c r="G1063" s="9">
        <v>3106.54</v>
      </c>
      <c r="H1063" s="9">
        <v>0</v>
      </c>
      <c r="I1063" s="9">
        <v>0</v>
      </c>
      <c r="J1063" s="10">
        <v>45410</v>
      </c>
      <c r="K1063" s="9" t="s">
        <v>44</v>
      </c>
      <c r="L1063" s="9" t="s">
        <v>35</v>
      </c>
      <c r="M1063" s="9">
        <v>3793.25</v>
      </c>
    </row>
    <row r="1064" spans="1:13" x14ac:dyDescent="0.35">
      <c r="A1064" s="9">
        <v>3333</v>
      </c>
      <c r="B1064" s="9" t="s">
        <v>34</v>
      </c>
      <c r="C1064" s="9" t="s">
        <v>18</v>
      </c>
      <c r="D1064" s="9" t="s">
        <v>37</v>
      </c>
      <c r="E1064" s="9" t="s">
        <v>60</v>
      </c>
      <c r="F1064" s="9">
        <v>2</v>
      </c>
      <c r="G1064" s="9">
        <v>0</v>
      </c>
      <c r="H1064" s="9">
        <v>0</v>
      </c>
      <c r="I1064" s="9">
        <v>0</v>
      </c>
      <c r="J1064" s="10">
        <v>45410</v>
      </c>
      <c r="K1064" s="9" t="s">
        <v>44</v>
      </c>
      <c r="L1064" s="9" t="s">
        <v>27</v>
      </c>
      <c r="M1064" s="9">
        <v>1519.97</v>
      </c>
    </row>
    <row r="1065" spans="1:13" x14ac:dyDescent="0.35">
      <c r="A1065" s="9">
        <v>3334</v>
      </c>
      <c r="B1065" s="9" t="s">
        <v>34</v>
      </c>
      <c r="C1065" s="9" t="s">
        <v>19</v>
      </c>
      <c r="D1065" s="9" t="s">
        <v>42</v>
      </c>
      <c r="E1065" s="9" t="s">
        <v>60</v>
      </c>
      <c r="F1065" s="9">
        <v>3</v>
      </c>
      <c r="G1065" s="9">
        <v>2471.71</v>
      </c>
      <c r="H1065" s="9">
        <v>0</v>
      </c>
      <c r="I1065" s="9">
        <v>0</v>
      </c>
      <c r="J1065" s="10">
        <v>45244</v>
      </c>
      <c r="K1065" s="9" t="s">
        <v>45</v>
      </c>
      <c r="L1065" s="9" t="s">
        <v>26</v>
      </c>
      <c r="M1065" s="9">
        <v>1190.8900000000001</v>
      </c>
    </row>
    <row r="1066" spans="1:13" x14ac:dyDescent="0.35">
      <c r="A1066" s="9">
        <v>3336</v>
      </c>
      <c r="B1066" s="9" t="s">
        <v>34</v>
      </c>
      <c r="C1066" s="9" t="s">
        <v>20</v>
      </c>
      <c r="D1066" s="9" t="s">
        <v>61</v>
      </c>
      <c r="E1066" s="9" t="s">
        <v>62</v>
      </c>
      <c r="F1066" s="9">
        <v>0</v>
      </c>
      <c r="G1066" s="9">
        <v>4334.53</v>
      </c>
      <c r="H1066" s="9">
        <v>0</v>
      </c>
      <c r="I1066" s="9">
        <v>0</v>
      </c>
      <c r="J1066" s="10">
        <v>45747</v>
      </c>
      <c r="K1066" s="9" t="s">
        <v>45</v>
      </c>
      <c r="L1066" s="9" t="s">
        <v>32</v>
      </c>
      <c r="M1066" s="9">
        <v>2759.16</v>
      </c>
    </row>
    <row r="1067" spans="1:13" x14ac:dyDescent="0.35">
      <c r="A1067" s="9">
        <v>3337</v>
      </c>
      <c r="B1067" s="9" t="s">
        <v>31</v>
      </c>
      <c r="C1067" s="9" t="s">
        <v>18</v>
      </c>
      <c r="D1067" s="9" t="s">
        <v>38</v>
      </c>
      <c r="E1067" s="9" t="s">
        <v>60</v>
      </c>
      <c r="F1067" s="9">
        <v>4</v>
      </c>
      <c r="G1067" s="9">
        <v>0</v>
      </c>
      <c r="H1067" s="9">
        <v>0</v>
      </c>
      <c r="I1067" s="9">
        <v>0</v>
      </c>
      <c r="J1067" s="10">
        <v>45575</v>
      </c>
      <c r="K1067" s="9" t="s">
        <v>45</v>
      </c>
      <c r="L1067" s="9" t="s">
        <v>29</v>
      </c>
      <c r="M1067" s="9">
        <v>2915.13</v>
      </c>
    </row>
    <row r="1068" spans="1:13" x14ac:dyDescent="0.35">
      <c r="A1068" s="9">
        <v>3338</v>
      </c>
      <c r="B1068" s="9" t="s">
        <v>28</v>
      </c>
      <c r="C1068" s="9" t="s">
        <v>18</v>
      </c>
      <c r="D1068" s="9" t="s">
        <v>38</v>
      </c>
      <c r="E1068" s="9" t="s">
        <v>60</v>
      </c>
      <c r="F1068" s="9">
        <v>0</v>
      </c>
      <c r="G1068" s="9">
        <v>0</v>
      </c>
      <c r="H1068" s="9">
        <v>1.24</v>
      </c>
      <c r="I1068" s="9">
        <v>0</v>
      </c>
      <c r="J1068" s="10">
        <v>45817</v>
      </c>
      <c r="K1068" s="9" t="s">
        <v>45</v>
      </c>
      <c r="L1068" s="9" t="s">
        <v>27</v>
      </c>
      <c r="M1068" s="9">
        <v>3011.73</v>
      </c>
    </row>
    <row r="1069" spans="1:13" x14ac:dyDescent="0.35">
      <c r="A1069" s="9">
        <v>3340</v>
      </c>
      <c r="B1069" s="9" t="s">
        <v>34</v>
      </c>
      <c r="C1069" s="9" t="s">
        <v>19</v>
      </c>
      <c r="D1069" s="9" t="s">
        <v>39</v>
      </c>
      <c r="E1069" s="9" t="s">
        <v>59</v>
      </c>
      <c r="F1069" s="9">
        <v>3</v>
      </c>
      <c r="G1069" s="9">
        <v>3248.74</v>
      </c>
      <c r="H1069" s="9">
        <v>0</v>
      </c>
      <c r="I1069" s="9">
        <v>0</v>
      </c>
      <c r="J1069" s="10">
        <v>45655</v>
      </c>
      <c r="K1069" s="9" t="s">
        <v>44</v>
      </c>
      <c r="L1069" s="9" t="s">
        <v>26</v>
      </c>
      <c r="M1069" s="9">
        <v>2551.4699999999998</v>
      </c>
    </row>
    <row r="1070" spans="1:13" x14ac:dyDescent="0.35">
      <c r="A1070" s="9">
        <v>3341</v>
      </c>
      <c r="B1070" s="9" t="s">
        <v>34</v>
      </c>
      <c r="C1070" s="9" t="s">
        <v>18</v>
      </c>
      <c r="D1070" s="9" t="s">
        <v>41</v>
      </c>
      <c r="E1070" s="9" t="s">
        <v>59</v>
      </c>
      <c r="F1070" s="9">
        <v>3</v>
      </c>
      <c r="G1070" s="9">
        <v>8387.99</v>
      </c>
      <c r="H1070" s="9">
        <v>0</v>
      </c>
      <c r="I1070" s="9">
        <v>0</v>
      </c>
      <c r="J1070" s="10">
        <v>45374</v>
      </c>
      <c r="K1070" s="9" t="s">
        <v>45</v>
      </c>
      <c r="L1070" s="9" t="s">
        <v>25</v>
      </c>
      <c r="M1070" s="9">
        <v>1693.41</v>
      </c>
    </row>
    <row r="1071" spans="1:13" x14ac:dyDescent="0.35">
      <c r="A1071" s="9">
        <v>2037</v>
      </c>
      <c r="B1071" s="9" t="s">
        <v>28</v>
      </c>
      <c r="C1071" s="9" t="s">
        <v>21</v>
      </c>
      <c r="D1071" s="9" t="s">
        <v>71</v>
      </c>
      <c r="E1071" s="9" t="s">
        <v>59</v>
      </c>
      <c r="F1071" s="9">
        <v>4</v>
      </c>
      <c r="G1071" s="9">
        <v>0</v>
      </c>
      <c r="H1071" s="9">
        <v>1.23</v>
      </c>
      <c r="I1071" s="9">
        <v>0</v>
      </c>
      <c r="J1071" s="10">
        <v>45758</v>
      </c>
      <c r="K1071" s="9" t="s">
        <v>45</v>
      </c>
      <c r="L1071" s="9" t="s">
        <v>29</v>
      </c>
      <c r="M1071" s="9">
        <v>3651.05</v>
      </c>
    </row>
    <row r="1072" spans="1:13" x14ac:dyDescent="0.35">
      <c r="A1072" s="9">
        <v>3343</v>
      </c>
      <c r="B1072" s="9" t="s">
        <v>34</v>
      </c>
      <c r="C1072" s="9" t="s">
        <v>22</v>
      </c>
      <c r="D1072" s="9" t="s">
        <v>65</v>
      </c>
      <c r="E1072" s="9" t="s">
        <v>60</v>
      </c>
      <c r="F1072" s="9">
        <v>3</v>
      </c>
      <c r="G1072" s="9">
        <v>9405.77</v>
      </c>
      <c r="H1072" s="9">
        <v>0</v>
      </c>
      <c r="I1072" s="9">
        <v>0</v>
      </c>
      <c r="J1072" s="10">
        <v>45608</v>
      </c>
      <c r="K1072" s="9" t="s">
        <v>44</v>
      </c>
      <c r="L1072" s="9" t="s">
        <v>32</v>
      </c>
      <c r="M1072" s="9">
        <v>1688.78</v>
      </c>
    </row>
    <row r="1073" spans="1:13" x14ac:dyDescent="0.35">
      <c r="A1073" s="9">
        <v>3344</v>
      </c>
      <c r="B1073" s="9" t="s">
        <v>34</v>
      </c>
      <c r="C1073" s="9" t="s">
        <v>19</v>
      </c>
      <c r="D1073" s="9" t="s">
        <v>63</v>
      </c>
      <c r="E1073" s="9" t="s">
        <v>59</v>
      </c>
      <c r="F1073" s="9">
        <v>0</v>
      </c>
      <c r="G1073" s="9">
        <v>8217.3700000000008</v>
      </c>
      <c r="H1073" s="9">
        <v>1.06</v>
      </c>
      <c r="I1073" s="9">
        <v>0</v>
      </c>
      <c r="J1073" s="10">
        <v>45832</v>
      </c>
      <c r="K1073" s="9" t="s">
        <v>44</v>
      </c>
      <c r="L1073" s="9" t="s">
        <v>32</v>
      </c>
      <c r="M1073" s="9">
        <v>303.77</v>
      </c>
    </row>
    <row r="1074" spans="1:13" x14ac:dyDescent="0.35">
      <c r="A1074" s="9">
        <v>2048</v>
      </c>
      <c r="B1074" s="9" t="s">
        <v>31</v>
      </c>
      <c r="C1074" s="9" t="s">
        <v>21</v>
      </c>
      <c r="D1074" s="9" t="s">
        <v>36</v>
      </c>
      <c r="E1074" s="9" t="s">
        <v>62</v>
      </c>
      <c r="F1074" s="9">
        <v>0</v>
      </c>
      <c r="G1074" s="9">
        <v>0</v>
      </c>
      <c r="H1074" s="9">
        <v>0</v>
      </c>
      <c r="I1074" s="9">
        <v>0</v>
      </c>
      <c r="J1074" s="10">
        <v>45832</v>
      </c>
      <c r="K1074" s="9" t="s">
        <v>45</v>
      </c>
      <c r="L1074" s="9" t="s">
        <v>25</v>
      </c>
      <c r="M1074" s="9">
        <v>1635.47</v>
      </c>
    </row>
    <row r="1075" spans="1:13" x14ac:dyDescent="0.35">
      <c r="A1075" s="9">
        <v>3346</v>
      </c>
      <c r="B1075" s="9" t="s">
        <v>34</v>
      </c>
      <c r="C1075" s="9" t="s">
        <v>18</v>
      </c>
      <c r="D1075" s="9" t="s">
        <v>37</v>
      </c>
      <c r="E1075" s="9" t="s">
        <v>59</v>
      </c>
      <c r="F1075" s="9">
        <v>4</v>
      </c>
      <c r="G1075" s="9">
        <v>0</v>
      </c>
      <c r="H1075" s="9">
        <v>0.15</v>
      </c>
      <c r="I1075" s="9">
        <v>0</v>
      </c>
      <c r="J1075" s="10">
        <v>45832</v>
      </c>
      <c r="K1075" s="9" t="s">
        <v>44</v>
      </c>
      <c r="L1075" s="9" t="s">
        <v>29</v>
      </c>
      <c r="M1075" s="9">
        <v>3392.46</v>
      </c>
    </row>
    <row r="1076" spans="1:13" x14ac:dyDescent="0.35">
      <c r="A1076" s="9">
        <v>3347</v>
      </c>
      <c r="B1076" s="9" t="s">
        <v>31</v>
      </c>
      <c r="C1076" s="9" t="s">
        <v>18</v>
      </c>
      <c r="D1076" s="9" t="s">
        <v>38</v>
      </c>
      <c r="E1076" s="9" t="s">
        <v>60</v>
      </c>
      <c r="F1076" s="9">
        <v>0</v>
      </c>
      <c r="G1076" s="9">
        <v>4389.4399999999996</v>
      </c>
      <c r="H1076" s="9">
        <v>0</v>
      </c>
      <c r="I1076" s="9">
        <v>0</v>
      </c>
      <c r="J1076" s="10">
        <v>45832</v>
      </c>
      <c r="K1076" s="9" t="s">
        <v>45</v>
      </c>
      <c r="L1076" s="9" t="s">
        <v>26</v>
      </c>
      <c r="M1076" s="9">
        <v>1546.55</v>
      </c>
    </row>
    <row r="1077" spans="1:13" x14ac:dyDescent="0.35">
      <c r="A1077" s="9">
        <v>3348</v>
      </c>
      <c r="B1077" s="9" t="s">
        <v>28</v>
      </c>
      <c r="C1077" s="9" t="s">
        <v>19</v>
      </c>
      <c r="D1077" s="9" t="s">
        <v>63</v>
      </c>
      <c r="E1077" s="9" t="s">
        <v>59</v>
      </c>
      <c r="F1077" s="9">
        <v>0</v>
      </c>
      <c r="G1077" s="9">
        <v>2114.86</v>
      </c>
      <c r="H1077" s="9">
        <v>0</v>
      </c>
      <c r="I1077" s="9">
        <v>0</v>
      </c>
      <c r="J1077" s="10">
        <v>45561</v>
      </c>
      <c r="K1077" s="9" t="s">
        <v>45</v>
      </c>
      <c r="L1077" s="9" t="s">
        <v>32</v>
      </c>
      <c r="M1077" s="9">
        <v>2636.76</v>
      </c>
    </row>
    <row r="1078" spans="1:13" x14ac:dyDescent="0.35">
      <c r="A1078" s="9">
        <v>3349</v>
      </c>
      <c r="B1078" s="9" t="s">
        <v>31</v>
      </c>
      <c r="C1078" s="9" t="s">
        <v>18</v>
      </c>
      <c r="D1078" s="9" t="s">
        <v>38</v>
      </c>
      <c r="E1078" s="9" t="s">
        <v>59</v>
      </c>
      <c r="F1078" s="9">
        <v>0</v>
      </c>
      <c r="G1078" s="9">
        <v>8180.92</v>
      </c>
      <c r="H1078" s="9">
        <v>1.25</v>
      </c>
      <c r="I1078" s="9">
        <v>0</v>
      </c>
      <c r="J1078" s="10">
        <v>45561</v>
      </c>
      <c r="K1078" s="9" t="s">
        <v>44</v>
      </c>
      <c r="L1078" s="9" t="s">
        <v>32</v>
      </c>
      <c r="M1078" s="9">
        <v>-481.2</v>
      </c>
    </row>
    <row r="1079" spans="1:13" x14ac:dyDescent="0.35">
      <c r="A1079" s="9">
        <v>3350</v>
      </c>
      <c r="B1079" s="9" t="s">
        <v>28</v>
      </c>
      <c r="C1079" s="9" t="s">
        <v>22</v>
      </c>
      <c r="D1079" s="9" t="s">
        <v>68</v>
      </c>
      <c r="E1079" s="9" t="s">
        <v>60</v>
      </c>
      <c r="F1079" s="9">
        <v>0</v>
      </c>
      <c r="G1079" s="9">
        <v>0</v>
      </c>
      <c r="H1079" s="9">
        <v>0.48</v>
      </c>
      <c r="I1079" s="9">
        <v>0</v>
      </c>
      <c r="J1079" s="10">
        <v>45805</v>
      </c>
      <c r="K1079" s="9" t="s">
        <v>45</v>
      </c>
      <c r="L1079" s="9" t="s">
        <v>25</v>
      </c>
      <c r="M1079" s="9">
        <v>2199.4299999999998</v>
      </c>
    </row>
    <row r="1080" spans="1:13" x14ac:dyDescent="0.35">
      <c r="A1080" s="9">
        <v>3352</v>
      </c>
      <c r="B1080" s="9" t="s">
        <v>28</v>
      </c>
      <c r="C1080" s="9" t="s">
        <v>18</v>
      </c>
      <c r="D1080" s="9" t="s">
        <v>37</v>
      </c>
      <c r="E1080" s="9" t="s">
        <v>59</v>
      </c>
      <c r="F1080" s="9">
        <v>0</v>
      </c>
      <c r="G1080" s="9">
        <v>6622.41</v>
      </c>
      <c r="H1080" s="9">
        <v>0.23</v>
      </c>
      <c r="I1080" s="9">
        <v>0</v>
      </c>
      <c r="J1080" s="10">
        <v>45717</v>
      </c>
      <c r="K1080" s="9" t="s">
        <v>44</v>
      </c>
      <c r="L1080" s="9" t="s">
        <v>35</v>
      </c>
      <c r="M1080" s="9">
        <v>1437.43</v>
      </c>
    </row>
    <row r="1081" spans="1:13" x14ac:dyDescent="0.35">
      <c r="A1081" s="9">
        <v>2028</v>
      </c>
      <c r="B1081" s="9" t="s">
        <v>31</v>
      </c>
      <c r="C1081" s="9" t="s">
        <v>22</v>
      </c>
      <c r="D1081" s="9" t="s">
        <v>67</v>
      </c>
      <c r="E1081" s="9" t="s">
        <v>59</v>
      </c>
      <c r="F1081" s="9">
        <v>4</v>
      </c>
      <c r="G1081" s="9">
        <v>2824.55</v>
      </c>
      <c r="H1081" s="9">
        <v>0</v>
      </c>
      <c r="I1081" s="9">
        <v>0</v>
      </c>
      <c r="J1081" s="10">
        <v>45717</v>
      </c>
      <c r="K1081" s="9" t="s">
        <v>45</v>
      </c>
      <c r="L1081" s="9" t="s">
        <v>29</v>
      </c>
      <c r="M1081" s="9">
        <v>1123.78</v>
      </c>
    </row>
    <row r="1082" spans="1:13" x14ac:dyDescent="0.35">
      <c r="A1082" s="9">
        <v>3354</v>
      </c>
      <c r="B1082" s="9" t="s">
        <v>31</v>
      </c>
      <c r="C1082" s="9" t="s">
        <v>21</v>
      </c>
      <c r="D1082" s="9" t="s">
        <v>71</v>
      </c>
      <c r="E1082" s="9" t="s">
        <v>60</v>
      </c>
      <c r="F1082" s="9">
        <v>0</v>
      </c>
      <c r="G1082" s="9">
        <v>0</v>
      </c>
      <c r="H1082" s="9">
        <v>0.4</v>
      </c>
      <c r="I1082" s="9">
        <v>0</v>
      </c>
      <c r="J1082" s="10">
        <v>45597</v>
      </c>
      <c r="K1082" s="9" t="s">
        <v>44</v>
      </c>
      <c r="L1082" s="9" t="s">
        <v>27</v>
      </c>
      <c r="M1082" s="9">
        <v>-987.6</v>
      </c>
    </row>
    <row r="1083" spans="1:13" x14ac:dyDescent="0.35">
      <c r="A1083" s="9">
        <v>3355</v>
      </c>
      <c r="B1083" s="9" t="s">
        <v>34</v>
      </c>
      <c r="C1083" s="9" t="s">
        <v>22</v>
      </c>
      <c r="D1083" s="9" t="s">
        <v>30</v>
      </c>
      <c r="E1083" s="9" t="s">
        <v>59</v>
      </c>
      <c r="F1083" s="9">
        <v>0</v>
      </c>
      <c r="G1083" s="9">
        <v>7781.4</v>
      </c>
      <c r="H1083" s="9">
        <v>1.1399999999999999</v>
      </c>
      <c r="I1083" s="9">
        <v>0</v>
      </c>
      <c r="J1083" s="10">
        <v>45673</v>
      </c>
      <c r="K1083" s="9" t="s">
        <v>45</v>
      </c>
      <c r="L1083" s="9" t="s">
        <v>35</v>
      </c>
      <c r="M1083" s="9">
        <v>1815.96</v>
      </c>
    </row>
    <row r="1084" spans="1:13" x14ac:dyDescent="0.35">
      <c r="A1084" s="9">
        <v>3356</v>
      </c>
      <c r="B1084" s="9" t="s">
        <v>28</v>
      </c>
      <c r="C1084" s="9" t="s">
        <v>19</v>
      </c>
      <c r="D1084" s="9" t="s">
        <v>42</v>
      </c>
      <c r="E1084" s="9" t="s">
        <v>59</v>
      </c>
      <c r="F1084" s="9">
        <v>4</v>
      </c>
      <c r="G1084" s="9">
        <v>0</v>
      </c>
      <c r="H1084" s="9">
        <v>0</v>
      </c>
      <c r="I1084" s="9">
        <v>0</v>
      </c>
      <c r="J1084" s="10">
        <v>45729</v>
      </c>
      <c r="K1084" s="9" t="s">
        <v>45</v>
      </c>
      <c r="L1084" s="9" t="s">
        <v>26</v>
      </c>
      <c r="M1084" s="9">
        <v>724.11</v>
      </c>
    </row>
    <row r="1085" spans="1:13" x14ac:dyDescent="0.35">
      <c r="A1085" s="9">
        <v>3357</v>
      </c>
      <c r="B1085" s="9" t="s">
        <v>34</v>
      </c>
      <c r="C1085" s="9" t="s">
        <v>18</v>
      </c>
      <c r="D1085" s="9" t="s">
        <v>33</v>
      </c>
      <c r="E1085" s="9" t="s">
        <v>59</v>
      </c>
      <c r="F1085" s="9">
        <v>4</v>
      </c>
      <c r="G1085" s="9">
        <v>6206.45</v>
      </c>
      <c r="H1085" s="9">
        <v>0.5</v>
      </c>
      <c r="I1085" s="9">
        <v>12412.9</v>
      </c>
      <c r="J1085" s="10">
        <v>45752</v>
      </c>
      <c r="K1085" s="9" t="s">
        <v>45</v>
      </c>
      <c r="L1085" s="9" t="s">
        <v>29</v>
      </c>
      <c r="M1085" s="9">
        <v>678.42</v>
      </c>
    </row>
    <row r="1086" spans="1:13" x14ac:dyDescent="0.35">
      <c r="A1086" s="9">
        <v>3358</v>
      </c>
      <c r="B1086" s="9" t="s">
        <v>31</v>
      </c>
      <c r="C1086" s="9" t="s">
        <v>22</v>
      </c>
      <c r="D1086" s="9" t="s">
        <v>67</v>
      </c>
      <c r="E1086" s="9" t="s">
        <v>59</v>
      </c>
      <c r="F1086" s="9">
        <v>0</v>
      </c>
      <c r="G1086" s="9">
        <v>0</v>
      </c>
      <c r="H1086" s="9">
        <v>0.43</v>
      </c>
      <c r="I1086" s="9">
        <v>0</v>
      </c>
      <c r="J1086" s="10">
        <v>45505</v>
      </c>
      <c r="K1086" s="9" t="s">
        <v>45</v>
      </c>
      <c r="L1086" s="9" t="s">
        <v>32</v>
      </c>
      <c r="M1086" s="9">
        <v>2019.56</v>
      </c>
    </row>
    <row r="1087" spans="1:13" x14ac:dyDescent="0.35">
      <c r="A1087" s="9">
        <v>3360</v>
      </c>
      <c r="B1087" s="9" t="s">
        <v>28</v>
      </c>
      <c r="C1087" s="9" t="s">
        <v>18</v>
      </c>
      <c r="D1087" s="9" t="s">
        <v>41</v>
      </c>
      <c r="E1087" s="9" t="s">
        <v>59</v>
      </c>
      <c r="F1087" s="9">
        <v>4</v>
      </c>
      <c r="G1087" s="9">
        <v>0</v>
      </c>
      <c r="H1087" s="9">
        <v>0.06</v>
      </c>
      <c r="I1087" s="9">
        <v>0</v>
      </c>
      <c r="J1087" s="10">
        <v>45504</v>
      </c>
      <c r="K1087" s="9" t="s">
        <v>45</v>
      </c>
      <c r="L1087" s="9" t="s">
        <v>25</v>
      </c>
      <c r="M1087" s="9">
        <v>304.12</v>
      </c>
    </row>
    <row r="1088" spans="1:13" x14ac:dyDescent="0.35">
      <c r="A1088" s="9">
        <v>3361</v>
      </c>
      <c r="B1088" s="9" t="s">
        <v>28</v>
      </c>
      <c r="C1088" s="9" t="s">
        <v>22</v>
      </c>
      <c r="D1088" s="9" t="s">
        <v>30</v>
      </c>
      <c r="E1088" s="9" t="s">
        <v>62</v>
      </c>
      <c r="F1088" s="9">
        <v>0</v>
      </c>
      <c r="G1088" s="9">
        <v>0</v>
      </c>
      <c r="H1088" s="9">
        <v>0</v>
      </c>
      <c r="I1088" s="9">
        <v>0</v>
      </c>
      <c r="J1088" s="10">
        <v>45504</v>
      </c>
      <c r="K1088" s="9" t="s">
        <v>44</v>
      </c>
      <c r="L1088" s="9" t="s">
        <v>25</v>
      </c>
      <c r="M1088" s="9">
        <v>3007.91</v>
      </c>
    </row>
    <row r="1089" spans="1:13" x14ac:dyDescent="0.35">
      <c r="A1089" s="9">
        <v>3362</v>
      </c>
      <c r="B1089" s="9" t="s">
        <v>31</v>
      </c>
      <c r="C1089" s="9" t="s">
        <v>21</v>
      </c>
      <c r="D1089" s="9" t="s">
        <v>40</v>
      </c>
      <c r="E1089" s="9" t="s">
        <v>60</v>
      </c>
      <c r="F1089" s="9">
        <v>0</v>
      </c>
      <c r="G1089" s="9">
        <v>0</v>
      </c>
      <c r="H1089" s="9">
        <v>0</v>
      </c>
      <c r="I1089" s="9">
        <v>0</v>
      </c>
      <c r="J1089" s="10">
        <v>45361</v>
      </c>
      <c r="K1089" s="9" t="s">
        <v>44</v>
      </c>
      <c r="L1089" s="9" t="s">
        <v>29</v>
      </c>
      <c r="M1089" s="9">
        <v>2730.12</v>
      </c>
    </row>
    <row r="1090" spans="1:13" x14ac:dyDescent="0.35">
      <c r="A1090" s="9">
        <v>3364</v>
      </c>
      <c r="B1090" s="9" t="s">
        <v>34</v>
      </c>
      <c r="C1090" s="9" t="s">
        <v>19</v>
      </c>
      <c r="D1090" s="9" t="s">
        <v>39</v>
      </c>
      <c r="E1090" s="9" t="s">
        <v>59</v>
      </c>
      <c r="F1090" s="9">
        <v>0</v>
      </c>
      <c r="G1090" s="9">
        <v>0</v>
      </c>
      <c r="H1090" s="9">
        <v>0.24</v>
      </c>
      <c r="I1090" s="9">
        <v>0</v>
      </c>
      <c r="J1090" s="10">
        <v>45546</v>
      </c>
      <c r="K1090" s="9" t="s">
        <v>45</v>
      </c>
      <c r="L1090" s="9" t="s">
        <v>35</v>
      </c>
      <c r="M1090" s="9">
        <v>-371.86</v>
      </c>
    </row>
    <row r="1091" spans="1:13" x14ac:dyDescent="0.35">
      <c r="A1091" s="9">
        <v>3365</v>
      </c>
      <c r="B1091" s="9" t="s">
        <v>34</v>
      </c>
      <c r="C1091" s="9" t="s">
        <v>20</v>
      </c>
      <c r="D1091" s="9" t="s">
        <v>43</v>
      </c>
      <c r="E1091" s="9" t="s">
        <v>59</v>
      </c>
      <c r="F1091" s="9">
        <v>0</v>
      </c>
      <c r="G1091" s="9">
        <v>0</v>
      </c>
      <c r="H1091" s="9">
        <v>0.95</v>
      </c>
      <c r="I1091" s="9">
        <v>0</v>
      </c>
      <c r="J1091" s="10">
        <v>45546</v>
      </c>
      <c r="K1091" s="9" t="s">
        <v>44</v>
      </c>
      <c r="L1091" s="9" t="s">
        <v>35</v>
      </c>
      <c r="M1091" s="9">
        <v>-445.03</v>
      </c>
    </row>
    <row r="1092" spans="1:13" x14ac:dyDescent="0.35">
      <c r="A1092" s="9">
        <v>3366</v>
      </c>
      <c r="B1092" s="9" t="s">
        <v>31</v>
      </c>
      <c r="C1092" s="9" t="s">
        <v>22</v>
      </c>
      <c r="D1092" s="9" t="s">
        <v>30</v>
      </c>
      <c r="E1092" s="9" t="s">
        <v>59</v>
      </c>
      <c r="F1092" s="9">
        <v>0</v>
      </c>
      <c r="G1092" s="9">
        <v>0</v>
      </c>
      <c r="H1092" s="9">
        <v>0</v>
      </c>
      <c r="I1092" s="9">
        <v>0</v>
      </c>
      <c r="J1092" s="10">
        <v>45641</v>
      </c>
      <c r="K1092" s="9" t="s">
        <v>44</v>
      </c>
      <c r="L1092" s="9" t="s">
        <v>35</v>
      </c>
      <c r="M1092" s="9">
        <v>2762.68</v>
      </c>
    </row>
    <row r="1093" spans="1:13" x14ac:dyDescent="0.35">
      <c r="A1093" s="9">
        <v>2029</v>
      </c>
      <c r="B1093" s="9" t="s">
        <v>34</v>
      </c>
      <c r="C1093" s="9" t="s">
        <v>18</v>
      </c>
      <c r="D1093" s="9" t="s">
        <v>41</v>
      </c>
      <c r="E1093" s="9" t="s">
        <v>60</v>
      </c>
      <c r="F1093" s="9">
        <v>0</v>
      </c>
      <c r="G1093" s="9">
        <v>6548.87</v>
      </c>
      <c r="H1093" s="9">
        <v>0.2</v>
      </c>
      <c r="I1093" s="9">
        <v>0</v>
      </c>
      <c r="J1093" s="10">
        <v>45616</v>
      </c>
      <c r="K1093" s="9" t="s">
        <v>45</v>
      </c>
      <c r="L1093" s="9" t="s">
        <v>27</v>
      </c>
      <c r="M1093" s="9">
        <v>3640.6</v>
      </c>
    </row>
    <row r="1094" spans="1:13" x14ac:dyDescent="0.35">
      <c r="A1094" s="9">
        <v>3368</v>
      </c>
      <c r="B1094" s="9" t="s">
        <v>28</v>
      </c>
      <c r="C1094" s="9" t="s">
        <v>18</v>
      </c>
      <c r="D1094" s="9" t="s">
        <v>33</v>
      </c>
      <c r="E1094" s="9" t="s">
        <v>59</v>
      </c>
      <c r="F1094" s="9">
        <v>0</v>
      </c>
      <c r="G1094" s="9">
        <v>0</v>
      </c>
      <c r="H1094" s="9">
        <v>0</v>
      </c>
      <c r="I1094" s="9">
        <v>0</v>
      </c>
      <c r="J1094" s="10">
        <v>45761</v>
      </c>
      <c r="K1094" s="9" t="s">
        <v>44</v>
      </c>
      <c r="L1094" s="9" t="s">
        <v>29</v>
      </c>
      <c r="M1094" s="9">
        <v>2027.47</v>
      </c>
    </row>
    <row r="1095" spans="1:13" x14ac:dyDescent="0.35">
      <c r="A1095" s="9">
        <v>3369</v>
      </c>
      <c r="B1095" s="9" t="s">
        <v>31</v>
      </c>
      <c r="C1095" s="9" t="s">
        <v>20</v>
      </c>
      <c r="D1095" s="9" t="s">
        <v>61</v>
      </c>
      <c r="E1095" s="9" t="s">
        <v>60</v>
      </c>
      <c r="F1095" s="9">
        <v>0</v>
      </c>
      <c r="G1095" s="9">
        <v>5103.34</v>
      </c>
      <c r="H1095" s="9">
        <v>0.05</v>
      </c>
      <c r="I1095" s="9">
        <v>0</v>
      </c>
      <c r="J1095" s="10">
        <v>45562</v>
      </c>
      <c r="K1095" s="9" t="s">
        <v>45</v>
      </c>
      <c r="L1095" s="9" t="s">
        <v>27</v>
      </c>
      <c r="M1095" s="9">
        <v>1247.02</v>
      </c>
    </row>
    <row r="1096" spans="1:13" x14ac:dyDescent="0.35">
      <c r="A1096" s="9">
        <v>3370</v>
      </c>
      <c r="B1096" s="9" t="s">
        <v>28</v>
      </c>
      <c r="C1096" s="9" t="s">
        <v>22</v>
      </c>
      <c r="D1096" s="9" t="s">
        <v>65</v>
      </c>
      <c r="E1096" s="9" t="s">
        <v>62</v>
      </c>
      <c r="F1096" s="9">
        <v>0</v>
      </c>
      <c r="G1096" s="9">
        <v>3328.45</v>
      </c>
      <c r="H1096" s="9">
        <v>0</v>
      </c>
      <c r="I1096" s="9">
        <v>0</v>
      </c>
      <c r="J1096" s="10">
        <v>45843</v>
      </c>
      <c r="K1096" s="9" t="s">
        <v>44</v>
      </c>
      <c r="L1096" s="9" t="s">
        <v>25</v>
      </c>
      <c r="M1096" s="9">
        <v>-1137.54</v>
      </c>
    </row>
    <row r="1097" spans="1:13" x14ac:dyDescent="0.35">
      <c r="A1097" s="9">
        <v>3371</v>
      </c>
      <c r="B1097" s="9" t="s">
        <v>31</v>
      </c>
      <c r="C1097" s="9" t="s">
        <v>18</v>
      </c>
      <c r="D1097" s="9" t="s">
        <v>33</v>
      </c>
      <c r="E1097" s="9" t="s">
        <v>62</v>
      </c>
      <c r="F1097" s="9">
        <v>1</v>
      </c>
      <c r="G1097" s="9">
        <v>2636.01</v>
      </c>
      <c r="H1097" s="9">
        <v>0</v>
      </c>
      <c r="I1097" s="9">
        <v>0</v>
      </c>
      <c r="J1097" s="10">
        <v>45773</v>
      </c>
      <c r="K1097" s="9" t="s">
        <v>44</v>
      </c>
      <c r="L1097" s="9" t="s">
        <v>29</v>
      </c>
      <c r="M1097" s="9">
        <v>2255.4299999999998</v>
      </c>
    </row>
    <row r="1098" spans="1:13" x14ac:dyDescent="0.35">
      <c r="A1098" s="9">
        <v>3372</v>
      </c>
      <c r="B1098" s="9" t="s">
        <v>34</v>
      </c>
      <c r="C1098" s="9" t="s">
        <v>22</v>
      </c>
      <c r="D1098" s="9" t="s">
        <v>67</v>
      </c>
      <c r="E1098" s="9" t="s">
        <v>59</v>
      </c>
      <c r="F1098" s="9">
        <v>0</v>
      </c>
      <c r="G1098" s="9">
        <v>0</v>
      </c>
      <c r="H1098" s="9">
        <v>0.77</v>
      </c>
      <c r="I1098" s="9">
        <v>0</v>
      </c>
      <c r="J1098" s="10">
        <v>45712</v>
      </c>
      <c r="K1098" s="9" t="s">
        <v>45</v>
      </c>
      <c r="L1098" s="9" t="s">
        <v>29</v>
      </c>
      <c r="M1098" s="9">
        <v>-1088.45</v>
      </c>
    </row>
    <row r="1099" spans="1:13" x14ac:dyDescent="0.35">
      <c r="A1099" s="9">
        <v>3373</v>
      </c>
      <c r="B1099" s="9" t="s">
        <v>34</v>
      </c>
      <c r="C1099" s="9" t="s">
        <v>18</v>
      </c>
      <c r="D1099" s="9" t="s">
        <v>37</v>
      </c>
      <c r="E1099" s="9" t="s">
        <v>59</v>
      </c>
      <c r="F1099" s="9">
        <v>0</v>
      </c>
      <c r="G1099" s="9">
        <v>0</v>
      </c>
      <c r="H1099" s="9">
        <v>0.76</v>
      </c>
      <c r="I1099" s="9">
        <v>0</v>
      </c>
      <c r="J1099" s="10">
        <v>45712</v>
      </c>
      <c r="K1099" s="9" t="s">
        <v>44</v>
      </c>
      <c r="L1099" s="9" t="s">
        <v>35</v>
      </c>
      <c r="M1099" s="9">
        <v>1069.43</v>
      </c>
    </row>
    <row r="1100" spans="1:13" x14ac:dyDescent="0.35">
      <c r="A1100" s="9">
        <v>3374</v>
      </c>
      <c r="B1100" s="9" t="s">
        <v>31</v>
      </c>
      <c r="C1100" s="9" t="s">
        <v>18</v>
      </c>
      <c r="D1100" s="9" t="s">
        <v>33</v>
      </c>
      <c r="E1100" s="9" t="s">
        <v>59</v>
      </c>
      <c r="F1100" s="9">
        <v>4</v>
      </c>
      <c r="G1100" s="9">
        <v>4500.96</v>
      </c>
      <c r="H1100" s="9">
        <v>0</v>
      </c>
      <c r="I1100" s="9">
        <v>0</v>
      </c>
      <c r="J1100" s="10">
        <v>45642</v>
      </c>
      <c r="K1100" s="9" t="s">
        <v>45</v>
      </c>
      <c r="L1100" s="9" t="s">
        <v>35</v>
      </c>
      <c r="M1100" s="9">
        <v>1905.25</v>
      </c>
    </row>
    <row r="1101" spans="1:13" x14ac:dyDescent="0.35">
      <c r="A1101" s="9">
        <v>3375</v>
      </c>
      <c r="B1101" s="9" t="s">
        <v>34</v>
      </c>
      <c r="C1101" s="9" t="s">
        <v>20</v>
      </c>
      <c r="D1101" s="9" t="s">
        <v>66</v>
      </c>
      <c r="E1101" s="9" t="s">
        <v>59</v>
      </c>
      <c r="F1101" s="9">
        <v>0</v>
      </c>
      <c r="G1101" s="9">
        <v>2134.23</v>
      </c>
      <c r="H1101" s="9">
        <v>0</v>
      </c>
      <c r="I1101" s="9">
        <v>0</v>
      </c>
      <c r="J1101" s="10">
        <v>45618</v>
      </c>
      <c r="K1101" s="9" t="s">
        <v>45</v>
      </c>
      <c r="L1101" s="9" t="s">
        <v>25</v>
      </c>
      <c r="M1101" s="9">
        <v>1647.39</v>
      </c>
    </row>
    <row r="1102" spans="1:13" x14ac:dyDescent="0.35">
      <c r="A1102" s="9">
        <v>3376</v>
      </c>
      <c r="B1102" s="9" t="s">
        <v>34</v>
      </c>
      <c r="C1102" s="9" t="s">
        <v>19</v>
      </c>
      <c r="D1102" s="9" t="s">
        <v>69</v>
      </c>
      <c r="E1102" s="9" t="s">
        <v>59</v>
      </c>
      <c r="F1102" s="9">
        <v>0</v>
      </c>
      <c r="G1102" s="9">
        <v>0</v>
      </c>
      <c r="H1102" s="9">
        <v>0</v>
      </c>
      <c r="I1102" s="9">
        <v>0</v>
      </c>
      <c r="J1102" s="10">
        <v>45618</v>
      </c>
      <c r="K1102" s="9" t="s">
        <v>44</v>
      </c>
      <c r="L1102" s="9" t="s">
        <v>27</v>
      </c>
      <c r="M1102" s="9">
        <v>1286.6400000000001</v>
      </c>
    </row>
    <row r="1103" spans="1:13" x14ac:dyDescent="0.35">
      <c r="A1103" s="9">
        <v>3377</v>
      </c>
      <c r="B1103" s="9" t="s">
        <v>31</v>
      </c>
      <c r="C1103" s="9" t="s">
        <v>22</v>
      </c>
      <c r="D1103" s="9" t="s">
        <v>67</v>
      </c>
      <c r="E1103" s="9" t="s">
        <v>59</v>
      </c>
      <c r="F1103" s="9">
        <v>0</v>
      </c>
      <c r="G1103" s="9">
        <v>0</v>
      </c>
      <c r="H1103" s="9">
        <v>0.38</v>
      </c>
      <c r="I1103" s="9">
        <v>0</v>
      </c>
      <c r="J1103" s="10">
        <v>45618</v>
      </c>
      <c r="K1103" s="9" t="s">
        <v>45</v>
      </c>
      <c r="L1103" s="9" t="s">
        <v>32</v>
      </c>
      <c r="M1103" s="9">
        <v>1295.93</v>
      </c>
    </row>
    <row r="1104" spans="1:13" x14ac:dyDescent="0.35">
      <c r="A1104" s="9">
        <v>3378</v>
      </c>
      <c r="B1104" s="9" t="s">
        <v>34</v>
      </c>
      <c r="C1104" s="9" t="s">
        <v>19</v>
      </c>
      <c r="D1104" s="9" t="s">
        <v>69</v>
      </c>
      <c r="E1104" s="9" t="s">
        <v>62</v>
      </c>
      <c r="F1104" s="9">
        <v>1</v>
      </c>
      <c r="G1104" s="9">
        <v>3642.74</v>
      </c>
      <c r="H1104" s="9">
        <v>0</v>
      </c>
      <c r="I1104" s="9">
        <v>0</v>
      </c>
      <c r="J1104" s="10">
        <v>45618</v>
      </c>
      <c r="K1104" s="9" t="s">
        <v>45</v>
      </c>
      <c r="L1104" s="9" t="s">
        <v>27</v>
      </c>
      <c r="M1104" s="9">
        <v>2416.87</v>
      </c>
    </row>
    <row r="1105" spans="1:13" x14ac:dyDescent="0.35">
      <c r="A1105" s="9">
        <v>3382</v>
      </c>
      <c r="B1105" s="9" t="s">
        <v>31</v>
      </c>
      <c r="C1105" s="9" t="s">
        <v>22</v>
      </c>
      <c r="D1105" s="9" t="s">
        <v>30</v>
      </c>
      <c r="E1105" s="9" t="s">
        <v>62</v>
      </c>
      <c r="F1105" s="9">
        <v>2</v>
      </c>
      <c r="G1105" s="9">
        <v>9187.23</v>
      </c>
      <c r="H1105" s="9">
        <v>0</v>
      </c>
      <c r="I1105" s="9">
        <v>0</v>
      </c>
      <c r="J1105" s="10">
        <v>45667</v>
      </c>
      <c r="K1105" s="9" t="s">
        <v>44</v>
      </c>
      <c r="L1105" s="9" t="s">
        <v>32</v>
      </c>
      <c r="M1105" s="9">
        <v>1710.15</v>
      </c>
    </row>
    <row r="1106" spans="1:13" x14ac:dyDescent="0.35">
      <c r="A1106" s="9">
        <v>3383</v>
      </c>
      <c r="B1106" s="9" t="s">
        <v>28</v>
      </c>
      <c r="C1106" s="9" t="s">
        <v>21</v>
      </c>
      <c r="D1106" s="9" t="s">
        <v>40</v>
      </c>
      <c r="E1106" s="9" t="s">
        <v>62</v>
      </c>
      <c r="F1106" s="9">
        <v>0</v>
      </c>
      <c r="G1106" s="9">
        <v>0</v>
      </c>
      <c r="H1106" s="9">
        <v>0</v>
      </c>
      <c r="I1106" s="9">
        <v>0</v>
      </c>
      <c r="J1106" s="10">
        <v>45516</v>
      </c>
      <c r="K1106" s="9" t="s">
        <v>44</v>
      </c>
      <c r="L1106" s="9" t="s">
        <v>25</v>
      </c>
      <c r="M1106" s="9">
        <v>3793.87</v>
      </c>
    </row>
    <row r="1107" spans="1:13" x14ac:dyDescent="0.35">
      <c r="A1107" s="9">
        <v>3384</v>
      </c>
      <c r="B1107" s="9" t="s">
        <v>28</v>
      </c>
      <c r="C1107" s="9" t="s">
        <v>22</v>
      </c>
      <c r="D1107" s="9" t="s">
        <v>65</v>
      </c>
      <c r="E1107" s="9" t="s">
        <v>59</v>
      </c>
      <c r="F1107" s="9">
        <v>0</v>
      </c>
      <c r="G1107" s="9">
        <v>0</v>
      </c>
      <c r="H1107" s="9">
        <v>0.27</v>
      </c>
      <c r="I1107" s="9">
        <v>0</v>
      </c>
      <c r="J1107" s="10">
        <v>45860</v>
      </c>
      <c r="K1107" s="9" t="s">
        <v>44</v>
      </c>
      <c r="L1107" s="9" t="s">
        <v>25</v>
      </c>
      <c r="M1107" s="9">
        <v>144.65</v>
      </c>
    </row>
    <row r="1108" spans="1:13" x14ac:dyDescent="0.35">
      <c r="A1108" s="9">
        <v>3386</v>
      </c>
      <c r="B1108" s="9" t="s">
        <v>28</v>
      </c>
      <c r="C1108" s="9" t="s">
        <v>19</v>
      </c>
      <c r="D1108" s="9" t="s">
        <v>69</v>
      </c>
      <c r="E1108" s="9" t="s">
        <v>59</v>
      </c>
      <c r="F1108" s="9">
        <v>0</v>
      </c>
      <c r="G1108" s="9">
        <v>9212.82</v>
      </c>
      <c r="H1108" s="9">
        <v>1.0900000000000001</v>
      </c>
      <c r="I1108" s="9">
        <v>0</v>
      </c>
      <c r="J1108" s="10">
        <v>45581</v>
      </c>
      <c r="K1108" s="9" t="s">
        <v>44</v>
      </c>
      <c r="L1108" s="9" t="s">
        <v>32</v>
      </c>
      <c r="M1108" s="9">
        <v>3827.83</v>
      </c>
    </row>
    <row r="1109" spans="1:13" x14ac:dyDescent="0.35">
      <c r="A1109" s="9">
        <v>3387</v>
      </c>
      <c r="B1109" s="9" t="s">
        <v>31</v>
      </c>
      <c r="C1109" s="9" t="s">
        <v>19</v>
      </c>
      <c r="D1109" s="9" t="s">
        <v>69</v>
      </c>
      <c r="E1109" s="9" t="s">
        <v>59</v>
      </c>
      <c r="F1109" s="9">
        <v>4</v>
      </c>
      <c r="G1109" s="9">
        <v>0</v>
      </c>
      <c r="H1109" s="9">
        <v>1.07</v>
      </c>
      <c r="I1109" s="9">
        <v>0</v>
      </c>
      <c r="J1109" s="10">
        <v>45829</v>
      </c>
      <c r="K1109" s="9" t="s">
        <v>44</v>
      </c>
      <c r="L1109" s="9" t="s">
        <v>25</v>
      </c>
      <c r="M1109" s="9">
        <v>2821.58</v>
      </c>
    </row>
    <row r="1110" spans="1:13" x14ac:dyDescent="0.35">
      <c r="A1110" s="9">
        <v>3388</v>
      </c>
      <c r="B1110" s="9" t="s">
        <v>28</v>
      </c>
      <c r="C1110" s="9" t="s">
        <v>20</v>
      </c>
      <c r="D1110" s="9" t="s">
        <v>66</v>
      </c>
      <c r="E1110" s="9" t="s">
        <v>59</v>
      </c>
      <c r="F1110" s="9">
        <v>0</v>
      </c>
      <c r="G1110" s="9">
        <v>4042.33</v>
      </c>
      <c r="H1110" s="9">
        <v>0</v>
      </c>
      <c r="I1110" s="9">
        <v>0</v>
      </c>
      <c r="J1110" s="10">
        <v>45780</v>
      </c>
      <c r="K1110" s="9" t="s">
        <v>45</v>
      </c>
      <c r="L1110" s="9" t="s">
        <v>35</v>
      </c>
      <c r="M1110" s="9">
        <v>1915.52</v>
      </c>
    </row>
    <row r="1111" spans="1:13" x14ac:dyDescent="0.35">
      <c r="A1111" s="9">
        <v>3389</v>
      </c>
      <c r="B1111" s="9" t="s">
        <v>28</v>
      </c>
      <c r="C1111" s="9" t="s">
        <v>20</v>
      </c>
      <c r="D1111" s="9" t="s">
        <v>43</v>
      </c>
      <c r="E1111" s="9" t="s">
        <v>59</v>
      </c>
      <c r="F1111" s="9">
        <v>3</v>
      </c>
      <c r="G1111" s="9">
        <v>9764.91</v>
      </c>
      <c r="H1111" s="9">
        <v>0</v>
      </c>
      <c r="I1111" s="9">
        <v>0</v>
      </c>
      <c r="J1111" s="10">
        <v>45751</v>
      </c>
      <c r="K1111" s="9" t="s">
        <v>45</v>
      </c>
      <c r="L1111" s="9" t="s">
        <v>26</v>
      </c>
      <c r="M1111" s="9">
        <v>3491.49</v>
      </c>
    </row>
    <row r="1112" spans="1:13" x14ac:dyDescent="0.35">
      <c r="A1112" s="9">
        <v>2044</v>
      </c>
      <c r="B1112" s="9" t="s">
        <v>34</v>
      </c>
      <c r="C1112" s="9" t="s">
        <v>19</v>
      </c>
      <c r="D1112" s="9" t="s">
        <v>39</v>
      </c>
      <c r="E1112" s="9" t="s">
        <v>62</v>
      </c>
      <c r="F1112" s="9">
        <v>3</v>
      </c>
      <c r="G1112" s="9">
        <v>2068.9499999999998</v>
      </c>
      <c r="H1112" s="9">
        <v>0.81</v>
      </c>
      <c r="I1112" s="9">
        <v>1179.3</v>
      </c>
      <c r="J1112" s="10">
        <v>45751</v>
      </c>
      <c r="K1112" s="9" t="s">
        <v>44</v>
      </c>
      <c r="L1112" s="9" t="s">
        <v>29</v>
      </c>
      <c r="M1112" s="9">
        <v>-182.98</v>
      </c>
    </row>
    <row r="1113" spans="1:13" x14ac:dyDescent="0.35">
      <c r="A1113" s="9">
        <v>3391</v>
      </c>
      <c r="B1113" s="9" t="s">
        <v>28</v>
      </c>
      <c r="C1113" s="9" t="s">
        <v>19</v>
      </c>
      <c r="D1113" s="9" t="s">
        <v>63</v>
      </c>
      <c r="E1113" s="9" t="s">
        <v>59</v>
      </c>
      <c r="F1113" s="9">
        <v>2</v>
      </c>
      <c r="G1113" s="9">
        <v>0</v>
      </c>
      <c r="H1113" s="9">
        <v>0</v>
      </c>
      <c r="I1113" s="9">
        <v>0</v>
      </c>
      <c r="J1113" s="10">
        <v>45244</v>
      </c>
      <c r="K1113" s="9" t="s">
        <v>44</v>
      </c>
      <c r="L1113" s="9" t="s">
        <v>32</v>
      </c>
      <c r="M1113" s="9">
        <v>1628.31</v>
      </c>
    </row>
    <row r="1114" spans="1:13" x14ac:dyDescent="0.35">
      <c r="A1114" s="9">
        <v>3393</v>
      </c>
      <c r="B1114" s="9" t="s">
        <v>34</v>
      </c>
      <c r="C1114" s="9" t="s">
        <v>22</v>
      </c>
      <c r="D1114" s="9" t="s">
        <v>65</v>
      </c>
      <c r="E1114" s="9" t="s">
        <v>59</v>
      </c>
      <c r="F1114" s="9">
        <v>0</v>
      </c>
      <c r="G1114" s="9">
        <v>0</v>
      </c>
      <c r="H1114" s="9">
        <v>0.68</v>
      </c>
      <c r="I1114" s="9">
        <v>0</v>
      </c>
      <c r="J1114" s="10">
        <v>45816</v>
      </c>
      <c r="K1114" s="9" t="s">
        <v>45</v>
      </c>
      <c r="L1114" s="9" t="s">
        <v>25</v>
      </c>
      <c r="M1114" s="9">
        <v>1329.32</v>
      </c>
    </row>
    <row r="1115" spans="1:13" x14ac:dyDescent="0.35">
      <c r="A1115" s="9">
        <v>3394</v>
      </c>
      <c r="B1115" s="9" t="s">
        <v>34</v>
      </c>
      <c r="C1115" s="9" t="s">
        <v>21</v>
      </c>
      <c r="D1115" s="9" t="s">
        <v>71</v>
      </c>
      <c r="E1115" s="9" t="s">
        <v>62</v>
      </c>
      <c r="F1115" s="9">
        <v>1</v>
      </c>
      <c r="G1115" s="9">
        <v>0</v>
      </c>
      <c r="H1115" s="9">
        <v>0</v>
      </c>
      <c r="I1115" s="9">
        <v>0</v>
      </c>
      <c r="J1115" s="10">
        <v>45599</v>
      </c>
      <c r="K1115" s="9" t="s">
        <v>45</v>
      </c>
      <c r="L1115" s="9" t="s">
        <v>32</v>
      </c>
      <c r="M1115" s="9">
        <v>2396.11</v>
      </c>
    </row>
    <row r="1116" spans="1:13" x14ac:dyDescent="0.35">
      <c r="A1116" s="9">
        <v>3395</v>
      </c>
      <c r="B1116" s="9" t="s">
        <v>28</v>
      </c>
      <c r="C1116" s="9" t="s">
        <v>20</v>
      </c>
      <c r="D1116" s="9" t="s">
        <v>66</v>
      </c>
      <c r="E1116" s="9" t="s">
        <v>60</v>
      </c>
      <c r="F1116" s="9">
        <v>3</v>
      </c>
      <c r="G1116" s="9">
        <v>0</v>
      </c>
      <c r="H1116" s="9">
        <v>0</v>
      </c>
      <c r="I1116" s="9">
        <v>0</v>
      </c>
      <c r="J1116" s="10">
        <v>45672</v>
      </c>
      <c r="K1116" s="9" t="s">
        <v>45</v>
      </c>
      <c r="L1116" s="9" t="s">
        <v>26</v>
      </c>
      <c r="M1116" s="9">
        <v>3069.77</v>
      </c>
    </row>
    <row r="1117" spans="1:13" x14ac:dyDescent="0.35">
      <c r="A1117" s="9">
        <v>3396</v>
      </c>
      <c r="B1117" s="9" t="s">
        <v>34</v>
      </c>
      <c r="C1117" s="9" t="s">
        <v>20</v>
      </c>
      <c r="D1117" s="9" t="s">
        <v>66</v>
      </c>
      <c r="E1117" s="9" t="s">
        <v>60</v>
      </c>
      <c r="F1117" s="9">
        <v>0</v>
      </c>
      <c r="G1117" s="9">
        <v>6325.01</v>
      </c>
      <c r="H1117" s="9">
        <v>0</v>
      </c>
      <c r="I1117" s="9">
        <v>0</v>
      </c>
      <c r="J1117" s="10">
        <v>45672</v>
      </c>
      <c r="K1117" s="9" t="s">
        <v>44</v>
      </c>
      <c r="L1117" s="9" t="s">
        <v>25</v>
      </c>
      <c r="M1117" s="9">
        <v>-1047.8</v>
      </c>
    </row>
    <row r="1118" spans="1:13" x14ac:dyDescent="0.35">
      <c r="A1118" s="9">
        <v>3397</v>
      </c>
      <c r="B1118" s="9" t="s">
        <v>28</v>
      </c>
      <c r="C1118" s="9" t="s">
        <v>21</v>
      </c>
      <c r="D1118" s="9" t="s">
        <v>71</v>
      </c>
      <c r="E1118" s="9" t="s">
        <v>59</v>
      </c>
      <c r="F1118" s="9">
        <v>0</v>
      </c>
      <c r="G1118" s="9">
        <v>9972.81</v>
      </c>
      <c r="H1118" s="9">
        <v>0</v>
      </c>
      <c r="I1118" s="9">
        <v>0</v>
      </c>
      <c r="J1118" s="10">
        <v>45672</v>
      </c>
      <c r="K1118" s="9" t="s">
        <v>45</v>
      </c>
      <c r="L1118" s="9" t="s">
        <v>26</v>
      </c>
      <c r="M1118" s="9">
        <v>3478.84</v>
      </c>
    </row>
    <row r="1119" spans="1:13" x14ac:dyDescent="0.35">
      <c r="A1119" s="9">
        <v>3398</v>
      </c>
      <c r="B1119" s="9" t="s">
        <v>31</v>
      </c>
      <c r="C1119" s="9" t="s">
        <v>22</v>
      </c>
      <c r="D1119" s="9" t="s">
        <v>30</v>
      </c>
      <c r="E1119" s="9" t="s">
        <v>62</v>
      </c>
      <c r="F1119" s="9">
        <v>2</v>
      </c>
      <c r="G1119" s="9">
        <v>2082.4899999999998</v>
      </c>
      <c r="H1119" s="9">
        <v>0</v>
      </c>
      <c r="I1119" s="9">
        <v>0</v>
      </c>
      <c r="J1119" s="10">
        <v>45165</v>
      </c>
      <c r="K1119" s="9" t="s">
        <v>44</v>
      </c>
      <c r="L1119" s="9" t="s">
        <v>27</v>
      </c>
      <c r="M1119" s="9">
        <v>415.57</v>
      </c>
    </row>
    <row r="1120" spans="1:13" x14ac:dyDescent="0.35">
      <c r="A1120" s="9">
        <v>3399</v>
      </c>
      <c r="B1120" s="9" t="s">
        <v>28</v>
      </c>
      <c r="C1120" s="9" t="s">
        <v>22</v>
      </c>
      <c r="D1120" s="9" t="s">
        <v>30</v>
      </c>
      <c r="E1120" s="9" t="s">
        <v>59</v>
      </c>
      <c r="F1120" s="9">
        <v>0</v>
      </c>
      <c r="G1120" s="9">
        <v>4507.45</v>
      </c>
      <c r="H1120" s="9">
        <v>0</v>
      </c>
      <c r="I1120" s="9">
        <v>0</v>
      </c>
      <c r="J1120" s="10">
        <v>45699</v>
      </c>
      <c r="K1120" s="9" t="s">
        <v>45</v>
      </c>
      <c r="L1120" s="9" t="s">
        <v>32</v>
      </c>
      <c r="M1120" s="9">
        <v>-1021.01</v>
      </c>
    </row>
    <row r="1121" spans="1:13" x14ac:dyDescent="0.35">
      <c r="A1121" s="9">
        <v>3400</v>
      </c>
      <c r="B1121" s="9" t="s">
        <v>34</v>
      </c>
      <c r="C1121" s="9" t="s">
        <v>21</v>
      </c>
      <c r="D1121" s="9" t="s">
        <v>64</v>
      </c>
      <c r="E1121" s="9" t="s">
        <v>59</v>
      </c>
      <c r="F1121" s="9">
        <v>0</v>
      </c>
      <c r="G1121" s="9">
        <v>0</v>
      </c>
      <c r="H1121" s="9">
        <v>0.23</v>
      </c>
      <c r="I1121" s="9">
        <v>0</v>
      </c>
      <c r="J1121" s="10">
        <v>45576</v>
      </c>
      <c r="K1121" s="9" t="s">
        <v>44</v>
      </c>
      <c r="L1121" s="9" t="s">
        <v>32</v>
      </c>
      <c r="M1121" s="9">
        <v>703.25</v>
      </c>
    </row>
    <row r="1122" spans="1:13" x14ac:dyDescent="0.35">
      <c r="A1122" s="9">
        <v>3401</v>
      </c>
      <c r="B1122" s="9" t="s">
        <v>34</v>
      </c>
      <c r="C1122" s="9" t="s">
        <v>22</v>
      </c>
      <c r="D1122" s="9" t="s">
        <v>68</v>
      </c>
      <c r="E1122" s="9" t="s">
        <v>59</v>
      </c>
      <c r="F1122" s="9">
        <v>0</v>
      </c>
      <c r="G1122" s="9">
        <v>0</v>
      </c>
      <c r="H1122" s="9">
        <v>0</v>
      </c>
      <c r="I1122" s="9">
        <v>0</v>
      </c>
      <c r="J1122" s="10">
        <v>45576</v>
      </c>
      <c r="K1122" s="9" t="s">
        <v>44</v>
      </c>
      <c r="L1122" s="9" t="s">
        <v>27</v>
      </c>
      <c r="M1122" s="9">
        <v>3834.84</v>
      </c>
    </row>
    <row r="1123" spans="1:13" x14ac:dyDescent="0.35">
      <c r="A1123" s="9">
        <v>3403</v>
      </c>
      <c r="B1123" s="9" t="s">
        <v>34</v>
      </c>
      <c r="C1123" s="9" t="s">
        <v>18</v>
      </c>
      <c r="D1123" s="9" t="s">
        <v>33</v>
      </c>
      <c r="E1123" s="9" t="s">
        <v>59</v>
      </c>
      <c r="F1123" s="9">
        <v>0</v>
      </c>
      <c r="G1123" s="9">
        <v>0</v>
      </c>
      <c r="H1123" s="9">
        <v>0</v>
      </c>
      <c r="I1123" s="9">
        <v>0</v>
      </c>
      <c r="J1123" s="10">
        <v>45595</v>
      </c>
      <c r="K1123" s="9" t="s">
        <v>44</v>
      </c>
      <c r="L1123" s="9" t="s">
        <v>35</v>
      </c>
      <c r="M1123" s="9">
        <v>-200.19</v>
      </c>
    </row>
    <row r="1124" spans="1:13" x14ac:dyDescent="0.35">
      <c r="A1124" s="9">
        <v>3404</v>
      </c>
      <c r="B1124" s="9" t="s">
        <v>34</v>
      </c>
      <c r="C1124" s="9" t="s">
        <v>22</v>
      </c>
      <c r="D1124" s="9" t="s">
        <v>68</v>
      </c>
      <c r="E1124" s="9" t="s">
        <v>62</v>
      </c>
      <c r="F1124" s="9">
        <v>0</v>
      </c>
      <c r="G1124" s="9">
        <v>0</v>
      </c>
      <c r="H1124" s="9">
        <v>0</v>
      </c>
      <c r="I1124" s="9">
        <v>0</v>
      </c>
      <c r="J1124" s="10">
        <v>45752</v>
      </c>
      <c r="K1124" s="9" t="s">
        <v>45</v>
      </c>
      <c r="L1124" s="9" t="s">
        <v>35</v>
      </c>
      <c r="M1124" s="9">
        <v>1505.06</v>
      </c>
    </row>
    <row r="1125" spans="1:13" x14ac:dyDescent="0.35">
      <c r="A1125" s="9">
        <v>3405</v>
      </c>
      <c r="B1125" s="9" t="s">
        <v>28</v>
      </c>
      <c r="C1125" s="9" t="s">
        <v>21</v>
      </c>
      <c r="D1125" s="9" t="s">
        <v>71</v>
      </c>
      <c r="E1125" s="9" t="s">
        <v>59</v>
      </c>
      <c r="F1125" s="9">
        <v>0</v>
      </c>
      <c r="G1125" s="9">
        <v>9986.17</v>
      </c>
      <c r="H1125" s="9">
        <v>1.04</v>
      </c>
      <c r="I1125" s="9">
        <v>0</v>
      </c>
      <c r="J1125" s="10">
        <v>45661</v>
      </c>
      <c r="K1125" s="9" t="s">
        <v>45</v>
      </c>
      <c r="L1125" s="9" t="s">
        <v>27</v>
      </c>
      <c r="M1125" s="9">
        <v>1861.72</v>
      </c>
    </row>
    <row r="1126" spans="1:13" x14ac:dyDescent="0.35">
      <c r="A1126" s="9">
        <v>3406</v>
      </c>
      <c r="B1126" s="9" t="s">
        <v>28</v>
      </c>
      <c r="C1126" s="9" t="s">
        <v>22</v>
      </c>
      <c r="D1126" s="9" t="s">
        <v>68</v>
      </c>
      <c r="E1126" s="9" t="s">
        <v>59</v>
      </c>
      <c r="F1126" s="9">
        <v>0</v>
      </c>
      <c r="G1126" s="9">
        <v>0</v>
      </c>
      <c r="H1126" s="9">
        <v>1.06</v>
      </c>
      <c r="I1126" s="9">
        <v>0</v>
      </c>
      <c r="J1126" s="10">
        <v>45523</v>
      </c>
      <c r="K1126" s="9" t="s">
        <v>45</v>
      </c>
      <c r="L1126" s="9" t="s">
        <v>25</v>
      </c>
      <c r="M1126" s="9">
        <v>3314.92</v>
      </c>
    </row>
    <row r="1127" spans="1:13" x14ac:dyDescent="0.35">
      <c r="A1127" s="9">
        <v>3407</v>
      </c>
      <c r="B1127" s="9" t="s">
        <v>28</v>
      </c>
      <c r="C1127" s="9" t="s">
        <v>21</v>
      </c>
      <c r="D1127" s="9" t="s">
        <v>40</v>
      </c>
      <c r="E1127" s="9" t="s">
        <v>59</v>
      </c>
      <c r="F1127" s="9">
        <v>0</v>
      </c>
      <c r="G1127" s="9">
        <v>5704.39</v>
      </c>
      <c r="H1127" s="9">
        <v>1.1100000000000001</v>
      </c>
      <c r="I1127" s="9">
        <v>0</v>
      </c>
      <c r="J1127" s="10">
        <v>45675</v>
      </c>
      <c r="K1127" s="9" t="s">
        <v>44</v>
      </c>
      <c r="L1127" s="9" t="s">
        <v>29</v>
      </c>
      <c r="M1127" s="9">
        <v>-4.0999999999999996</v>
      </c>
    </row>
    <row r="1128" spans="1:13" x14ac:dyDescent="0.35">
      <c r="A1128" s="9">
        <v>3408</v>
      </c>
      <c r="B1128" s="9" t="s">
        <v>31</v>
      </c>
      <c r="C1128" s="9" t="s">
        <v>22</v>
      </c>
      <c r="D1128" s="9" t="s">
        <v>65</v>
      </c>
      <c r="E1128" s="9" t="s">
        <v>62</v>
      </c>
      <c r="F1128" s="9">
        <v>0</v>
      </c>
      <c r="G1128" s="9">
        <v>0</v>
      </c>
      <c r="H1128" s="9">
        <v>0</v>
      </c>
      <c r="I1128" s="9">
        <v>0</v>
      </c>
      <c r="J1128" s="10">
        <v>45716</v>
      </c>
      <c r="K1128" s="9" t="s">
        <v>44</v>
      </c>
      <c r="L1128" s="9" t="s">
        <v>29</v>
      </c>
      <c r="M1128" s="9">
        <v>1675.58</v>
      </c>
    </row>
    <row r="1129" spans="1:13" x14ac:dyDescent="0.35">
      <c r="A1129" s="9">
        <v>3409</v>
      </c>
      <c r="B1129" s="9" t="s">
        <v>34</v>
      </c>
      <c r="C1129" s="9" t="s">
        <v>20</v>
      </c>
      <c r="D1129" s="9" t="s">
        <v>43</v>
      </c>
      <c r="E1129" s="9" t="s">
        <v>59</v>
      </c>
      <c r="F1129" s="9">
        <v>1</v>
      </c>
      <c r="G1129" s="9">
        <v>6312.01</v>
      </c>
      <c r="H1129" s="9">
        <v>0.3</v>
      </c>
      <c r="I1129" s="9">
        <v>4418.41</v>
      </c>
      <c r="J1129" s="10">
        <v>45543</v>
      </c>
      <c r="K1129" s="9" t="s">
        <v>44</v>
      </c>
      <c r="L1129" s="9" t="s">
        <v>29</v>
      </c>
      <c r="M1129" s="9">
        <v>-1106.07</v>
      </c>
    </row>
    <row r="1130" spans="1:13" x14ac:dyDescent="0.35">
      <c r="A1130" s="9">
        <v>3411</v>
      </c>
      <c r="B1130" s="9" t="s">
        <v>34</v>
      </c>
      <c r="C1130" s="9" t="s">
        <v>19</v>
      </c>
      <c r="D1130" s="9" t="s">
        <v>63</v>
      </c>
      <c r="E1130" s="9" t="s">
        <v>59</v>
      </c>
      <c r="F1130" s="9">
        <v>0</v>
      </c>
      <c r="G1130" s="9">
        <v>0</v>
      </c>
      <c r="H1130" s="9">
        <v>0</v>
      </c>
      <c r="I1130" s="9">
        <v>0</v>
      </c>
      <c r="J1130" s="10">
        <v>45543</v>
      </c>
      <c r="K1130" s="9" t="s">
        <v>44</v>
      </c>
      <c r="L1130" s="9" t="s">
        <v>35</v>
      </c>
      <c r="M1130" s="9">
        <v>-970.59</v>
      </c>
    </row>
    <row r="1131" spans="1:13" x14ac:dyDescent="0.35">
      <c r="A1131" s="9">
        <v>3412</v>
      </c>
      <c r="B1131" s="9" t="s">
        <v>31</v>
      </c>
      <c r="C1131" s="9" t="s">
        <v>18</v>
      </c>
      <c r="D1131" s="9" t="s">
        <v>33</v>
      </c>
      <c r="E1131" s="9" t="s">
        <v>62</v>
      </c>
      <c r="F1131" s="9">
        <v>0</v>
      </c>
      <c r="G1131" s="9">
        <v>6983.68</v>
      </c>
      <c r="H1131" s="9">
        <v>0</v>
      </c>
      <c r="I1131" s="9">
        <v>0</v>
      </c>
      <c r="J1131" s="10">
        <v>45543</v>
      </c>
      <c r="K1131" s="9" t="s">
        <v>45</v>
      </c>
      <c r="L1131" s="9" t="s">
        <v>32</v>
      </c>
      <c r="M1131" s="9">
        <v>2789.29</v>
      </c>
    </row>
    <row r="1132" spans="1:13" x14ac:dyDescent="0.35">
      <c r="A1132" s="9">
        <v>3413</v>
      </c>
      <c r="B1132" s="9" t="s">
        <v>34</v>
      </c>
      <c r="C1132" s="9" t="s">
        <v>19</v>
      </c>
      <c r="D1132" s="9" t="s">
        <v>69</v>
      </c>
      <c r="E1132" s="9" t="s">
        <v>62</v>
      </c>
      <c r="F1132" s="9">
        <v>2</v>
      </c>
      <c r="G1132" s="9">
        <v>0</v>
      </c>
      <c r="H1132" s="9">
        <v>0</v>
      </c>
      <c r="I1132" s="9">
        <v>0</v>
      </c>
      <c r="J1132" s="10">
        <v>45138</v>
      </c>
      <c r="K1132" s="9" t="s">
        <v>45</v>
      </c>
      <c r="L1132" s="9" t="s">
        <v>32</v>
      </c>
      <c r="M1132" s="9">
        <v>2752.65</v>
      </c>
    </row>
    <row r="1133" spans="1:13" x14ac:dyDescent="0.35">
      <c r="A1133" s="9">
        <v>3414</v>
      </c>
      <c r="B1133" s="9" t="s">
        <v>31</v>
      </c>
      <c r="C1133" s="9" t="s">
        <v>21</v>
      </c>
      <c r="D1133" s="9" t="s">
        <v>71</v>
      </c>
      <c r="E1133" s="9" t="s">
        <v>59</v>
      </c>
      <c r="F1133" s="9">
        <v>4</v>
      </c>
      <c r="G1133" s="9">
        <v>9996.2199999999993</v>
      </c>
      <c r="H1133" s="9">
        <v>0</v>
      </c>
      <c r="I1133" s="9">
        <v>0</v>
      </c>
      <c r="J1133" s="10">
        <v>45678</v>
      </c>
      <c r="K1133" s="9" t="s">
        <v>45</v>
      </c>
      <c r="L1133" s="9" t="s">
        <v>26</v>
      </c>
      <c r="M1133" s="9">
        <v>520.63</v>
      </c>
    </row>
    <row r="1134" spans="1:13" x14ac:dyDescent="0.35">
      <c r="A1134" s="9">
        <v>3415</v>
      </c>
      <c r="B1134" s="9" t="s">
        <v>34</v>
      </c>
      <c r="C1134" s="9" t="s">
        <v>22</v>
      </c>
      <c r="D1134" s="9" t="s">
        <v>65</v>
      </c>
      <c r="E1134" s="9" t="s">
        <v>60</v>
      </c>
      <c r="F1134" s="9">
        <v>-1</v>
      </c>
      <c r="G1134" s="9">
        <v>6165.08</v>
      </c>
      <c r="H1134" s="9">
        <v>0</v>
      </c>
      <c r="I1134" s="9">
        <v>0</v>
      </c>
      <c r="J1134" s="10">
        <v>45357</v>
      </c>
      <c r="K1134" s="9" t="s">
        <v>45</v>
      </c>
      <c r="L1134" s="9" t="s">
        <v>32</v>
      </c>
      <c r="M1134" s="9">
        <v>-426.97</v>
      </c>
    </row>
    <row r="1135" spans="1:13" x14ac:dyDescent="0.35">
      <c r="A1135" s="9">
        <v>3416</v>
      </c>
      <c r="B1135" s="9" t="s">
        <v>31</v>
      </c>
      <c r="C1135" s="9" t="s">
        <v>19</v>
      </c>
      <c r="D1135" s="9" t="s">
        <v>69</v>
      </c>
      <c r="E1135" s="9" t="s">
        <v>62</v>
      </c>
      <c r="F1135" s="9">
        <v>0</v>
      </c>
      <c r="G1135" s="9">
        <v>8954.59</v>
      </c>
      <c r="H1135" s="9">
        <v>0.33</v>
      </c>
      <c r="I1135" s="9">
        <v>0</v>
      </c>
      <c r="J1135" s="10">
        <v>45812</v>
      </c>
      <c r="K1135" s="9" t="s">
        <v>44</v>
      </c>
      <c r="L1135" s="9" t="s">
        <v>32</v>
      </c>
      <c r="M1135" s="9">
        <v>-819.45</v>
      </c>
    </row>
    <row r="1136" spans="1:13" x14ac:dyDescent="0.35">
      <c r="A1136" s="9">
        <v>3417</v>
      </c>
      <c r="B1136" s="9" t="s">
        <v>31</v>
      </c>
      <c r="C1136" s="9" t="s">
        <v>22</v>
      </c>
      <c r="D1136" s="9" t="s">
        <v>30</v>
      </c>
      <c r="E1136" s="9" t="s">
        <v>62</v>
      </c>
      <c r="F1136" s="9">
        <v>0</v>
      </c>
      <c r="G1136" s="9">
        <v>5700.61</v>
      </c>
      <c r="H1136" s="9">
        <v>0</v>
      </c>
      <c r="I1136" s="9">
        <v>0</v>
      </c>
      <c r="J1136" s="10">
        <v>45746</v>
      </c>
      <c r="K1136" s="9" t="s">
        <v>45</v>
      </c>
      <c r="L1136" s="9" t="s">
        <v>27</v>
      </c>
      <c r="M1136" s="9">
        <v>-409.81</v>
      </c>
    </row>
    <row r="1137" spans="1:13" x14ac:dyDescent="0.35">
      <c r="A1137" s="9">
        <v>3418</v>
      </c>
      <c r="B1137" s="9" t="s">
        <v>31</v>
      </c>
      <c r="C1137" s="9" t="s">
        <v>19</v>
      </c>
      <c r="D1137" s="9" t="s">
        <v>42</v>
      </c>
      <c r="E1137" s="9" t="s">
        <v>59</v>
      </c>
      <c r="F1137" s="9">
        <v>1</v>
      </c>
      <c r="G1137" s="9">
        <v>0</v>
      </c>
      <c r="H1137" s="9">
        <v>1.24</v>
      </c>
      <c r="I1137" s="9">
        <v>0</v>
      </c>
      <c r="J1137" s="10">
        <v>45746</v>
      </c>
      <c r="K1137" s="9" t="s">
        <v>44</v>
      </c>
      <c r="L1137" s="9" t="s">
        <v>25</v>
      </c>
      <c r="M1137" s="9">
        <v>639.28</v>
      </c>
    </row>
    <row r="1138" spans="1:13" x14ac:dyDescent="0.35">
      <c r="A1138" s="9">
        <v>3421</v>
      </c>
      <c r="B1138" s="9" t="s">
        <v>28</v>
      </c>
      <c r="C1138" s="9" t="s">
        <v>22</v>
      </c>
      <c r="D1138" s="9" t="s">
        <v>68</v>
      </c>
      <c r="E1138" s="9" t="s">
        <v>60</v>
      </c>
      <c r="F1138" s="9">
        <v>0</v>
      </c>
      <c r="G1138" s="9">
        <v>0</v>
      </c>
      <c r="H1138" s="9">
        <v>0</v>
      </c>
      <c r="I1138" s="9">
        <v>0</v>
      </c>
      <c r="J1138" s="10">
        <v>45633</v>
      </c>
      <c r="K1138" s="9" t="s">
        <v>45</v>
      </c>
      <c r="L1138" s="9" t="s">
        <v>32</v>
      </c>
      <c r="M1138" s="9">
        <v>-242.44</v>
      </c>
    </row>
    <row r="1139" spans="1:13" x14ac:dyDescent="0.35">
      <c r="A1139" s="9">
        <v>3422</v>
      </c>
      <c r="B1139" s="9" t="s">
        <v>34</v>
      </c>
      <c r="C1139" s="9" t="s">
        <v>18</v>
      </c>
      <c r="D1139" s="9" t="s">
        <v>41</v>
      </c>
      <c r="E1139" s="9" t="s">
        <v>62</v>
      </c>
      <c r="F1139" s="9">
        <v>0</v>
      </c>
      <c r="G1139" s="9">
        <v>3197.01</v>
      </c>
      <c r="H1139" s="9">
        <v>0</v>
      </c>
      <c r="I1139" s="9">
        <v>0</v>
      </c>
      <c r="J1139" s="10">
        <v>45309</v>
      </c>
      <c r="K1139" s="9" t="s">
        <v>44</v>
      </c>
      <c r="L1139" s="9" t="s">
        <v>32</v>
      </c>
      <c r="M1139" s="9">
        <v>2432.7600000000002</v>
      </c>
    </row>
    <row r="1140" spans="1:13" x14ac:dyDescent="0.35">
      <c r="A1140" s="9">
        <v>3423</v>
      </c>
      <c r="B1140" s="9" t="s">
        <v>34</v>
      </c>
      <c r="C1140" s="9" t="s">
        <v>22</v>
      </c>
      <c r="D1140" s="9" t="s">
        <v>67</v>
      </c>
      <c r="E1140" s="9" t="s">
        <v>60</v>
      </c>
      <c r="F1140" s="9">
        <v>2</v>
      </c>
      <c r="G1140" s="9">
        <v>0</v>
      </c>
      <c r="H1140" s="9">
        <v>0</v>
      </c>
      <c r="I1140" s="9">
        <v>0</v>
      </c>
      <c r="J1140" s="10">
        <v>45510</v>
      </c>
      <c r="K1140" s="9" t="s">
        <v>44</v>
      </c>
      <c r="L1140" s="9" t="s">
        <v>26</v>
      </c>
      <c r="M1140" s="9">
        <v>106</v>
      </c>
    </row>
    <row r="1141" spans="1:13" x14ac:dyDescent="0.35">
      <c r="A1141" s="9">
        <v>3424</v>
      </c>
      <c r="B1141" s="9" t="s">
        <v>28</v>
      </c>
      <c r="C1141" s="9" t="s">
        <v>18</v>
      </c>
      <c r="D1141" s="9" t="s">
        <v>37</v>
      </c>
      <c r="E1141" s="9" t="s">
        <v>59</v>
      </c>
      <c r="F1141" s="9">
        <v>0</v>
      </c>
      <c r="G1141" s="9">
        <v>7007.84</v>
      </c>
      <c r="H1141" s="9">
        <v>0.32</v>
      </c>
      <c r="I1141" s="9">
        <v>0</v>
      </c>
      <c r="J1141" s="10">
        <v>45699</v>
      </c>
      <c r="K1141" s="9" t="s">
        <v>45</v>
      </c>
      <c r="L1141" s="9" t="s">
        <v>26</v>
      </c>
      <c r="M1141" s="9">
        <v>1955.19</v>
      </c>
    </row>
    <row r="1142" spans="1:13" x14ac:dyDescent="0.35">
      <c r="A1142" s="9">
        <v>3426</v>
      </c>
      <c r="B1142" s="9" t="s">
        <v>31</v>
      </c>
      <c r="C1142" s="9" t="s">
        <v>20</v>
      </c>
      <c r="D1142" s="9" t="s">
        <v>66</v>
      </c>
      <c r="E1142" s="9" t="s">
        <v>60</v>
      </c>
      <c r="F1142" s="9">
        <v>0</v>
      </c>
      <c r="G1142" s="9">
        <v>8124.38</v>
      </c>
      <c r="H1142" s="9">
        <v>1.1599999999999999</v>
      </c>
      <c r="I1142" s="9">
        <v>0</v>
      </c>
      <c r="J1142" s="10">
        <v>45699</v>
      </c>
      <c r="K1142" s="9" t="s">
        <v>45</v>
      </c>
      <c r="L1142" s="9" t="s">
        <v>29</v>
      </c>
      <c r="M1142" s="9">
        <v>3119.24</v>
      </c>
    </row>
    <row r="1143" spans="1:13" x14ac:dyDescent="0.35">
      <c r="A1143" s="9">
        <v>3427</v>
      </c>
      <c r="B1143" s="9" t="s">
        <v>31</v>
      </c>
      <c r="C1143" s="9" t="s">
        <v>20</v>
      </c>
      <c r="D1143" s="9" t="s">
        <v>70</v>
      </c>
      <c r="E1143" s="9" t="s">
        <v>59</v>
      </c>
      <c r="F1143" s="9">
        <v>1</v>
      </c>
      <c r="G1143" s="9">
        <v>0</v>
      </c>
      <c r="H1143" s="9">
        <v>0</v>
      </c>
      <c r="I1143" s="9">
        <v>0</v>
      </c>
      <c r="J1143" s="10">
        <v>45699</v>
      </c>
      <c r="K1143" s="9" t="s">
        <v>44</v>
      </c>
      <c r="L1143" s="9" t="s">
        <v>26</v>
      </c>
      <c r="M1143" s="9">
        <v>2741.85</v>
      </c>
    </row>
    <row r="1144" spans="1:13" x14ac:dyDescent="0.35">
      <c r="A1144" s="9">
        <v>3428</v>
      </c>
      <c r="B1144" s="9" t="s">
        <v>28</v>
      </c>
      <c r="C1144" s="9" t="s">
        <v>22</v>
      </c>
      <c r="D1144" s="9" t="s">
        <v>65</v>
      </c>
      <c r="E1144" s="9" t="s">
        <v>59</v>
      </c>
      <c r="F1144" s="9">
        <v>1</v>
      </c>
      <c r="G1144" s="9">
        <v>2825.86</v>
      </c>
      <c r="H1144" s="9">
        <v>0.23</v>
      </c>
      <c r="I1144" s="9">
        <v>2175.91</v>
      </c>
      <c r="J1144" s="10">
        <v>45629</v>
      </c>
      <c r="K1144" s="9" t="s">
        <v>45</v>
      </c>
      <c r="L1144" s="9" t="s">
        <v>25</v>
      </c>
      <c r="M1144" s="9">
        <v>625.29999999999995</v>
      </c>
    </row>
    <row r="1145" spans="1:13" x14ac:dyDescent="0.35">
      <c r="A1145" s="9">
        <v>3429</v>
      </c>
      <c r="B1145" s="9" t="s">
        <v>31</v>
      </c>
      <c r="C1145" s="9" t="s">
        <v>19</v>
      </c>
      <c r="D1145" s="9" t="s">
        <v>39</v>
      </c>
      <c r="E1145" s="9" t="s">
        <v>59</v>
      </c>
      <c r="F1145" s="9">
        <v>0</v>
      </c>
      <c r="G1145" s="9">
        <v>0</v>
      </c>
      <c r="H1145" s="9">
        <v>0</v>
      </c>
      <c r="I1145" s="9">
        <v>0</v>
      </c>
      <c r="J1145" s="10">
        <v>45844</v>
      </c>
      <c r="K1145" s="9" t="s">
        <v>44</v>
      </c>
      <c r="L1145" s="9" t="s">
        <v>29</v>
      </c>
      <c r="M1145" s="9">
        <v>-77.97</v>
      </c>
    </row>
    <row r="1146" spans="1:13" x14ac:dyDescent="0.35">
      <c r="A1146" s="9">
        <v>3430</v>
      </c>
      <c r="B1146" s="9" t="s">
        <v>31</v>
      </c>
      <c r="C1146" s="9" t="s">
        <v>18</v>
      </c>
      <c r="D1146" s="9" t="s">
        <v>33</v>
      </c>
      <c r="E1146" s="9" t="s">
        <v>59</v>
      </c>
      <c r="F1146" s="9">
        <v>0</v>
      </c>
      <c r="G1146" s="9">
        <v>7036.03</v>
      </c>
      <c r="H1146" s="9">
        <v>0</v>
      </c>
      <c r="I1146" s="9">
        <v>0</v>
      </c>
      <c r="J1146" s="10">
        <v>45844</v>
      </c>
      <c r="K1146" s="9" t="s">
        <v>45</v>
      </c>
      <c r="L1146" s="9" t="s">
        <v>25</v>
      </c>
      <c r="M1146" s="9">
        <v>-890.2</v>
      </c>
    </row>
    <row r="1147" spans="1:13" x14ac:dyDescent="0.35">
      <c r="A1147" s="9">
        <v>3431</v>
      </c>
      <c r="B1147" s="9" t="s">
        <v>28</v>
      </c>
      <c r="C1147" s="9" t="s">
        <v>18</v>
      </c>
      <c r="D1147" s="9" t="s">
        <v>41</v>
      </c>
      <c r="E1147" s="9" t="s">
        <v>60</v>
      </c>
      <c r="F1147" s="9">
        <v>-1</v>
      </c>
      <c r="G1147" s="9">
        <v>0</v>
      </c>
      <c r="H1147" s="9">
        <v>0.96</v>
      </c>
      <c r="I1147" s="9">
        <v>0</v>
      </c>
      <c r="J1147" s="10">
        <v>45566</v>
      </c>
      <c r="K1147" s="9" t="s">
        <v>44</v>
      </c>
      <c r="L1147" s="9" t="s">
        <v>29</v>
      </c>
      <c r="M1147" s="9">
        <v>3816.31</v>
      </c>
    </row>
    <row r="1148" spans="1:13" x14ac:dyDescent="0.35">
      <c r="A1148" s="9">
        <v>3432</v>
      </c>
      <c r="B1148" s="9" t="s">
        <v>34</v>
      </c>
      <c r="C1148" s="9" t="s">
        <v>22</v>
      </c>
      <c r="D1148" s="9" t="s">
        <v>67</v>
      </c>
      <c r="E1148" s="9" t="s">
        <v>62</v>
      </c>
      <c r="F1148" s="9">
        <v>0</v>
      </c>
      <c r="G1148" s="9">
        <v>0</v>
      </c>
      <c r="H1148" s="9">
        <v>0</v>
      </c>
      <c r="I1148" s="9">
        <v>0</v>
      </c>
      <c r="J1148" s="10">
        <v>45811</v>
      </c>
      <c r="K1148" s="9" t="s">
        <v>45</v>
      </c>
      <c r="L1148" s="9" t="s">
        <v>27</v>
      </c>
      <c r="M1148" s="9">
        <v>-640.44000000000005</v>
      </c>
    </row>
    <row r="1149" spans="1:13" x14ac:dyDescent="0.35">
      <c r="A1149" s="9">
        <v>2028</v>
      </c>
      <c r="B1149" s="9" t="s">
        <v>34</v>
      </c>
      <c r="C1149" s="9" t="s">
        <v>21</v>
      </c>
      <c r="D1149" s="9" t="s">
        <v>64</v>
      </c>
      <c r="E1149" s="9" t="s">
        <v>62</v>
      </c>
      <c r="F1149" s="9">
        <v>0</v>
      </c>
      <c r="G1149" s="9">
        <v>0</v>
      </c>
      <c r="H1149" s="9">
        <v>0.95</v>
      </c>
      <c r="I1149" s="9">
        <v>0</v>
      </c>
      <c r="J1149" s="10">
        <v>45659</v>
      </c>
      <c r="K1149" s="9" t="s">
        <v>45</v>
      </c>
      <c r="L1149" s="9" t="s">
        <v>29</v>
      </c>
      <c r="M1149" s="9">
        <v>2511.65</v>
      </c>
    </row>
    <row r="1150" spans="1:13" x14ac:dyDescent="0.35">
      <c r="A1150" s="9">
        <v>3434</v>
      </c>
      <c r="B1150" s="9" t="s">
        <v>34</v>
      </c>
      <c r="C1150" s="9" t="s">
        <v>22</v>
      </c>
      <c r="D1150" s="9" t="s">
        <v>65</v>
      </c>
      <c r="E1150" s="9" t="s">
        <v>62</v>
      </c>
      <c r="F1150" s="9">
        <v>0</v>
      </c>
      <c r="G1150" s="9">
        <v>8741.65</v>
      </c>
      <c r="H1150" s="9">
        <v>0</v>
      </c>
      <c r="I1150" s="9">
        <v>0</v>
      </c>
      <c r="J1150" s="10">
        <v>45586</v>
      </c>
      <c r="K1150" s="9" t="s">
        <v>45</v>
      </c>
      <c r="L1150" s="9" t="s">
        <v>29</v>
      </c>
      <c r="M1150" s="9">
        <v>570.25</v>
      </c>
    </row>
    <row r="1151" spans="1:13" x14ac:dyDescent="0.35">
      <c r="A1151" s="9">
        <v>3436</v>
      </c>
      <c r="B1151" s="9" t="s">
        <v>34</v>
      </c>
      <c r="C1151" s="9" t="s">
        <v>19</v>
      </c>
      <c r="D1151" s="9" t="s">
        <v>63</v>
      </c>
      <c r="E1151" s="9" t="s">
        <v>60</v>
      </c>
      <c r="F1151" s="9">
        <v>0</v>
      </c>
      <c r="G1151" s="9">
        <v>0</v>
      </c>
      <c r="H1151" s="9">
        <v>0</v>
      </c>
      <c r="I1151" s="9">
        <v>0</v>
      </c>
      <c r="J1151" s="10">
        <v>45819</v>
      </c>
      <c r="K1151" s="9" t="s">
        <v>44</v>
      </c>
      <c r="L1151" s="9" t="s">
        <v>25</v>
      </c>
      <c r="M1151" s="9">
        <v>2107.65</v>
      </c>
    </row>
    <row r="1152" spans="1:13" x14ac:dyDescent="0.35">
      <c r="A1152" s="9">
        <v>3437</v>
      </c>
      <c r="B1152" s="9" t="s">
        <v>34</v>
      </c>
      <c r="C1152" s="9" t="s">
        <v>19</v>
      </c>
      <c r="D1152" s="9" t="s">
        <v>42</v>
      </c>
      <c r="E1152" s="9" t="s">
        <v>59</v>
      </c>
      <c r="F1152" s="9">
        <v>0</v>
      </c>
      <c r="G1152" s="9">
        <v>0</v>
      </c>
      <c r="H1152" s="9">
        <v>0</v>
      </c>
      <c r="I1152" s="9">
        <v>0</v>
      </c>
      <c r="J1152" s="10">
        <v>45422</v>
      </c>
      <c r="K1152" s="9" t="s">
        <v>44</v>
      </c>
      <c r="L1152" s="9" t="s">
        <v>26</v>
      </c>
      <c r="M1152" s="9">
        <v>-113.52</v>
      </c>
    </row>
    <row r="1153" spans="1:13" x14ac:dyDescent="0.35">
      <c r="A1153" s="9">
        <v>3438</v>
      </c>
      <c r="B1153" s="9" t="s">
        <v>28</v>
      </c>
      <c r="C1153" s="9" t="s">
        <v>19</v>
      </c>
      <c r="D1153" s="9" t="s">
        <v>69</v>
      </c>
      <c r="E1153" s="9" t="s">
        <v>59</v>
      </c>
      <c r="F1153" s="9">
        <v>3</v>
      </c>
      <c r="G1153" s="9">
        <v>0</v>
      </c>
      <c r="H1153" s="9">
        <v>0.18</v>
      </c>
      <c r="I1153" s="9">
        <v>0</v>
      </c>
      <c r="J1153" s="10">
        <v>45540</v>
      </c>
      <c r="K1153" s="9" t="s">
        <v>44</v>
      </c>
      <c r="L1153" s="9" t="s">
        <v>32</v>
      </c>
      <c r="M1153" s="9">
        <v>1669.74</v>
      </c>
    </row>
    <row r="1154" spans="1:13" x14ac:dyDescent="0.35">
      <c r="A1154" s="9">
        <v>2043</v>
      </c>
      <c r="B1154" s="9" t="s">
        <v>34</v>
      </c>
      <c r="C1154" s="9" t="s">
        <v>20</v>
      </c>
      <c r="D1154" s="9" t="s">
        <v>61</v>
      </c>
      <c r="E1154" s="9" t="s">
        <v>59</v>
      </c>
      <c r="F1154" s="9">
        <v>0</v>
      </c>
      <c r="G1154" s="9">
        <v>5395.6</v>
      </c>
      <c r="H1154" s="9">
        <v>0.06</v>
      </c>
      <c r="I1154" s="9">
        <v>0</v>
      </c>
      <c r="J1154" s="10">
        <v>45723</v>
      </c>
      <c r="K1154" s="9" t="s">
        <v>45</v>
      </c>
      <c r="L1154" s="9" t="s">
        <v>29</v>
      </c>
      <c r="M1154" s="9">
        <v>2992.96</v>
      </c>
    </row>
    <row r="1155" spans="1:13" x14ac:dyDescent="0.35">
      <c r="A1155" s="9">
        <v>3440</v>
      </c>
      <c r="B1155" s="9" t="s">
        <v>34</v>
      </c>
      <c r="C1155" s="9" t="s">
        <v>21</v>
      </c>
      <c r="D1155" s="9" t="s">
        <v>64</v>
      </c>
      <c r="E1155" s="9" t="s">
        <v>59</v>
      </c>
      <c r="F1155" s="9">
        <v>3</v>
      </c>
      <c r="G1155" s="9">
        <v>0</v>
      </c>
      <c r="H1155" s="9">
        <v>0</v>
      </c>
      <c r="I1155" s="9">
        <v>0</v>
      </c>
      <c r="J1155" s="10">
        <v>45723</v>
      </c>
      <c r="K1155" s="9" t="s">
        <v>45</v>
      </c>
      <c r="L1155" s="9" t="s">
        <v>26</v>
      </c>
      <c r="M1155" s="9">
        <v>-510.72</v>
      </c>
    </row>
    <row r="1156" spans="1:13" x14ac:dyDescent="0.35">
      <c r="A1156" s="9">
        <v>3441</v>
      </c>
      <c r="B1156" s="9" t="s">
        <v>34</v>
      </c>
      <c r="C1156" s="9" t="s">
        <v>20</v>
      </c>
      <c r="D1156" s="9" t="s">
        <v>66</v>
      </c>
      <c r="E1156" s="9" t="s">
        <v>59</v>
      </c>
      <c r="F1156" s="9">
        <v>2</v>
      </c>
      <c r="G1156" s="9">
        <v>9313.98</v>
      </c>
      <c r="H1156" s="9">
        <v>0</v>
      </c>
      <c r="I1156" s="9">
        <v>0</v>
      </c>
      <c r="J1156" s="10">
        <v>45785</v>
      </c>
      <c r="K1156" s="9" t="s">
        <v>44</v>
      </c>
      <c r="L1156" s="9" t="s">
        <v>29</v>
      </c>
      <c r="M1156" s="9">
        <v>3301.27</v>
      </c>
    </row>
    <row r="1157" spans="1:13" x14ac:dyDescent="0.35">
      <c r="A1157" s="9">
        <v>3442</v>
      </c>
      <c r="B1157" s="9" t="s">
        <v>34</v>
      </c>
      <c r="C1157" s="9" t="s">
        <v>22</v>
      </c>
      <c r="D1157" s="9" t="s">
        <v>68</v>
      </c>
      <c r="E1157" s="9" t="s">
        <v>62</v>
      </c>
      <c r="F1157" s="9">
        <v>4</v>
      </c>
      <c r="G1157" s="9">
        <v>0</v>
      </c>
      <c r="H1157" s="9">
        <v>0</v>
      </c>
      <c r="I1157" s="9">
        <v>0</v>
      </c>
      <c r="J1157" s="10">
        <v>45678</v>
      </c>
      <c r="K1157" s="9" t="s">
        <v>45</v>
      </c>
      <c r="L1157" s="9" t="s">
        <v>26</v>
      </c>
      <c r="M1157" s="9">
        <v>3129.5</v>
      </c>
    </row>
    <row r="1158" spans="1:13" x14ac:dyDescent="0.35">
      <c r="A1158" s="9">
        <v>3443</v>
      </c>
      <c r="B1158" s="9" t="s">
        <v>34</v>
      </c>
      <c r="C1158" s="9" t="s">
        <v>22</v>
      </c>
      <c r="D1158" s="9" t="s">
        <v>68</v>
      </c>
      <c r="E1158" s="9" t="s">
        <v>59</v>
      </c>
      <c r="F1158" s="9">
        <v>0</v>
      </c>
      <c r="G1158" s="9">
        <v>2989.01</v>
      </c>
      <c r="H1158" s="9">
        <v>0</v>
      </c>
      <c r="I1158" s="9">
        <v>0</v>
      </c>
      <c r="J1158" s="10">
        <v>45678</v>
      </c>
      <c r="K1158" s="9" t="s">
        <v>44</v>
      </c>
      <c r="L1158" s="9" t="s">
        <v>26</v>
      </c>
      <c r="M1158" s="9">
        <v>3549.06</v>
      </c>
    </row>
    <row r="1159" spans="1:13" x14ac:dyDescent="0.35">
      <c r="A1159" s="9">
        <v>3444</v>
      </c>
      <c r="B1159" s="9" t="s">
        <v>31</v>
      </c>
      <c r="C1159" s="9" t="s">
        <v>22</v>
      </c>
      <c r="D1159" s="9" t="s">
        <v>30</v>
      </c>
      <c r="E1159" s="9" t="s">
        <v>60</v>
      </c>
      <c r="F1159" s="9">
        <v>0</v>
      </c>
      <c r="G1159" s="9">
        <v>0</v>
      </c>
      <c r="H1159" s="9">
        <v>0</v>
      </c>
      <c r="I1159" s="9">
        <v>0</v>
      </c>
      <c r="J1159" s="10">
        <v>45842</v>
      </c>
      <c r="K1159" s="9" t="s">
        <v>45</v>
      </c>
      <c r="L1159" s="9" t="s">
        <v>27</v>
      </c>
      <c r="M1159" s="9">
        <v>-382.31</v>
      </c>
    </row>
    <row r="1160" spans="1:13" x14ac:dyDescent="0.35">
      <c r="A1160" s="9">
        <v>3445</v>
      </c>
      <c r="B1160" s="9" t="s">
        <v>31</v>
      </c>
      <c r="C1160" s="9" t="s">
        <v>21</v>
      </c>
      <c r="D1160" s="9" t="s">
        <v>36</v>
      </c>
      <c r="E1160" s="9" t="s">
        <v>59</v>
      </c>
      <c r="F1160" s="9">
        <v>-1</v>
      </c>
      <c r="G1160" s="9">
        <v>4693.8100000000004</v>
      </c>
      <c r="H1160" s="9">
        <v>0</v>
      </c>
      <c r="I1160" s="9">
        <v>0</v>
      </c>
      <c r="J1160" s="10">
        <v>45842</v>
      </c>
      <c r="K1160" s="9" t="s">
        <v>44</v>
      </c>
      <c r="L1160" s="9" t="s">
        <v>25</v>
      </c>
      <c r="M1160" s="9">
        <v>3658.04</v>
      </c>
    </row>
    <row r="1161" spans="1:13" x14ac:dyDescent="0.35">
      <c r="A1161" s="9">
        <v>3446</v>
      </c>
      <c r="B1161" s="9" t="s">
        <v>31</v>
      </c>
      <c r="C1161" s="9" t="s">
        <v>21</v>
      </c>
      <c r="D1161" s="9" t="s">
        <v>71</v>
      </c>
      <c r="E1161" s="9" t="s">
        <v>59</v>
      </c>
      <c r="F1161" s="9">
        <v>0</v>
      </c>
      <c r="G1161" s="9">
        <v>0</v>
      </c>
      <c r="H1161" s="9">
        <v>0</v>
      </c>
      <c r="I1161" s="9">
        <v>0</v>
      </c>
      <c r="J1161" s="10">
        <v>45542</v>
      </c>
      <c r="K1161" s="9" t="s">
        <v>44</v>
      </c>
      <c r="L1161" s="9" t="s">
        <v>25</v>
      </c>
      <c r="M1161" s="9">
        <v>1680.5</v>
      </c>
    </row>
    <row r="1162" spans="1:13" x14ac:dyDescent="0.35">
      <c r="A1162" s="9">
        <v>3447</v>
      </c>
      <c r="B1162" s="9" t="s">
        <v>28</v>
      </c>
      <c r="C1162" s="9" t="s">
        <v>22</v>
      </c>
      <c r="D1162" s="9" t="s">
        <v>30</v>
      </c>
      <c r="E1162" s="9" t="s">
        <v>59</v>
      </c>
      <c r="F1162" s="9">
        <v>0</v>
      </c>
      <c r="G1162" s="9">
        <v>0</v>
      </c>
      <c r="H1162" s="9">
        <v>0</v>
      </c>
      <c r="I1162" s="9">
        <v>0</v>
      </c>
      <c r="J1162" s="10">
        <v>45791</v>
      </c>
      <c r="K1162" s="9" t="s">
        <v>44</v>
      </c>
      <c r="L1162" s="9" t="s">
        <v>32</v>
      </c>
      <c r="M1162" s="9">
        <v>1860.15</v>
      </c>
    </row>
    <row r="1163" spans="1:13" x14ac:dyDescent="0.35">
      <c r="A1163" s="9">
        <v>3450</v>
      </c>
      <c r="B1163" s="9" t="s">
        <v>31</v>
      </c>
      <c r="C1163" s="9" t="s">
        <v>20</v>
      </c>
      <c r="D1163" s="9" t="s">
        <v>61</v>
      </c>
      <c r="E1163" s="9" t="s">
        <v>59</v>
      </c>
      <c r="F1163" s="9">
        <v>3</v>
      </c>
      <c r="G1163" s="9">
        <v>0</v>
      </c>
      <c r="H1163" s="9">
        <v>0</v>
      </c>
      <c r="I1163" s="9">
        <v>0</v>
      </c>
      <c r="J1163" s="10">
        <v>45307</v>
      </c>
      <c r="K1163" s="9" t="s">
        <v>44</v>
      </c>
      <c r="L1163" s="9" t="s">
        <v>25</v>
      </c>
      <c r="M1163" s="9">
        <v>904.82</v>
      </c>
    </row>
    <row r="1164" spans="1:13" x14ac:dyDescent="0.35">
      <c r="A1164" s="9">
        <v>3451</v>
      </c>
      <c r="B1164" s="9" t="s">
        <v>31</v>
      </c>
      <c r="C1164" s="9" t="s">
        <v>18</v>
      </c>
      <c r="D1164" s="9" t="s">
        <v>37</v>
      </c>
      <c r="E1164" s="9" t="s">
        <v>59</v>
      </c>
      <c r="F1164" s="9">
        <v>0</v>
      </c>
      <c r="G1164" s="9">
        <v>0</v>
      </c>
      <c r="H1164" s="9">
        <v>0</v>
      </c>
      <c r="I1164" s="9">
        <v>0</v>
      </c>
      <c r="J1164" s="10">
        <v>45843</v>
      </c>
      <c r="K1164" s="9" t="s">
        <v>44</v>
      </c>
      <c r="L1164" s="9" t="s">
        <v>26</v>
      </c>
      <c r="M1164" s="9">
        <v>720.76</v>
      </c>
    </row>
    <row r="1165" spans="1:13" x14ac:dyDescent="0.35">
      <c r="A1165" s="9">
        <v>3452</v>
      </c>
      <c r="B1165" s="9" t="s">
        <v>31</v>
      </c>
      <c r="C1165" s="9" t="s">
        <v>18</v>
      </c>
      <c r="D1165" s="9" t="s">
        <v>37</v>
      </c>
      <c r="E1165" s="9" t="s">
        <v>59</v>
      </c>
      <c r="F1165" s="9">
        <v>0</v>
      </c>
      <c r="G1165" s="9">
        <v>0</v>
      </c>
      <c r="H1165" s="9">
        <v>0</v>
      </c>
      <c r="I1165" s="9">
        <v>0</v>
      </c>
      <c r="J1165" s="10">
        <v>45509</v>
      </c>
      <c r="K1165" s="9" t="s">
        <v>45</v>
      </c>
      <c r="L1165" s="9" t="s">
        <v>29</v>
      </c>
      <c r="M1165" s="9">
        <v>1239.1099999999999</v>
      </c>
    </row>
    <row r="1166" spans="1:13" x14ac:dyDescent="0.35">
      <c r="A1166" s="9">
        <v>3454</v>
      </c>
      <c r="B1166" s="9" t="s">
        <v>34</v>
      </c>
      <c r="C1166" s="9" t="s">
        <v>22</v>
      </c>
      <c r="D1166" s="9" t="s">
        <v>68</v>
      </c>
      <c r="E1166" s="9" t="s">
        <v>62</v>
      </c>
      <c r="F1166" s="9">
        <v>2</v>
      </c>
      <c r="G1166" s="9">
        <v>0</v>
      </c>
      <c r="H1166" s="9">
        <v>0</v>
      </c>
      <c r="I1166" s="9">
        <v>0</v>
      </c>
      <c r="J1166" s="10">
        <v>45509</v>
      </c>
      <c r="K1166" s="9" t="s">
        <v>45</v>
      </c>
      <c r="L1166" s="9" t="s">
        <v>29</v>
      </c>
      <c r="M1166" s="9">
        <v>2313.9499999999998</v>
      </c>
    </row>
    <row r="1167" spans="1:13" x14ac:dyDescent="0.35">
      <c r="A1167" s="9">
        <v>3456</v>
      </c>
      <c r="B1167" s="9" t="s">
        <v>28</v>
      </c>
      <c r="C1167" s="9" t="s">
        <v>22</v>
      </c>
      <c r="D1167" s="9" t="s">
        <v>65</v>
      </c>
      <c r="E1167" s="9" t="s">
        <v>59</v>
      </c>
      <c r="F1167" s="9">
        <v>-1</v>
      </c>
      <c r="G1167" s="9">
        <v>3011.32</v>
      </c>
      <c r="H1167" s="9">
        <v>0</v>
      </c>
      <c r="I1167" s="9">
        <v>0</v>
      </c>
      <c r="J1167" s="10">
        <v>45509</v>
      </c>
      <c r="K1167" s="9" t="s">
        <v>45</v>
      </c>
      <c r="L1167" s="9" t="s">
        <v>29</v>
      </c>
      <c r="M1167" s="9">
        <v>2531.2199999999998</v>
      </c>
    </row>
    <row r="1168" spans="1:13" x14ac:dyDescent="0.35">
      <c r="A1168" s="9">
        <v>3457</v>
      </c>
      <c r="B1168" s="9" t="s">
        <v>28</v>
      </c>
      <c r="C1168" s="9" t="s">
        <v>18</v>
      </c>
      <c r="D1168" s="9" t="s">
        <v>33</v>
      </c>
      <c r="E1168" s="9" t="s">
        <v>59</v>
      </c>
      <c r="F1168" s="9">
        <v>0</v>
      </c>
      <c r="G1168" s="9">
        <v>0</v>
      </c>
      <c r="H1168" s="9">
        <v>0.81</v>
      </c>
      <c r="I1168" s="9">
        <v>0</v>
      </c>
      <c r="J1168" s="10">
        <v>45712</v>
      </c>
      <c r="K1168" s="9" t="s">
        <v>45</v>
      </c>
      <c r="L1168" s="9" t="s">
        <v>35</v>
      </c>
      <c r="M1168" s="9">
        <v>3777.72</v>
      </c>
    </row>
    <row r="1169" spans="1:13" x14ac:dyDescent="0.35">
      <c r="A1169" s="9">
        <v>3460</v>
      </c>
      <c r="B1169" s="9" t="s">
        <v>28</v>
      </c>
      <c r="C1169" s="9" t="s">
        <v>20</v>
      </c>
      <c r="D1169" s="9" t="s">
        <v>61</v>
      </c>
      <c r="E1169" s="9" t="s">
        <v>62</v>
      </c>
      <c r="F1169" s="9">
        <v>0</v>
      </c>
      <c r="G1169" s="9">
        <v>5403.67</v>
      </c>
      <c r="H1169" s="9">
        <v>0</v>
      </c>
      <c r="I1169" s="9">
        <v>0</v>
      </c>
      <c r="J1169" s="10">
        <v>45712</v>
      </c>
      <c r="K1169" s="9" t="s">
        <v>45</v>
      </c>
      <c r="L1169" s="9" t="s">
        <v>35</v>
      </c>
      <c r="M1169" s="9">
        <v>1372.6</v>
      </c>
    </row>
    <row r="1170" spans="1:13" x14ac:dyDescent="0.35">
      <c r="A1170" s="9">
        <v>2004</v>
      </c>
      <c r="B1170" s="9" t="s">
        <v>34</v>
      </c>
      <c r="C1170" s="9" t="s">
        <v>20</v>
      </c>
      <c r="D1170" s="9" t="s">
        <v>66</v>
      </c>
      <c r="E1170" s="9" t="s">
        <v>59</v>
      </c>
      <c r="F1170" s="9">
        <v>1</v>
      </c>
      <c r="G1170" s="9">
        <v>0</v>
      </c>
      <c r="H1170" s="9">
        <v>0</v>
      </c>
      <c r="I1170" s="9">
        <v>0</v>
      </c>
      <c r="J1170" s="10">
        <v>45712</v>
      </c>
      <c r="K1170" s="9" t="s">
        <v>45</v>
      </c>
      <c r="L1170" s="9" t="s">
        <v>32</v>
      </c>
      <c r="M1170" s="9">
        <v>2588.88</v>
      </c>
    </row>
    <row r="1171" spans="1:13" x14ac:dyDescent="0.35">
      <c r="A1171" s="9">
        <v>3463</v>
      </c>
      <c r="B1171" s="9" t="s">
        <v>28</v>
      </c>
      <c r="C1171" s="9" t="s">
        <v>19</v>
      </c>
      <c r="D1171" s="9" t="s">
        <v>69</v>
      </c>
      <c r="E1171" s="9" t="s">
        <v>59</v>
      </c>
      <c r="F1171" s="9">
        <v>1</v>
      </c>
      <c r="G1171" s="9">
        <v>0</v>
      </c>
      <c r="H1171" s="9">
        <v>0</v>
      </c>
      <c r="I1171" s="9">
        <v>0</v>
      </c>
      <c r="J1171" s="10">
        <v>45712</v>
      </c>
      <c r="K1171" s="9" t="s">
        <v>44</v>
      </c>
      <c r="L1171" s="9" t="s">
        <v>35</v>
      </c>
      <c r="M1171" s="9">
        <v>1853.7</v>
      </c>
    </row>
    <row r="1172" spans="1:13" x14ac:dyDescent="0.35">
      <c r="A1172" s="9">
        <v>3464</v>
      </c>
      <c r="B1172" s="9" t="s">
        <v>34</v>
      </c>
      <c r="C1172" s="9" t="s">
        <v>18</v>
      </c>
      <c r="D1172" s="9" t="s">
        <v>33</v>
      </c>
      <c r="E1172" s="9" t="s">
        <v>62</v>
      </c>
      <c r="F1172" s="9">
        <v>0</v>
      </c>
      <c r="G1172" s="9">
        <v>3362.64</v>
      </c>
      <c r="H1172" s="9">
        <v>0</v>
      </c>
      <c r="I1172" s="9">
        <v>0</v>
      </c>
      <c r="J1172" s="10">
        <v>45712</v>
      </c>
      <c r="K1172" s="9" t="s">
        <v>45</v>
      </c>
      <c r="L1172" s="9" t="s">
        <v>25</v>
      </c>
      <c r="M1172" s="9">
        <v>1587.01</v>
      </c>
    </row>
    <row r="1173" spans="1:13" x14ac:dyDescent="0.35">
      <c r="A1173" s="9">
        <v>3467</v>
      </c>
      <c r="B1173" s="9" t="s">
        <v>31</v>
      </c>
      <c r="C1173" s="9" t="s">
        <v>21</v>
      </c>
      <c r="D1173" s="9" t="s">
        <v>40</v>
      </c>
      <c r="E1173" s="9" t="s">
        <v>59</v>
      </c>
      <c r="F1173" s="9">
        <v>2</v>
      </c>
      <c r="G1173" s="9">
        <v>0</v>
      </c>
      <c r="H1173" s="9">
        <v>0</v>
      </c>
      <c r="I1173" s="9">
        <v>0</v>
      </c>
      <c r="J1173" s="10">
        <v>45729</v>
      </c>
      <c r="K1173" s="9" t="s">
        <v>45</v>
      </c>
      <c r="L1173" s="9" t="s">
        <v>25</v>
      </c>
      <c r="M1173" s="9">
        <v>1472.83</v>
      </c>
    </row>
    <row r="1174" spans="1:13" x14ac:dyDescent="0.35">
      <c r="A1174" s="9">
        <v>3469</v>
      </c>
      <c r="B1174" s="9" t="s">
        <v>34</v>
      </c>
      <c r="C1174" s="9" t="s">
        <v>20</v>
      </c>
      <c r="D1174" s="9" t="s">
        <v>43</v>
      </c>
      <c r="E1174" s="9" t="s">
        <v>59</v>
      </c>
      <c r="F1174" s="9">
        <v>1</v>
      </c>
      <c r="G1174" s="9">
        <v>4590.24</v>
      </c>
      <c r="H1174" s="9">
        <v>0</v>
      </c>
      <c r="I1174" s="9">
        <v>0</v>
      </c>
      <c r="J1174" s="10">
        <v>45566</v>
      </c>
      <c r="K1174" s="9" t="s">
        <v>45</v>
      </c>
      <c r="L1174" s="9" t="s">
        <v>26</v>
      </c>
      <c r="M1174" s="9">
        <v>3792.66</v>
      </c>
    </row>
    <row r="1175" spans="1:13" x14ac:dyDescent="0.35">
      <c r="A1175" s="9">
        <v>3470</v>
      </c>
      <c r="B1175" s="9" t="s">
        <v>34</v>
      </c>
      <c r="C1175" s="9" t="s">
        <v>19</v>
      </c>
      <c r="D1175" s="9" t="s">
        <v>42</v>
      </c>
      <c r="E1175" s="9" t="s">
        <v>59</v>
      </c>
      <c r="F1175" s="9">
        <v>0</v>
      </c>
      <c r="G1175" s="9">
        <v>0</v>
      </c>
      <c r="H1175" s="9">
        <v>0</v>
      </c>
      <c r="I1175" s="9">
        <v>0</v>
      </c>
      <c r="J1175" s="10">
        <v>45699</v>
      </c>
      <c r="K1175" s="9" t="s">
        <v>45</v>
      </c>
      <c r="L1175" s="9" t="s">
        <v>27</v>
      </c>
      <c r="M1175" s="9">
        <v>284.95999999999998</v>
      </c>
    </row>
    <row r="1176" spans="1:13" x14ac:dyDescent="0.35">
      <c r="A1176" s="9">
        <v>3471</v>
      </c>
      <c r="B1176" s="9" t="s">
        <v>34</v>
      </c>
      <c r="C1176" s="9" t="s">
        <v>21</v>
      </c>
      <c r="D1176" s="9" t="s">
        <v>64</v>
      </c>
      <c r="E1176" s="9" t="s">
        <v>60</v>
      </c>
      <c r="F1176" s="9">
        <v>0</v>
      </c>
      <c r="G1176" s="9">
        <v>5637.46</v>
      </c>
      <c r="H1176" s="9">
        <v>0</v>
      </c>
      <c r="I1176" s="9">
        <v>0</v>
      </c>
      <c r="J1176" s="10">
        <v>45692</v>
      </c>
      <c r="K1176" s="9" t="s">
        <v>44</v>
      </c>
      <c r="L1176" s="9" t="s">
        <v>27</v>
      </c>
      <c r="M1176" s="9">
        <v>-364.01</v>
      </c>
    </row>
    <row r="1177" spans="1:13" x14ac:dyDescent="0.35">
      <c r="A1177" s="9">
        <v>3472</v>
      </c>
      <c r="B1177" s="9" t="s">
        <v>31</v>
      </c>
      <c r="C1177" s="9" t="s">
        <v>22</v>
      </c>
      <c r="D1177" s="9" t="s">
        <v>65</v>
      </c>
      <c r="E1177" s="9" t="s">
        <v>62</v>
      </c>
      <c r="F1177" s="9">
        <v>0</v>
      </c>
      <c r="G1177" s="9">
        <v>0</v>
      </c>
      <c r="H1177" s="9">
        <v>0</v>
      </c>
      <c r="I1177" s="9">
        <v>0</v>
      </c>
      <c r="J1177" s="10">
        <v>45535</v>
      </c>
      <c r="K1177" s="9" t="s">
        <v>45</v>
      </c>
      <c r="L1177" s="9" t="s">
        <v>32</v>
      </c>
      <c r="M1177" s="9">
        <v>1750.67</v>
      </c>
    </row>
    <row r="1178" spans="1:13" x14ac:dyDescent="0.35">
      <c r="A1178" s="9">
        <v>3473</v>
      </c>
      <c r="B1178" s="9" t="s">
        <v>34</v>
      </c>
      <c r="C1178" s="9" t="s">
        <v>19</v>
      </c>
      <c r="D1178" s="9" t="s">
        <v>39</v>
      </c>
      <c r="E1178" s="9" t="s">
        <v>59</v>
      </c>
      <c r="F1178" s="9">
        <v>4</v>
      </c>
      <c r="G1178" s="9">
        <v>3551.05</v>
      </c>
      <c r="H1178" s="9">
        <v>0</v>
      </c>
      <c r="I1178" s="9">
        <v>0</v>
      </c>
      <c r="J1178" s="10">
        <v>45631</v>
      </c>
      <c r="K1178" s="9" t="s">
        <v>45</v>
      </c>
      <c r="L1178" s="9" t="s">
        <v>29</v>
      </c>
      <c r="M1178" s="9">
        <v>63.47</v>
      </c>
    </row>
    <row r="1179" spans="1:13" x14ac:dyDescent="0.35">
      <c r="A1179" s="9">
        <v>3474</v>
      </c>
      <c r="B1179" s="9" t="s">
        <v>28</v>
      </c>
      <c r="C1179" s="9" t="s">
        <v>22</v>
      </c>
      <c r="D1179" s="9" t="s">
        <v>30</v>
      </c>
      <c r="E1179" s="9" t="s">
        <v>59</v>
      </c>
      <c r="F1179" s="9">
        <v>2</v>
      </c>
      <c r="G1179" s="9">
        <v>6506.07</v>
      </c>
      <c r="H1179" s="9">
        <v>0</v>
      </c>
      <c r="I1179" s="9">
        <v>0</v>
      </c>
      <c r="J1179" s="10">
        <v>45631</v>
      </c>
      <c r="K1179" s="9" t="s">
        <v>44</v>
      </c>
      <c r="L1179" s="9" t="s">
        <v>32</v>
      </c>
      <c r="M1179" s="9">
        <v>3969.54</v>
      </c>
    </row>
    <row r="1180" spans="1:13" x14ac:dyDescent="0.35">
      <c r="A1180" s="9">
        <v>3475</v>
      </c>
      <c r="B1180" s="9" t="s">
        <v>34</v>
      </c>
      <c r="C1180" s="9" t="s">
        <v>19</v>
      </c>
      <c r="D1180" s="9" t="s">
        <v>42</v>
      </c>
      <c r="E1180" s="9" t="s">
        <v>60</v>
      </c>
      <c r="F1180" s="9">
        <v>1</v>
      </c>
      <c r="G1180" s="9">
        <v>2120.44</v>
      </c>
      <c r="H1180" s="9">
        <v>0</v>
      </c>
      <c r="I1180" s="9">
        <v>0</v>
      </c>
      <c r="J1180" s="10">
        <v>45502</v>
      </c>
      <c r="K1180" s="9" t="s">
        <v>45</v>
      </c>
      <c r="L1180" s="9" t="s">
        <v>26</v>
      </c>
      <c r="M1180" s="9">
        <v>2996.47</v>
      </c>
    </row>
    <row r="1181" spans="1:13" x14ac:dyDescent="0.35">
      <c r="A1181" s="9">
        <v>3476</v>
      </c>
      <c r="B1181" s="9" t="s">
        <v>31</v>
      </c>
      <c r="C1181" s="9" t="s">
        <v>18</v>
      </c>
      <c r="D1181" s="9" t="s">
        <v>33</v>
      </c>
      <c r="E1181" s="9" t="s">
        <v>59</v>
      </c>
      <c r="F1181" s="9">
        <v>0</v>
      </c>
      <c r="G1181" s="9">
        <v>3891.22</v>
      </c>
      <c r="H1181" s="9">
        <v>0.37</v>
      </c>
      <c r="I1181" s="9">
        <v>0</v>
      </c>
      <c r="J1181" s="10">
        <v>45833</v>
      </c>
      <c r="K1181" s="9" t="s">
        <v>44</v>
      </c>
      <c r="L1181" s="9" t="s">
        <v>26</v>
      </c>
      <c r="M1181" s="9">
        <v>1881.61</v>
      </c>
    </row>
    <row r="1182" spans="1:13" x14ac:dyDescent="0.35">
      <c r="A1182" s="9">
        <v>3477</v>
      </c>
      <c r="B1182" s="9" t="s">
        <v>31</v>
      </c>
      <c r="C1182" s="9" t="s">
        <v>22</v>
      </c>
      <c r="D1182" s="9" t="s">
        <v>65</v>
      </c>
      <c r="E1182" s="9" t="s">
        <v>59</v>
      </c>
      <c r="F1182" s="9">
        <v>2</v>
      </c>
      <c r="G1182" s="9">
        <v>4135.26</v>
      </c>
      <c r="H1182" s="9">
        <v>0</v>
      </c>
      <c r="I1182" s="9">
        <v>0</v>
      </c>
      <c r="J1182" s="10">
        <v>45772</v>
      </c>
      <c r="K1182" s="9" t="s">
        <v>45</v>
      </c>
      <c r="L1182" s="9" t="s">
        <v>29</v>
      </c>
      <c r="M1182" s="9">
        <v>1691.28</v>
      </c>
    </row>
    <row r="1183" spans="1:13" x14ac:dyDescent="0.35">
      <c r="A1183" s="9">
        <v>3478</v>
      </c>
      <c r="B1183" s="9" t="s">
        <v>34</v>
      </c>
      <c r="C1183" s="9" t="s">
        <v>18</v>
      </c>
      <c r="D1183" s="9" t="s">
        <v>33</v>
      </c>
      <c r="E1183" s="9" t="s">
        <v>59</v>
      </c>
      <c r="F1183" s="9">
        <v>0</v>
      </c>
      <c r="G1183" s="9">
        <v>0</v>
      </c>
      <c r="H1183" s="9">
        <v>0</v>
      </c>
      <c r="I1183" s="9">
        <v>0</v>
      </c>
      <c r="J1183" s="10">
        <v>45794</v>
      </c>
      <c r="K1183" s="9" t="s">
        <v>44</v>
      </c>
      <c r="L1183" s="9" t="s">
        <v>26</v>
      </c>
      <c r="M1183" s="9">
        <v>2192.6799999999998</v>
      </c>
    </row>
    <row r="1184" spans="1:13" x14ac:dyDescent="0.35">
      <c r="A1184" s="9">
        <v>3479</v>
      </c>
      <c r="B1184" s="9" t="s">
        <v>28</v>
      </c>
      <c r="C1184" s="9" t="s">
        <v>18</v>
      </c>
      <c r="D1184" s="9" t="s">
        <v>38</v>
      </c>
      <c r="E1184" s="9" t="s">
        <v>62</v>
      </c>
      <c r="F1184" s="9">
        <v>4</v>
      </c>
      <c r="G1184" s="9">
        <v>0</v>
      </c>
      <c r="H1184" s="9">
        <v>0</v>
      </c>
      <c r="I1184" s="9">
        <v>0</v>
      </c>
      <c r="J1184" s="10">
        <v>45551</v>
      </c>
      <c r="K1184" s="9" t="s">
        <v>44</v>
      </c>
      <c r="L1184" s="9" t="s">
        <v>26</v>
      </c>
      <c r="M1184" s="9">
        <v>1909.78</v>
      </c>
    </row>
    <row r="1185" spans="1:13" x14ac:dyDescent="0.35">
      <c r="A1185" s="9">
        <v>3480</v>
      </c>
      <c r="B1185" s="9" t="s">
        <v>34</v>
      </c>
      <c r="C1185" s="9" t="s">
        <v>20</v>
      </c>
      <c r="D1185" s="9" t="s">
        <v>66</v>
      </c>
      <c r="E1185" s="9" t="s">
        <v>59</v>
      </c>
      <c r="F1185" s="9">
        <v>4</v>
      </c>
      <c r="G1185" s="9">
        <v>2917.45</v>
      </c>
      <c r="H1185" s="9">
        <v>0</v>
      </c>
      <c r="I1185" s="9">
        <v>0</v>
      </c>
      <c r="J1185" s="10">
        <v>45551</v>
      </c>
      <c r="K1185" s="9" t="s">
        <v>45</v>
      </c>
      <c r="L1185" s="9" t="s">
        <v>25</v>
      </c>
      <c r="M1185" s="9">
        <v>2872.75</v>
      </c>
    </row>
    <row r="1186" spans="1:13" x14ac:dyDescent="0.35">
      <c r="A1186" s="9">
        <v>3481</v>
      </c>
      <c r="B1186" s="9" t="s">
        <v>28</v>
      </c>
      <c r="C1186" s="9" t="s">
        <v>21</v>
      </c>
      <c r="D1186" s="9" t="s">
        <v>40</v>
      </c>
      <c r="E1186" s="9" t="s">
        <v>62</v>
      </c>
      <c r="F1186" s="9">
        <v>4</v>
      </c>
      <c r="G1186" s="9">
        <v>0</v>
      </c>
      <c r="H1186" s="9">
        <v>0</v>
      </c>
      <c r="I1186" s="9">
        <v>0</v>
      </c>
      <c r="J1186" s="10">
        <v>45214</v>
      </c>
      <c r="K1186" s="9" t="s">
        <v>45</v>
      </c>
      <c r="L1186" s="9" t="s">
        <v>25</v>
      </c>
      <c r="M1186" s="9">
        <v>2564.61</v>
      </c>
    </row>
    <row r="1187" spans="1:13" x14ac:dyDescent="0.35">
      <c r="A1187" s="9">
        <v>3482</v>
      </c>
      <c r="B1187" s="9" t="s">
        <v>31</v>
      </c>
      <c r="C1187" s="9" t="s">
        <v>19</v>
      </c>
      <c r="D1187" s="9" t="s">
        <v>63</v>
      </c>
      <c r="E1187" s="9" t="s">
        <v>59</v>
      </c>
      <c r="F1187" s="9">
        <v>0</v>
      </c>
      <c r="G1187" s="9">
        <v>0</v>
      </c>
      <c r="H1187" s="9">
        <v>0</v>
      </c>
      <c r="I1187" s="9">
        <v>0</v>
      </c>
      <c r="J1187" s="10">
        <v>45523</v>
      </c>
      <c r="K1187" s="9" t="s">
        <v>45</v>
      </c>
      <c r="L1187" s="9" t="s">
        <v>32</v>
      </c>
      <c r="M1187" s="9">
        <v>1660.47</v>
      </c>
    </row>
    <row r="1188" spans="1:13" x14ac:dyDescent="0.35">
      <c r="A1188" s="9">
        <v>3483</v>
      </c>
      <c r="B1188" s="9" t="s">
        <v>31</v>
      </c>
      <c r="C1188" s="9" t="s">
        <v>21</v>
      </c>
      <c r="D1188" s="9" t="s">
        <v>40</v>
      </c>
      <c r="E1188" s="9" t="s">
        <v>60</v>
      </c>
      <c r="F1188" s="9">
        <v>4</v>
      </c>
      <c r="G1188" s="9">
        <v>4733.92</v>
      </c>
      <c r="H1188" s="9">
        <v>0</v>
      </c>
      <c r="I1188" s="9">
        <v>0</v>
      </c>
      <c r="J1188" s="10">
        <v>45630</v>
      </c>
      <c r="K1188" s="9" t="s">
        <v>45</v>
      </c>
      <c r="L1188" s="9" t="s">
        <v>27</v>
      </c>
      <c r="M1188" s="9">
        <v>738.19</v>
      </c>
    </row>
    <row r="1189" spans="1:13" x14ac:dyDescent="0.35">
      <c r="A1189" s="9">
        <v>3484</v>
      </c>
      <c r="B1189" s="9" t="s">
        <v>34</v>
      </c>
      <c r="C1189" s="9" t="s">
        <v>21</v>
      </c>
      <c r="D1189" s="9" t="s">
        <v>71</v>
      </c>
      <c r="E1189" s="9" t="s">
        <v>59</v>
      </c>
      <c r="F1189" s="9">
        <v>0</v>
      </c>
      <c r="G1189" s="9">
        <v>2638.44</v>
      </c>
      <c r="H1189" s="9">
        <v>0</v>
      </c>
      <c r="I1189" s="9">
        <v>0</v>
      </c>
      <c r="J1189" s="10">
        <v>45522</v>
      </c>
      <c r="K1189" s="9" t="s">
        <v>45</v>
      </c>
      <c r="L1189" s="9" t="s">
        <v>25</v>
      </c>
      <c r="M1189" s="9">
        <v>1395.41</v>
      </c>
    </row>
    <row r="1190" spans="1:13" x14ac:dyDescent="0.35">
      <c r="A1190" s="9">
        <v>3486</v>
      </c>
      <c r="B1190" s="9" t="s">
        <v>34</v>
      </c>
      <c r="C1190" s="9" t="s">
        <v>18</v>
      </c>
      <c r="D1190" s="9" t="s">
        <v>37</v>
      </c>
      <c r="E1190" s="9" t="s">
        <v>60</v>
      </c>
      <c r="F1190" s="9">
        <v>4</v>
      </c>
      <c r="G1190" s="9">
        <v>0</v>
      </c>
      <c r="H1190" s="9">
        <v>0</v>
      </c>
      <c r="I1190" s="9">
        <v>0</v>
      </c>
      <c r="J1190" s="10">
        <v>45579</v>
      </c>
      <c r="K1190" s="9" t="s">
        <v>44</v>
      </c>
      <c r="L1190" s="9" t="s">
        <v>29</v>
      </c>
      <c r="M1190" s="9">
        <v>1451.77</v>
      </c>
    </row>
    <row r="1191" spans="1:13" x14ac:dyDescent="0.35">
      <c r="A1191" s="9">
        <v>3487</v>
      </c>
      <c r="B1191" s="9" t="s">
        <v>31</v>
      </c>
      <c r="C1191" s="9" t="s">
        <v>21</v>
      </c>
      <c r="D1191" s="9" t="s">
        <v>71</v>
      </c>
      <c r="E1191" s="9" t="s">
        <v>59</v>
      </c>
      <c r="F1191" s="9">
        <v>0</v>
      </c>
      <c r="G1191" s="9">
        <v>3240.99</v>
      </c>
      <c r="H1191" s="9">
        <v>0.42</v>
      </c>
      <c r="I1191" s="9">
        <v>0</v>
      </c>
      <c r="J1191" s="10">
        <v>45805</v>
      </c>
      <c r="K1191" s="9" t="s">
        <v>45</v>
      </c>
      <c r="L1191" s="9" t="s">
        <v>32</v>
      </c>
      <c r="M1191" s="9">
        <v>2927.35</v>
      </c>
    </row>
    <row r="1192" spans="1:13" x14ac:dyDescent="0.35">
      <c r="A1192" s="9">
        <v>3488</v>
      </c>
      <c r="B1192" s="9" t="s">
        <v>28</v>
      </c>
      <c r="C1192" s="9" t="s">
        <v>19</v>
      </c>
      <c r="D1192" s="9" t="s">
        <v>42</v>
      </c>
      <c r="E1192" s="9" t="s">
        <v>62</v>
      </c>
      <c r="F1192" s="9">
        <v>4</v>
      </c>
      <c r="G1192" s="9">
        <v>0</v>
      </c>
      <c r="H1192" s="9">
        <v>0</v>
      </c>
      <c r="I1192" s="9">
        <v>0</v>
      </c>
      <c r="J1192" s="10">
        <v>45728</v>
      </c>
      <c r="K1192" s="9" t="s">
        <v>45</v>
      </c>
      <c r="L1192" s="9" t="s">
        <v>27</v>
      </c>
      <c r="M1192" s="9">
        <v>86.25</v>
      </c>
    </row>
    <row r="1193" spans="1:13" x14ac:dyDescent="0.35">
      <c r="A1193" s="9">
        <v>3489</v>
      </c>
      <c r="B1193" s="9" t="s">
        <v>34</v>
      </c>
      <c r="C1193" s="9" t="s">
        <v>20</v>
      </c>
      <c r="D1193" s="9" t="s">
        <v>61</v>
      </c>
      <c r="E1193" s="9" t="s">
        <v>59</v>
      </c>
      <c r="F1193" s="9">
        <v>2</v>
      </c>
      <c r="G1193" s="9">
        <v>0</v>
      </c>
      <c r="H1193" s="9">
        <v>0</v>
      </c>
      <c r="I1193" s="9">
        <v>0</v>
      </c>
      <c r="J1193" s="10">
        <v>45751</v>
      </c>
      <c r="K1193" s="9" t="s">
        <v>45</v>
      </c>
      <c r="L1193" s="9" t="s">
        <v>26</v>
      </c>
      <c r="M1193" s="9">
        <v>1734.72</v>
      </c>
    </row>
    <row r="1194" spans="1:13" x14ac:dyDescent="0.35">
      <c r="A1194" s="9">
        <v>3490</v>
      </c>
      <c r="B1194" s="9" t="s">
        <v>31</v>
      </c>
      <c r="C1194" s="9" t="s">
        <v>20</v>
      </c>
      <c r="D1194" s="9" t="s">
        <v>66</v>
      </c>
      <c r="E1194" s="9" t="s">
        <v>60</v>
      </c>
      <c r="F1194" s="9">
        <v>0</v>
      </c>
      <c r="G1194" s="9">
        <v>0</v>
      </c>
      <c r="H1194" s="9">
        <v>0.98</v>
      </c>
      <c r="I1194" s="9">
        <v>0</v>
      </c>
      <c r="J1194" s="10">
        <v>45846</v>
      </c>
      <c r="K1194" s="9" t="s">
        <v>45</v>
      </c>
      <c r="L1194" s="9" t="s">
        <v>29</v>
      </c>
      <c r="M1194" s="9">
        <v>1591.77</v>
      </c>
    </row>
    <row r="1195" spans="1:13" x14ac:dyDescent="0.35">
      <c r="A1195" s="9">
        <v>3491</v>
      </c>
      <c r="B1195" s="9" t="s">
        <v>31</v>
      </c>
      <c r="C1195" s="9" t="s">
        <v>19</v>
      </c>
      <c r="D1195" s="9" t="s">
        <v>39</v>
      </c>
      <c r="E1195" s="9" t="s">
        <v>62</v>
      </c>
      <c r="F1195" s="9">
        <v>0</v>
      </c>
      <c r="G1195" s="9">
        <v>0</v>
      </c>
      <c r="H1195" s="9">
        <v>0.39</v>
      </c>
      <c r="I1195" s="9">
        <v>0</v>
      </c>
      <c r="J1195" s="10">
        <v>45584</v>
      </c>
      <c r="K1195" s="9" t="s">
        <v>45</v>
      </c>
      <c r="L1195" s="9" t="s">
        <v>26</v>
      </c>
      <c r="M1195" s="9">
        <v>-473.94</v>
      </c>
    </row>
    <row r="1196" spans="1:13" x14ac:dyDescent="0.35">
      <c r="A1196" s="9">
        <v>2018</v>
      </c>
      <c r="B1196" s="9" t="s">
        <v>28</v>
      </c>
      <c r="C1196" s="9" t="s">
        <v>19</v>
      </c>
      <c r="D1196" s="9" t="s">
        <v>69</v>
      </c>
      <c r="E1196" s="9" t="s">
        <v>59</v>
      </c>
      <c r="F1196" s="9">
        <v>0</v>
      </c>
      <c r="G1196" s="9">
        <v>0</v>
      </c>
      <c r="H1196" s="9">
        <v>0</v>
      </c>
      <c r="I1196" s="9">
        <v>0</v>
      </c>
      <c r="J1196" s="10">
        <v>45609</v>
      </c>
      <c r="K1196" s="9" t="s">
        <v>45</v>
      </c>
      <c r="L1196" s="9" t="s">
        <v>25</v>
      </c>
      <c r="M1196" s="9">
        <v>-777.58</v>
      </c>
    </row>
    <row r="1197" spans="1:13" x14ac:dyDescent="0.35">
      <c r="A1197" s="9">
        <v>3495</v>
      </c>
      <c r="B1197" s="9" t="s">
        <v>28</v>
      </c>
      <c r="C1197" s="9" t="s">
        <v>22</v>
      </c>
      <c r="D1197" s="9" t="s">
        <v>30</v>
      </c>
      <c r="E1197" s="9" t="s">
        <v>59</v>
      </c>
      <c r="F1197" s="9">
        <v>-1</v>
      </c>
      <c r="G1197" s="9">
        <v>0</v>
      </c>
      <c r="H1197" s="9">
        <v>0</v>
      </c>
      <c r="I1197" s="9">
        <v>0</v>
      </c>
      <c r="J1197" s="10">
        <v>45517</v>
      </c>
      <c r="K1197" s="9" t="s">
        <v>44</v>
      </c>
      <c r="L1197" s="9" t="s">
        <v>35</v>
      </c>
      <c r="M1197" s="9">
        <v>3572.8</v>
      </c>
    </row>
    <row r="1198" spans="1:13" x14ac:dyDescent="0.35">
      <c r="A1198" s="9">
        <v>3496</v>
      </c>
      <c r="B1198" s="9" t="s">
        <v>31</v>
      </c>
      <c r="C1198" s="9" t="s">
        <v>20</v>
      </c>
      <c r="D1198" s="9" t="s">
        <v>43</v>
      </c>
      <c r="E1198" s="9" t="s">
        <v>59</v>
      </c>
      <c r="F1198" s="9">
        <v>3</v>
      </c>
      <c r="G1198" s="9">
        <v>0</v>
      </c>
      <c r="H1198" s="9">
        <v>0.77</v>
      </c>
      <c r="I1198" s="9">
        <v>0</v>
      </c>
      <c r="J1198" s="10">
        <v>45573</v>
      </c>
      <c r="K1198" s="9" t="s">
        <v>44</v>
      </c>
      <c r="L1198" s="9" t="s">
        <v>29</v>
      </c>
      <c r="M1198" s="9">
        <v>-786.91</v>
      </c>
    </row>
    <row r="1199" spans="1:13" x14ac:dyDescent="0.35">
      <c r="A1199" s="9">
        <v>3497</v>
      </c>
      <c r="B1199" s="9" t="s">
        <v>28</v>
      </c>
      <c r="C1199" s="9" t="s">
        <v>22</v>
      </c>
      <c r="D1199" s="9" t="s">
        <v>68</v>
      </c>
      <c r="E1199" s="9" t="s">
        <v>60</v>
      </c>
      <c r="F1199" s="9">
        <v>2</v>
      </c>
      <c r="G1199" s="9">
        <v>8688.92</v>
      </c>
      <c r="H1199" s="9">
        <v>0</v>
      </c>
      <c r="I1199" s="9">
        <v>0</v>
      </c>
      <c r="J1199" s="10">
        <v>45634</v>
      </c>
      <c r="K1199" s="9" t="s">
        <v>45</v>
      </c>
      <c r="L1199" s="9" t="s">
        <v>26</v>
      </c>
      <c r="M1199" s="9">
        <v>1878.22</v>
      </c>
    </row>
    <row r="1200" spans="1:13" x14ac:dyDescent="0.35">
      <c r="A1200" s="9">
        <v>3498</v>
      </c>
      <c r="B1200" s="9" t="s">
        <v>28</v>
      </c>
      <c r="C1200" s="9" t="s">
        <v>18</v>
      </c>
      <c r="D1200" s="9" t="s">
        <v>37</v>
      </c>
      <c r="E1200" s="9" t="s">
        <v>59</v>
      </c>
      <c r="F1200" s="9">
        <v>0</v>
      </c>
      <c r="G1200" s="9">
        <v>8797.69</v>
      </c>
      <c r="H1200" s="9">
        <v>0</v>
      </c>
      <c r="I1200" s="9">
        <v>0</v>
      </c>
      <c r="J1200" s="10">
        <v>45545</v>
      </c>
      <c r="K1200" s="9" t="s">
        <v>44</v>
      </c>
      <c r="L1200" s="9" t="s">
        <v>35</v>
      </c>
      <c r="M1200" s="9">
        <v>-910.3</v>
      </c>
    </row>
    <row r="1201" spans="1:13" x14ac:dyDescent="0.35">
      <c r="A1201" s="9">
        <v>3500</v>
      </c>
      <c r="B1201" s="9" t="s">
        <v>34</v>
      </c>
      <c r="C1201" s="9" t="s">
        <v>21</v>
      </c>
      <c r="D1201" s="9" t="s">
        <v>36</v>
      </c>
      <c r="E1201" s="9" t="s">
        <v>60</v>
      </c>
      <c r="F1201" s="9">
        <v>0</v>
      </c>
      <c r="G1201" s="9">
        <v>5471.81</v>
      </c>
      <c r="H1201" s="9">
        <v>0.56000000000000005</v>
      </c>
      <c r="I1201" s="9">
        <v>0</v>
      </c>
      <c r="J1201" s="10">
        <v>45741</v>
      </c>
      <c r="K1201" s="9" t="s">
        <v>44</v>
      </c>
      <c r="L1201" s="9" t="s">
        <v>27</v>
      </c>
      <c r="M1201" s="9">
        <v>361.86</v>
      </c>
    </row>
    <row r="1202" spans="1:13" x14ac:dyDescent="0.35">
      <c r="A1202" s="9">
        <v>3502</v>
      </c>
      <c r="B1202" s="9" t="s">
        <v>31</v>
      </c>
      <c r="C1202" s="9" t="s">
        <v>21</v>
      </c>
      <c r="D1202" s="9" t="s">
        <v>36</v>
      </c>
      <c r="E1202" s="9" t="s">
        <v>60</v>
      </c>
      <c r="F1202" s="9">
        <v>0</v>
      </c>
      <c r="G1202" s="9">
        <v>6418.29</v>
      </c>
      <c r="H1202" s="9">
        <v>0.89</v>
      </c>
      <c r="I1202" s="9">
        <v>0</v>
      </c>
      <c r="J1202" s="10">
        <v>45239</v>
      </c>
      <c r="K1202" s="9" t="s">
        <v>45</v>
      </c>
      <c r="L1202" s="9" t="s">
        <v>29</v>
      </c>
      <c r="M1202" s="9">
        <v>3665.75</v>
      </c>
    </row>
    <row r="1203" spans="1:13" x14ac:dyDescent="0.35">
      <c r="A1203" s="9">
        <v>3503</v>
      </c>
      <c r="B1203" s="9" t="s">
        <v>31</v>
      </c>
      <c r="C1203" s="9" t="s">
        <v>18</v>
      </c>
      <c r="D1203" s="9" t="s">
        <v>37</v>
      </c>
      <c r="E1203" s="9" t="s">
        <v>59</v>
      </c>
      <c r="F1203" s="9">
        <v>0</v>
      </c>
      <c r="G1203" s="9">
        <v>6992.17</v>
      </c>
      <c r="H1203" s="9">
        <v>0</v>
      </c>
      <c r="I1203" s="9">
        <v>0</v>
      </c>
      <c r="J1203" s="10">
        <v>45612</v>
      </c>
      <c r="K1203" s="9" t="s">
        <v>45</v>
      </c>
      <c r="L1203" s="9" t="s">
        <v>26</v>
      </c>
      <c r="M1203" s="9">
        <v>-1048.24</v>
      </c>
    </row>
    <row r="1204" spans="1:13" x14ac:dyDescent="0.35">
      <c r="A1204" s="9">
        <v>2020</v>
      </c>
      <c r="B1204" s="9" t="s">
        <v>34</v>
      </c>
      <c r="C1204" s="9" t="s">
        <v>21</v>
      </c>
      <c r="D1204" s="9" t="s">
        <v>36</v>
      </c>
      <c r="E1204" s="9" t="s">
        <v>62</v>
      </c>
      <c r="F1204" s="9">
        <v>0</v>
      </c>
      <c r="G1204" s="9">
        <v>7126.64</v>
      </c>
      <c r="H1204" s="9">
        <v>0.89</v>
      </c>
      <c r="I1204" s="9">
        <v>0</v>
      </c>
      <c r="J1204" s="10">
        <v>45787</v>
      </c>
      <c r="K1204" s="9" t="s">
        <v>44</v>
      </c>
      <c r="L1204" s="9" t="s">
        <v>29</v>
      </c>
      <c r="M1204" s="9">
        <v>535.13</v>
      </c>
    </row>
    <row r="1205" spans="1:13" x14ac:dyDescent="0.35">
      <c r="A1205" s="9">
        <v>3506</v>
      </c>
      <c r="B1205" s="9" t="s">
        <v>31</v>
      </c>
      <c r="C1205" s="9" t="s">
        <v>18</v>
      </c>
      <c r="D1205" s="9" t="s">
        <v>41</v>
      </c>
      <c r="E1205" s="9" t="s">
        <v>60</v>
      </c>
      <c r="F1205" s="9">
        <v>0</v>
      </c>
      <c r="G1205" s="9">
        <v>9701.91</v>
      </c>
      <c r="H1205" s="9">
        <v>0.51</v>
      </c>
      <c r="I1205" s="9">
        <v>0</v>
      </c>
      <c r="J1205" s="10">
        <v>45787</v>
      </c>
      <c r="K1205" s="9" t="s">
        <v>45</v>
      </c>
      <c r="L1205" s="9" t="s">
        <v>35</v>
      </c>
      <c r="M1205" s="9">
        <v>2393.61</v>
      </c>
    </row>
    <row r="1206" spans="1:13" x14ac:dyDescent="0.35">
      <c r="A1206" s="9">
        <v>3507</v>
      </c>
      <c r="B1206" s="9" t="s">
        <v>34</v>
      </c>
      <c r="C1206" s="9" t="s">
        <v>20</v>
      </c>
      <c r="D1206" s="9" t="s">
        <v>66</v>
      </c>
      <c r="E1206" s="9" t="s">
        <v>59</v>
      </c>
      <c r="F1206" s="9">
        <v>0</v>
      </c>
      <c r="G1206" s="9">
        <v>0</v>
      </c>
      <c r="H1206" s="9">
        <v>0.05</v>
      </c>
      <c r="I1206" s="9">
        <v>0</v>
      </c>
      <c r="J1206" s="10">
        <v>45787</v>
      </c>
      <c r="K1206" s="9" t="s">
        <v>44</v>
      </c>
      <c r="L1206" s="9" t="s">
        <v>26</v>
      </c>
      <c r="M1206" s="9">
        <v>11.97</v>
      </c>
    </row>
    <row r="1207" spans="1:13" x14ac:dyDescent="0.35">
      <c r="A1207" s="9">
        <v>3509</v>
      </c>
      <c r="B1207" s="9" t="s">
        <v>34</v>
      </c>
      <c r="C1207" s="9" t="s">
        <v>21</v>
      </c>
      <c r="D1207" s="9" t="s">
        <v>36</v>
      </c>
      <c r="E1207" s="9" t="s">
        <v>59</v>
      </c>
      <c r="F1207" s="9">
        <v>0</v>
      </c>
      <c r="G1207" s="9">
        <v>2066.04</v>
      </c>
      <c r="H1207" s="9">
        <v>0</v>
      </c>
      <c r="I1207" s="9">
        <v>0</v>
      </c>
      <c r="J1207" s="10">
        <v>45860</v>
      </c>
      <c r="K1207" s="9" t="s">
        <v>45</v>
      </c>
      <c r="L1207" s="9" t="s">
        <v>26</v>
      </c>
      <c r="M1207" s="9">
        <v>2278.11</v>
      </c>
    </row>
    <row r="1208" spans="1:13" x14ac:dyDescent="0.35">
      <c r="A1208" s="9">
        <v>3510</v>
      </c>
      <c r="B1208" s="9" t="s">
        <v>31</v>
      </c>
      <c r="C1208" s="9" t="s">
        <v>19</v>
      </c>
      <c r="D1208" s="9" t="s">
        <v>42</v>
      </c>
      <c r="E1208" s="9" t="s">
        <v>59</v>
      </c>
      <c r="F1208" s="9">
        <v>0</v>
      </c>
      <c r="G1208" s="9">
        <v>0</v>
      </c>
      <c r="H1208" s="9">
        <v>0</v>
      </c>
      <c r="I1208" s="9">
        <v>0</v>
      </c>
      <c r="J1208" s="10">
        <v>45764</v>
      </c>
      <c r="K1208" s="9" t="s">
        <v>44</v>
      </c>
      <c r="L1208" s="9" t="s">
        <v>32</v>
      </c>
      <c r="M1208" s="9">
        <v>3445.21</v>
      </c>
    </row>
    <row r="1209" spans="1:13" x14ac:dyDescent="0.35">
      <c r="A1209" s="9">
        <v>3511</v>
      </c>
      <c r="B1209" s="9" t="s">
        <v>34</v>
      </c>
      <c r="C1209" s="9" t="s">
        <v>21</v>
      </c>
      <c r="D1209" s="9" t="s">
        <v>36</v>
      </c>
      <c r="E1209" s="9" t="s">
        <v>62</v>
      </c>
      <c r="F1209" s="9">
        <v>0</v>
      </c>
      <c r="G1209" s="9">
        <v>3248.17</v>
      </c>
      <c r="H1209" s="9">
        <v>0.06</v>
      </c>
      <c r="I1209" s="9">
        <v>0</v>
      </c>
      <c r="J1209" s="10">
        <v>45703</v>
      </c>
      <c r="K1209" s="9" t="s">
        <v>44</v>
      </c>
      <c r="L1209" s="9" t="s">
        <v>32</v>
      </c>
      <c r="M1209" s="9">
        <v>877.12</v>
      </c>
    </row>
    <row r="1210" spans="1:13" x14ac:dyDescent="0.35">
      <c r="A1210" s="9">
        <v>3512</v>
      </c>
      <c r="B1210" s="9" t="s">
        <v>34</v>
      </c>
      <c r="C1210" s="9" t="s">
        <v>22</v>
      </c>
      <c r="D1210" s="9" t="s">
        <v>68</v>
      </c>
      <c r="E1210" s="9" t="s">
        <v>59</v>
      </c>
      <c r="F1210" s="9">
        <v>4</v>
      </c>
      <c r="G1210" s="9">
        <v>0</v>
      </c>
      <c r="H1210" s="9">
        <v>0.96</v>
      </c>
      <c r="I1210" s="9">
        <v>0</v>
      </c>
      <c r="J1210" s="10">
        <v>45813</v>
      </c>
      <c r="K1210" s="9" t="s">
        <v>44</v>
      </c>
      <c r="L1210" s="9" t="s">
        <v>35</v>
      </c>
      <c r="M1210" s="9">
        <v>2516.79</v>
      </c>
    </row>
    <row r="1211" spans="1:13" x14ac:dyDescent="0.35">
      <c r="A1211" s="9">
        <v>3514</v>
      </c>
      <c r="B1211" s="9" t="s">
        <v>34</v>
      </c>
      <c r="C1211" s="9" t="s">
        <v>20</v>
      </c>
      <c r="D1211" s="9" t="s">
        <v>61</v>
      </c>
      <c r="E1211" s="9" t="s">
        <v>59</v>
      </c>
      <c r="F1211" s="9">
        <v>0</v>
      </c>
      <c r="G1211" s="9">
        <v>6546.46</v>
      </c>
      <c r="H1211" s="9">
        <v>0</v>
      </c>
      <c r="I1211" s="9">
        <v>0</v>
      </c>
      <c r="J1211" s="10">
        <v>45514</v>
      </c>
      <c r="K1211" s="9" t="s">
        <v>44</v>
      </c>
      <c r="L1211" s="9" t="s">
        <v>32</v>
      </c>
      <c r="M1211" s="9">
        <v>2804.16</v>
      </c>
    </row>
    <row r="1212" spans="1:13" x14ac:dyDescent="0.35">
      <c r="A1212" s="9">
        <v>3515</v>
      </c>
      <c r="B1212" s="9" t="s">
        <v>31</v>
      </c>
      <c r="C1212" s="9" t="s">
        <v>18</v>
      </c>
      <c r="D1212" s="9" t="s">
        <v>33</v>
      </c>
      <c r="E1212" s="9" t="s">
        <v>62</v>
      </c>
      <c r="F1212" s="9">
        <v>0</v>
      </c>
      <c r="G1212" s="9">
        <v>2604.11</v>
      </c>
      <c r="H1212" s="9">
        <v>0.9</v>
      </c>
      <c r="I1212" s="9">
        <v>0</v>
      </c>
      <c r="J1212" s="10">
        <v>45514</v>
      </c>
      <c r="K1212" s="9" t="s">
        <v>45</v>
      </c>
      <c r="L1212" s="9" t="s">
        <v>27</v>
      </c>
      <c r="M1212" s="9">
        <v>699.6</v>
      </c>
    </row>
    <row r="1213" spans="1:13" x14ac:dyDescent="0.35">
      <c r="A1213" s="9">
        <v>3516</v>
      </c>
      <c r="B1213" s="9" t="s">
        <v>31</v>
      </c>
      <c r="C1213" s="9" t="s">
        <v>18</v>
      </c>
      <c r="D1213" s="9" t="s">
        <v>38</v>
      </c>
      <c r="E1213" s="9" t="s">
        <v>59</v>
      </c>
      <c r="F1213" s="9">
        <v>0</v>
      </c>
      <c r="G1213" s="9">
        <v>7495.24</v>
      </c>
      <c r="H1213" s="9">
        <v>0.42</v>
      </c>
      <c r="I1213" s="9">
        <v>0</v>
      </c>
      <c r="J1213" s="10">
        <v>45514</v>
      </c>
      <c r="K1213" s="9" t="s">
        <v>45</v>
      </c>
      <c r="L1213" s="9" t="s">
        <v>35</v>
      </c>
      <c r="M1213" s="9">
        <v>3844.73</v>
      </c>
    </row>
    <row r="1214" spans="1:13" x14ac:dyDescent="0.35">
      <c r="A1214" s="9">
        <v>3518</v>
      </c>
      <c r="B1214" s="9" t="s">
        <v>28</v>
      </c>
      <c r="C1214" s="9" t="s">
        <v>22</v>
      </c>
      <c r="D1214" s="9" t="s">
        <v>65</v>
      </c>
      <c r="E1214" s="9" t="s">
        <v>62</v>
      </c>
      <c r="F1214" s="9">
        <v>0</v>
      </c>
      <c r="G1214" s="9">
        <v>0</v>
      </c>
      <c r="H1214" s="9">
        <v>0</v>
      </c>
      <c r="I1214" s="9">
        <v>0</v>
      </c>
      <c r="J1214" s="10">
        <v>45518</v>
      </c>
      <c r="K1214" s="9" t="s">
        <v>44</v>
      </c>
      <c r="L1214" s="9" t="s">
        <v>29</v>
      </c>
      <c r="M1214" s="9">
        <v>3047.69</v>
      </c>
    </row>
    <row r="1215" spans="1:13" x14ac:dyDescent="0.35">
      <c r="A1215" s="9">
        <v>3520</v>
      </c>
      <c r="B1215" s="9" t="s">
        <v>28</v>
      </c>
      <c r="C1215" s="9" t="s">
        <v>21</v>
      </c>
      <c r="D1215" s="9" t="s">
        <v>64</v>
      </c>
      <c r="E1215" s="9" t="s">
        <v>62</v>
      </c>
      <c r="F1215" s="9">
        <v>2</v>
      </c>
      <c r="G1215" s="9">
        <v>2080.85</v>
      </c>
      <c r="H1215" s="9">
        <v>1.24</v>
      </c>
      <c r="I1215" s="9">
        <v>-998.81</v>
      </c>
      <c r="J1215" s="10">
        <v>45373</v>
      </c>
      <c r="K1215" s="9" t="s">
        <v>44</v>
      </c>
      <c r="L1215" s="9" t="s">
        <v>29</v>
      </c>
      <c r="M1215" s="9">
        <v>-776.21</v>
      </c>
    </row>
    <row r="1216" spans="1:13" x14ac:dyDescent="0.35">
      <c r="A1216" s="9">
        <v>3521</v>
      </c>
      <c r="B1216" s="9" t="s">
        <v>28</v>
      </c>
      <c r="C1216" s="9" t="s">
        <v>18</v>
      </c>
      <c r="D1216" s="9" t="s">
        <v>38</v>
      </c>
      <c r="E1216" s="9" t="s">
        <v>59</v>
      </c>
      <c r="F1216" s="9">
        <v>0</v>
      </c>
      <c r="G1216" s="9">
        <v>8565.24</v>
      </c>
      <c r="H1216" s="9">
        <v>0</v>
      </c>
      <c r="I1216" s="9">
        <v>0</v>
      </c>
      <c r="J1216" s="10">
        <v>45373</v>
      </c>
      <c r="K1216" s="9" t="s">
        <v>45</v>
      </c>
      <c r="L1216" s="9" t="s">
        <v>27</v>
      </c>
      <c r="M1216" s="9">
        <v>3721.9</v>
      </c>
    </row>
    <row r="1217" spans="1:13" x14ac:dyDescent="0.35">
      <c r="A1217" s="9">
        <v>2002</v>
      </c>
      <c r="B1217" s="9" t="s">
        <v>28</v>
      </c>
      <c r="C1217" s="9" t="s">
        <v>22</v>
      </c>
      <c r="D1217" s="9" t="s">
        <v>68</v>
      </c>
      <c r="E1217" s="9" t="s">
        <v>59</v>
      </c>
      <c r="F1217" s="9">
        <v>0</v>
      </c>
      <c r="G1217" s="9">
        <v>9041.15</v>
      </c>
      <c r="H1217" s="9">
        <v>0.44</v>
      </c>
      <c r="I1217" s="9">
        <v>0</v>
      </c>
      <c r="J1217" s="10">
        <v>45373</v>
      </c>
      <c r="K1217" s="9" t="s">
        <v>44</v>
      </c>
      <c r="L1217" s="9" t="s">
        <v>27</v>
      </c>
      <c r="M1217" s="9">
        <v>1597.12</v>
      </c>
    </row>
    <row r="1218" spans="1:13" x14ac:dyDescent="0.35">
      <c r="A1218" s="9">
        <v>3523</v>
      </c>
      <c r="B1218" s="9" t="s">
        <v>34</v>
      </c>
      <c r="C1218" s="9" t="s">
        <v>18</v>
      </c>
      <c r="D1218" s="9" t="s">
        <v>37</v>
      </c>
      <c r="E1218" s="9" t="s">
        <v>59</v>
      </c>
      <c r="F1218" s="9">
        <v>0</v>
      </c>
      <c r="G1218" s="9">
        <v>7061.5</v>
      </c>
      <c r="H1218" s="9">
        <v>1.04</v>
      </c>
      <c r="I1218" s="9">
        <v>0</v>
      </c>
      <c r="J1218" s="10">
        <v>45452</v>
      </c>
      <c r="K1218" s="9" t="s">
        <v>44</v>
      </c>
      <c r="L1218" s="9" t="s">
        <v>27</v>
      </c>
      <c r="M1218" s="9">
        <v>825.03</v>
      </c>
    </row>
    <row r="1219" spans="1:13" x14ac:dyDescent="0.35">
      <c r="A1219" s="9">
        <v>3524</v>
      </c>
      <c r="B1219" s="9" t="s">
        <v>34</v>
      </c>
      <c r="C1219" s="9" t="s">
        <v>18</v>
      </c>
      <c r="D1219" s="9" t="s">
        <v>37</v>
      </c>
      <c r="E1219" s="9" t="s">
        <v>59</v>
      </c>
      <c r="F1219" s="9">
        <v>0</v>
      </c>
      <c r="G1219" s="9">
        <v>0</v>
      </c>
      <c r="H1219" s="9">
        <v>0</v>
      </c>
      <c r="I1219" s="9">
        <v>0</v>
      </c>
      <c r="J1219" s="10">
        <v>45608</v>
      </c>
      <c r="K1219" s="9" t="s">
        <v>45</v>
      </c>
      <c r="L1219" s="9" t="s">
        <v>26</v>
      </c>
      <c r="M1219" s="9">
        <v>1646.1</v>
      </c>
    </row>
    <row r="1220" spans="1:13" x14ac:dyDescent="0.35">
      <c r="A1220" s="9">
        <v>3528</v>
      </c>
      <c r="B1220" s="9" t="s">
        <v>34</v>
      </c>
      <c r="C1220" s="9" t="s">
        <v>20</v>
      </c>
      <c r="D1220" s="9" t="s">
        <v>61</v>
      </c>
      <c r="E1220" s="9" t="s">
        <v>60</v>
      </c>
      <c r="F1220" s="9">
        <v>0</v>
      </c>
      <c r="G1220" s="9">
        <v>3742.67</v>
      </c>
      <c r="H1220" s="9">
        <v>0</v>
      </c>
      <c r="I1220" s="9">
        <v>0</v>
      </c>
      <c r="J1220" s="10">
        <v>45525</v>
      </c>
      <c r="K1220" s="9" t="s">
        <v>44</v>
      </c>
      <c r="L1220" s="9" t="s">
        <v>32</v>
      </c>
      <c r="M1220" s="9">
        <v>2662.77</v>
      </c>
    </row>
    <row r="1221" spans="1:13" x14ac:dyDescent="0.35">
      <c r="A1221" s="9">
        <v>3529</v>
      </c>
      <c r="B1221" s="9" t="s">
        <v>31</v>
      </c>
      <c r="C1221" s="9" t="s">
        <v>18</v>
      </c>
      <c r="D1221" s="9" t="s">
        <v>37</v>
      </c>
      <c r="E1221" s="9" t="s">
        <v>60</v>
      </c>
      <c r="F1221" s="9">
        <v>1</v>
      </c>
      <c r="G1221" s="9">
        <v>0</v>
      </c>
      <c r="H1221" s="9">
        <v>0.2</v>
      </c>
      <c r="I1221" s="9">
        <v>0</v>
      </c>
      <c r="J1221" s="10">
        <v>45744</v>
      </c>
      <c r="K1221" s="9" t="s">
        <v>44</v>
      </c>
      <c r="L1221" s="9" t="s">
        <v>29</v>
      </c>
      <c r="M1221" s="9">
        <v>1448.77</v>
      </c>
    </row>
    <row r="1222" spans="1:13" x14ac:dyDescent="0.35">
      <c r="A1222" s="9">
        <v>3532</v>
      </c>
      <c r="B1222" s="9" t="s">
        <v>34</v>
      </c>
      <c r="C1222" s="9" t="s">
        <v>20</v>
      </c>
      <c r="D1222" s="9" t="s">
        <v>61</v>
      </c>
      <c r="E1222" s="9" t="s">
        <v>62</v>
      </c>
      <c r="F1222" s="9">
        <v>0</v>
      </c>
      <c r="G1222" s="9">
        <v>9244.9599999999991</v>
      </c>
      <c r="H1222" s="9">
        <v>0.47</v>
      </c>
      <c r="I1222" s="9">
        <v>0</v>
      </c>
      <c r="J1222" s="10">
        <v>45419</v>
      </c>
      <c r="K1222" s="9" t="s">
        <v>45</v>
      </c>
      <c r="L1222" s="9" t="s">
        <v>26</v>
      </c>
      <c r="M1222" s="9">
        <v>-955.19</v>
      </c>
    </row>
    <row r="1223" spans="1:13" x14ac:dyDescent="0.35">
      <c r="A1223" s="9">
        <v>3533</v>
      </c>
      <c r="B1223" s="9" t="s">
        <v>34</v>
      </c>
      <c r="C1223" s="9" t="s">
        <v>20</v>
      </c>
      <c r="D1223" s="9" t="s">
        <v>43</v>
      </c>
      <c r="E1223" s="9" t="s">
        <v>60</v>
      </c>
      <c r="F1223" s="9">
        <v>0</v>
      </c>
      <c r="G1223" s="9">
        <v>0</v>
      </c>
      <c r="H1223" s="9">
        <v>0</v>
      </c>
      <c r="I1223" s="9">
        <v>0</v>
      </c>
      <c r="J1223" s="10">
        <v>45235</v>
      </c>
      <c r="K1223" s="9" t="s">
        <v>44</v>
      </c>
      <c r="L1223" s="9" t="s">
        <v>32</v>
      </c>
      <c r="M1223" s="9">
        <v>451.71</v>
      </c>
    </row>
    <row r="1224" spans="1:13" x14ac:dyDescent="0.35">
      <c r="A1224" s="9">
        <v>3535</v>
      </c>
      <c r="B1224" s="9" t="s">
        <v>34</v>
      </c>
      <c r="C1224" s="9" t="s">
        <v>22</v>
      </c>
      <c r="D1224" s="9" t="s">
        <v>30</v>
      </c>
      <c r="E1224" s="9" t="s">
        <v>62</v>
      </c>
      <c r="F1224" s="9">
        <v>0</v>
      </c>
      <c r="G1224" s="9">
        <v>6302.89</v>
      </c>
      <c r="H1224" s="9">
        <v>0.82</v>
      </c>
      <c r="I1224" s="9">
        <v>0</v>
      </c>
      <c r="J1224" s="10">
        <v>45650</v>
      </c>
      <c r="K1224" s="9" t="s">
        <v>44</v>
      </c>
      <c r="L1224" s="9" t="s">
        <v>35</v>
      </c>
      <c r="M1224" s="9">
        <v>169.86</v>
      </c>
    </row>
    <row r="1225" spans="1:13" x14ac:dyDescent="0.35">
      <c r="A1225" s="9">
        <v>3536</v>
      </c>
      <c r="B1225" s="9" t="s">
        <v>28</v>
      </c>
      <c r="C1225" s="9" t="s">
        <v>21</v>
      </c>
      <c r="D1225" s="9" t="s">
        <v>71</v>
      </c>
      <c r="E1225" s="9" t="s">
        <v>59</v>
      </c>
      <c r="F1225" s="9">
        <v>0</v>
      </c>
      <c r="G1225" s="9">
        <v>3929.3</v>
      </c>
      <c r="H1225" s="9">
        <v>0</v>
      </c>
      <c r="I1225" s="9">
        <v>0</v>
      </c>
      <c r="J1225" s="10">
        <v>45627</v>
      </c>
      <c r="K1225" s="9" t="s">
        <v>44</v>
      </c>
      <c r="L1225" s="9" t="s">
        <v>25</v>
      </c>
      <c r="M1225" s="9">
        <v>3934.31</v>
      </c>
    </row>
    <row r="1226" spans="1:13" x14ac:dyDescent="0.35">
      <c r="A1226" s="9">
        <v>3537</v>
      </c>
      <c r="B1226" s="9" t="s">
        <v>31</v>
      </c>
      <c r="C1226" s="9" t="s">
        <v>21</v>
      </c>
      <c r="D1226" s="9" t="s">
        <v>36</v>
      </c>
      <c r="E1226" s="9" t="s">
        <v>62</v>
      </c>
      <c r="F1226" s="9">
        <v>2</v>
      </c>
      <c r="G1226" s="9">
        <v>5464.07</v>
      </c>
      <c r="H1226" s="9">
        <v>1.01</v>
      </c>
      <c r="I1226" s="9">
        <v>-109.28</v>
      </c>
      <c r="J1226" s="10">
        <v>45823</v>
      </c>
      <c r="K1226" s="9" t="s">
        <v>45</v>
      </c>
      <c r="L1226" s="9" t="s">
        <v>27</v>
      </c>
      <c r="M1226" s="9">
        <v>3170.78</v>
      </c>
    </row>
    <row r="1227" spans="1:13" x14ac:dyDescent="0.35">
      <c r="A1227" s="9">
        <v>3538</v>
      </c>
      <c r="B1227" s="9" t="s">
        <v>34</v>
      </c>
      <c r="C1227" s="9" t="s">
        <v>22</v>
      </c>
      <c r="D1227" s="9" t="s">
        <v>67</v>
      </c>
      <c r="E1227" s="9" t="s">
        <v>60</v>
      </c>
      <c r="F1227" s="9">
        <v>0</v>
      </c>
      <c r="G1227" s="9">
        <v>0</v>
      </c>
      <c r="H1227" s="9">
        <v>0</v>
      </c>
      <c r="I1227" s="9">
        <v>0</v>
      </c>
      <c r="J1227" s="10">
        <v>45638</v>
      </c>
      <c r="K1227" s="9" t="s">
        <v>45</v>
      </c>
      <c r="L1227" s="9" t="s">
        <v>25</v>
      </c>
      <c r="M1227" s="9">
        <v>2787.81</v>
      </c>
    </row>
    <row r="1228" spans="1:13" x14ac:dyDescent="0.35">
      <c r="A1228" s="9">
        <v>3539</v>
      </c>
      <c r="B1228" s="9" t="s">
        <v>34</v>
      </c>
      <c r="C1228" s="9" t="s">
        <v>21</v>
      </c>
      <c r="D1228" s="9" t="s">
        <v>40</v>
      </c>
      <c r="E1228" s="9" t="s">
        <v>62</v>
      </c>
      <c r="F1228" s="9">
        <v>3</v>
      </c>
      <c r="G1228" s="9">
        <v>7706.3</v>
      </c>
      <c r="H1228" s="9">
        <v>1.1499999999999999</v>
      </c>
      <c r="I1228" s="9">
        <v>-3467.83</v>
      </c>
      <c r="J1228" s="10">
        <v>45638</v>
      </c>
      <c r="K1228" s="9" t="s">
        <v>44</v>
      </c>
      <c r="L1228" s="9" t="s">
        <v>32</v>
      </c>
      <c r="M1228" s="9">
        <v>2366.58</v>
      </c>
    </row>
    <row r="1229" spans="1:13" x14ac:dyDescent="0.35">
      <c r="A1229" s="9">
        <v>3540</v>
      </c>
      <c r="B1229" s="9" t="s">
        <v>34</v>
      </c>
      <c r="C1229" s="9" t="s">
        <v>18</v>
      </c>
      <c r="D1229" s="9" t="s">
        <v>33</v>
      </c>
      <c r="E1229" s="9" t="s">
        <v>62</v>
      </c>
      <c r="F1229" s="9">
        <v>-1</v>
      </c>
      <c r="G1229" s="9">
        <v>9564.4</v>
      </c>
      <c r="H1229" s="9">
        <v>0</v>
      </c>
      <c r="I1229" s="9">
        <v>0</v>
      </c>
      <c r="J1229" s="10">
        <v>45793</v>
      </c>
      <c r="K1229" s="9" t="s">
        <v>44</v>
      </c>
      <c r="L1229" s="9" t="s">
        <v>29</v>
      </c>
      <c r="M1229" s="9">
        <v>1850.13</v>
      </c>
    </row>
    <row r="1230" spans="1:13" x14ac:dyDescent="0.35">
      <c r="A1230" s="9">
        <v>3541</v>
      </c>
      <c r="B1230" s="9" t="s">
        <v>34</v>
      </c>
      <c r="C1230" s="9" t="s">
        <v>18</v>
      </c>
      <c r="D1230" s="9" t="s">
        <v>37</v>
      </c>
      <c r="E1230" s="9" t="s">
        <v>59</v>
      </c>
      <c r="F1230" s="9">
        <v>-1</v>
      </c>
      <c r="G1230" s="9">
        <v>3644.5</v>
      </c>
      <c r="H1230" s="9">
        <v>0</v>
      </c>
      <c r="I1230" s="9">
        <v>0</v>
      </c>
      <c r="J1230" s="10">
        <v>45539</v>
      </c>
      <c r="K1230" s="9" t="s">
        <v>45</v>
      </c>
      <c r="L1230" s="9" t="s">
        <v>26</v>
      </c>
      <c r="M1230" s="9">
        <v>2011.76</v>
      </c>
    </row>
    <row r="1231" spans="1:13" x14ac:dyDescent="0.35">
      <c r="A1231" s="9">
        <v>3544</v>
      </c>
      <c r="B1231" s="9" t="s">
        <v>31</v>
      </c>
      <c r="C1231" s="9" t="s">
        <v>20</v>
      </c>
      <c r="D1231" s="9" t="s">
        <v>43</v>
      </c>
      <c r="E1231" s="9" t="s">
        <v>59</v>
      </c>
      <c r="F1231" s="9">
        <v>0</v>
      </c>
      <c r="G1231" s="9">
        <v>3923.39</v>
      </c>
      <c r="H1231" s="9">
        <v>0</v>
      </c>
      <c r="I1231" s="9">
        <v>0</v>
      </c>
      <c r="J1231" s="10">
        <v>45539</v>
      </c>
      <c r="K1231" s="9" t="s">
        <v>44</v>
      </c>
      <c r="L1231" s="9" t="s">
        <v>27</v>
      </c>
      <c r="M1231" s="9">
        <v>-684.88</v>
      </c>
    </row>
    <row r="1232" spans="1:13" x14ac:dyDescent="0.35">
      <c r="A1232" s="9">
        <v>3545</v>
      </c>
      <c r="B1232" s="9" t="s">
        <v>31</v>
      </c>
      <c r="C1232" s="9" t="s">
        <v>18</v>
      </c>
      <c r="D1232" s="9" t="s">
        <v>33</v>
      </c>
      <c r="E1232" s="9" t="s">
        <v>59</v>
      </c>
      <c r="F1232" s="9">
        <v>3</v>
      </c>
      <c r="G1232" s="9">
        <v>0</v>
      </c>
      <c r="H1232" s="9">
        <v>0</v>
      </c>
      <c r="I1232" s="9">
        <v>0</v>
      </c>
      <c r="J1232" s="10">
        <v>45141</v>
      </c>
      <c r="K1232" s="9" t="s">
        <v>45</v>
      </c>
      <c r="L1232" s="9" t="s">
        <v>29</v>
      </c>
      <c r="M1232" s="9">
        <v>2239.86</v>
      </c>
    </row>
    <row r="1233" spans="1:13" x14ac:dyDescent="0.35">
      <c r="A1233" s="9">
        <v>3546</v>
      </c>
      <c r="B1233" s="9" t="s">
        <v>31</v>
      </c>
      <c r="C1233" s="9" t="s">
        <v>21</v>
      </c>
      <c r="D1233" s="9" t="s">
        <v>64</v>
      </c>
      <c r="E1233" s="9" t="s">
        <v>60</v>
      </c>
      <c r="F1233" s="9">
        <v>0</v>
      </c>
      <c r="G1233" s="9">
        <v>0</v>
      </c>
      <c r="H1233" s="9">
        <v>0</v>
      </c>
      <c r="I1233" s="9">
        <v>0</v>
      </c>
      <c r="J1233" s="10">
        <v>45141</v>
      </c>
      <c r="K1233" s="9" t="s">
        <v>44</v>
      </c>
      <c r="L1233" s="9" t="s">
        <v>29</v>
      </c>
      <c r="M1233" s="9">
        <v>945.11</v>
      </c>
    </row>
    <row r="1234" spans="1:13" x14ac:dyDescent="0.35">
      <c r="A1234" s="9">
        <v>3547</v>
      </c>
      <c r="B1234" s="9" t="s">
        <v>34</v>
      </c>
      <c r="C1234" s="9" t="s">
        <v>19</v>
      </c>
      <c r="D1234" s="9" t="s">
        <v>42</v>
      </c>
      <c r="E1234" s="9" t="s">
        <v>62</v>
      </c>
      <c r="F1234" s="9">
        <v>4</v>
      </c>
      <c r="G1234" s="9">
        <v>0</v>
      </c>
      <c r="H1234" s="9">
        <v>0</v>
      </c>
      <c r="I1234" s="9">
        <v>0</v>
      </c>
      <c r="J1234" s="10">
        <v>45141</v>
      </c>
      <c r="K1234" s="9" t="s">
        <v>45</v>
      </c>
      <c r="L1234" s="9" t="s">
        <v>29</v>
      </c>
      <c r="M1234" s="9">
        <v>2157.7399999999998</v>
      </c>
    </row>
    <row r="1235" spans="1:13" x14ac:dyDescent="0.35">
      <c r="A1235" s="9">
        <v>3549</v>
      </c>
      <c r="B1235" s="9" t="s">
        <v>34</v>
      </c>
      <c r="C1235" s="9" t="s">
        <v>18</v>
      </c>
      <c r="D1235" s="9" t="s">
        <v>37</v>
      </c>
      <c r="E1235" s="9" t="s">
        <v>60</v>
      </c>
      <c r="F1235" s="9">
        <v>0</v>
      </c>
      <c r="G1235" s="9">
        <v>4493.0200000000004</v>
      </c>
      <c r="H1235" s="9">
        <v>0.81</v>
      </c>
      <c r="I1235" s="9">
        <v>0</v>
      </c>
      <c r="J1235" s="10">
        <v>45141</v>
      </c>
      <c r="K1235" s="9" t="s">
        <v>45</v>
      </c>
      <c r="L1235" s="9" t="s">
        <v>26</v>
      </c>
      <c r="M1235" s="9">
        <v>14.79</v>
      </c>
    </row>
    <row r="1236" spans="1:13" x14ac:dyDescent="0.35">
      <c r="A1236" s="9">
        <v>3550</v>
      </c>
      <c r="B1236" s="9" t="s">
        <v>28</v>
      </c>
      <c r="C1236" s="9" t="s">
        <v>21</v>
      </c>
      <c r="D1236" s="9" t="s">
        <v>40</v>
      </c>
      <c r="E1236" s="9" t="s">
        <v>59</v>
      </c>
      <c r="F1236" s="9">
        <v>0</v>
      </c>
      <c r="G1236" s="9">
        <v>8645.09</v>
      </c>
      <c r="H1236" s="9">
        <v>0</v>
      </c>
      <c r="I1236" s="9">
        <v>0</v>
      </c>
      <c r="J1236" s="10">
        <v>45141</v>
      </c>
      <c r="K1236" s="9" t="s">
        <v>45</v>
      </c>
      <c r="L1236" s="9" t="s">
        <v>25</v>
      </c>
      <c r="M1236" s="9">
        <v>3289.86</v>
      </c>
    </row>
    <row r="1237" spans="1:13" x14ac:dyDescent="0.35">
      <c r="A1237" s="9">
        <v>3551</v>
      </c>
      <c r="B1237" s="9" t="s">
        <v>28</v>
      </c>
      <c r="C1237" s="9" t="s">
        <v>18</v>
      </c>
      <c r="D1237" s="9" t="s">
        <v>37</v>
      </c>
      <c r="E1237" s="9" t="s">
        <v>59</v>
      </c>
      <c r="F1237" s="9">
        <v>0</v>
      </c>
      <c r="G1237" s="9">
        <v>9948.15</v>
      </c>
      <c r="H1237" s="9">
        <v>1.1200000000000001</v>
      </c>
      <c r="I1237" s="9">
        <v>0</v>
      </c>
      <c r="J1237" s="10">
        <v>45140</v>
      </c>
      <c r="K1237" s="9" t="s">
        <v>44</v>
      </c>
      <c r="L1237" s="9" t="s">
        <v>27</v>
      </c>
      <c r="M1237" s="9">
        <v>-259.16000000000003</v>
      </c>
    </row>
    <row r="1238" spans="1:13" x14ac:dyDescent="0.35">
      <c r="A1238" s="9">
        <v>3552</v>
      </c>
      <c r="B1238" s="9" t="s">
        <v>31</v>
      </c>
      <c r="C1238" s="9" t="s">
        <v>20</v>
      </c>
      <c r="D1238" s="9" t="s">
        <v>61</v>
      </c>
      <c r="E1238" s="9" t="s">
        <v>62</v>
      </c>
      <c r="F1238" s="9">
        <v>4</v>
      </c>
      <c r="G1238" s="9">
        <v>0</v>
      </c>
      <c r="H1238" s="9">
        <v>0</v>
      </c>
      <c r="I1238" s="9">
        <v>0</v>
      </c>
      <c r="J1238" s="10">
        <v>45794</v>
      </c>
      <c r="K1238" s="9" t="s">
        <v>44</v>
      </c>
      <c r="L1238" s="9" t="s">
        <v>26</v>
      </c>
      <c r="M1238" s="9">
        <v>762.95</v>
      </c>
    </row>
    <row r="1239" spans="1:13" x14ac:dyDescent="0.35">
      <c r="A1239" s="9">
        <v>3553</v>
      </c>
      <c r="B1239" s="9" t="s">
        <v>28</v>
      </c>
      <c r="C1239" s="9" t="s">
        <v>20</v>
      </c>
      <c r="D1239" s="9" t="s">
        <v>43</v>
      </c>
      <c r="E1239" s="9" t="s">
        <v>62</v>
      </c>
      <c r="F1239" s="9">
        <v>2</v>
      </c>
      <c r="G1239" s="9">
        <v>5216.2700000000004</v>
      </c>
      <c r="H1239" s="9">
        <v>0</v>
      </c>
      <c r="I1239" s="9">
        <v>0</v>
      </c>
      <c r="J1239" s="10">
        <v>45833</v>
      </c>
      <c r="K1239" s="9" t="s">
        <v>45</v>
      </c>
      <c r="L1239" s="9" t="s">
        <v>35</v>
      </c>
      <c r="M1239" s="9">
        <v>-720.87</v>
      </c>
    </row>
    <row r="1240" spans="1:13" x14ac:dyDescent="0.35">
      <c r="A1240" s="9">
        <v>3554</v>
      </c>
      <c r="B1240" s="9" t="s">
        <v>31</v>
      </c>
      <c r="C1240" s="9" t="s">
        <v>19</v>
      </c>
      <c r="D1240" s="9" t="s">
        <v>39</v>
      </c>
      <c r="E1240" s="9" t="s">
        <v>60</v>
      </c>
      <c r="F1240" s="9">
        <v>0</v>
      </c>
      <c r="G1240" s="9">
        <v>0</v>
      </c>
      <c r="H1240" s="9">
        <v>0</v>
      </c>
      <c r="I1240" s="9">
        <v>0</v>
      </c>
      <c r="J1240" s="10">
        <v>45833</v>
      </c>
      <c r="K1240" s="9" t="s">
        <v>44</v>
      </c>
      <c r="L1240" s="9" t="s">
        <v>25</v>
      </c>
      <c r="M1240" s="9">
        <v>2052.71</v>
      </c>
    </row>
    <row r="1241" spans="1:13" x14ac:dyDescent="0.35">
      <c r="A1241" s="9">
        <v>3555</v>
      </c>
      <c r="B1241" s="9" t="s">
        <v>34</v>
      </c>
      <c r="C1241" s="9" t="s">
        <v>19</v>
      </c>
      <c r="D1241" s="9" t="s">
        <v>69</v>
      </c>
      <c r="E1241" s="9" t="s">
        <v>59</v>
      </c>
      <c r="F1241" s="9">
        <v>2</v>
      </c>
      <c r="G1241" s="9">
        <v>0</v>
      </c>
      <c r="H1241" s="9">
        <v>0</v>
      </c>
      <c r="I1241" s="9">
        <v>0</v>
      </c>
      <c r="J1241" s="10">
        <v>45773</v>
      </c>
      <c r="K1241" s="9" t="s">
        <v>44</v>
      </c>
      <c r="L1241" s="9" t="s">
        <v>32</v>
      </c>
      <c r="M1241" s="9">
        <v>-1069.25</v>
      </c>
    </row>
    <row r="1242" spans="1:13" x14ac:dyDescent="0.35">
      <c r="A1242" s="9">
        <v>3556</v>
      </c>
      <c r="B1242" s="9" t="s">
        <v>28</v>
      </c>
      <c r="C1242" s="9" t="s">
        <v>22</v>
      </c>
      <c r="D1242" s="9" t="s">
        <v>67</v>
      </c>
      <c r="E1242" s="9" t="s">
        <v>59</v>
      </c>
      <c r="F1242" s="9">
        <v>4</v>
      </c>
      <c r="G1242" s="9">
        <v>0</v>
      </c>
      <c r="H1242" s="9">
        <v>0</v>
      </c>
      <c r="I1242" s="9">
        <v>0</v>
      </c>
      <c r="J1242" s="10">
        <v>45729</v>
      </c>
      <c r="K1242" s="9" t="s">
        <v>44</v>
      </c>
      <c r="L1242" s="9" t="s">
        <v>27</v>
      </c>
      <c r="M1242" s="9">
        <v>-843.61</v>
      </c>
    </row>
    <row r="1243" spans="1:13" x14ac:dyDescent="0.35">
      <c r="A1243" s="9">
        <v>3557</v>
      </c>
      <c r="B1243" s="9" t="s">
        <v>34</v>
      </c>
      <c r="C1243" s="9" t="s">
        <v>22</v>
      </c>
      <c r="D1243" s="9" t="s">
        <v>65</v>
      </c>
      <c r="E1243" s="9" t="s">
        <v>60</v>
      </c>
      <c r="F1243" s="9">
        <v>1</v>
      </c>
      <c r="G1243" s="9">
        <v>0</v>
      </c>
      <c r="H1243" s="9">
        <v>0.66</v>
      </c>
      <c r="I1243" s="9">
        <v>0</v>
      </c>
      <c r="J1243" s="10">
        <v>45513</v>
      </c>
      <c r="K1243" s="9" t="s">
        <v>44</v>
      </c>
      <c r="L1243" s="9" t="s">
        <v>32</v>
      </c>
      <c r="M1243" s="9">
        <v>-884.81</v>
      </c>
    </row>
    <row r="1244" spans="1:13" x14ac:dyDescent="0.35">
      <c r="A1244" s="9">
        <v>3558</v>
      </c>
      <c r="B1244" s="9" t="s">
        <v>28</v>
      </c>
      <c r="C1244" s="9" t="s">
        <v>18</v>
      </c>
      <c r="D1244" s="9" t="s">
        <v>33</v>
      </c>
      <c r="E1244" s="9" t="s">
        <v>60</v>
      </c>
      <c r="F1244" s="9">
        <v>4</v>
      </c>
      <c r="G1244" s="9">
        <v>4045.21</v>
      </c>
      <c r="H1244" s="9">
        <v>0</v>
      </c>
      <c r="I1244" s="9">
        <v>0</v>
      </c>
      <c r="J1244" s="10">
        <v>45534</v>
      </c>
      <c r="K1244" s="9" t="s">
        <v>45</v>
      </c>
      <c r="L1244" s="9" t="s">
        <v>26</v>
      </c>
      <c r="M1244" s="9">
        <v>-113.44</v>
      </c>
    </row>
    <row r="1245" spans="1:13" x14ac:dyDescent="0.35">
      <c r="A1245" s="9">
        <v>3559</v>
      </c>
      <c r="B1245" s="9" t="s">
        <v>28</v>
      </c>
      <c r="C1245" s="9" t="s">
        <v>20</v>
      </c>
      <c r="D1245" s="9" t="s">
        <v>70</v>
      </c>
      <c r="E1245" s="9" t="s">
        <v>59</v>
      </c>
      <c r="F1245" s="9">
        <v>0</v>
      </c>
      <c r="G1245" s="9">
        <v>0</v>
      </c>
      <c r="H1245" s="9">
        <v>0</v>
      </c>
      <c r="I1245" s="9">
        <v>0</v>
      </c>
      <c r="J1245" s="10">
        <v>45534</v>
      </c>
      <c r="K1245" s="9" t="s">
        <v>45</v>
      </c>
      <c r="L1245" s="9" t="s">
        <v>29</v>
      </c>
      <c r="M1245" s="9">
        <v>-787.01</v>
      </c>
    </row>
    <row r="1246" spans="1:13" x14ac:dyDescent="0.35">
      <c r="A1246" s="9">
        <v>3561</v>
      </c>
      <c r="B1246" s="9" t="s">
        <v>28</v>
      </c>
      <c r="C1246" s="9" t="s">
        <v>22</v>
      </c>
      <c r="D1246" s="9" t="s">
        <v>68</v>
      </c>
      <c r="E1246" s="9" t="s">
        <v>59</v>
      </c>
      <c r="F1246" s="9">
        <v>0</v>
      </c>
      <c r="G1246" s="9">
        <v>0</v>
      </c>
      <c r="H1246" s="9">
        <v>0</v>
      </c>
      <c r="I1246" s="9">
        <v>0</v>
      </c>
      <c r="J1246" s="10">
        <v>45497</v>
      </c>
      <c r="K1246" s="9" t="s">
        <v>45</v>
      </c>
      <c r="L1246" s="9" t="s">
        <v>27</v>
      </c>
      <c r="M1246" s="9">
        <v>1062.3900000000001</v>
      </c>
    </row>
    <row r="1247" spans="1:13" x14ac:dyDescent="0.35">
      <c r="A1247" s="9">
        <v>3563</v>
      </c>
      <c r="B1247" s="9" t="s">
        <v>34</v>
      </c>
      <c r="C1247" s="9" t="s">
        <v>20</v>
      </c>
      <c r="D1247" s="9" t="s">
        <v>70</v>
      </c>
      <c r="E1247" s="9" t="s">
        <v>60</v>
      </c>
      <c r="F1247" s="9">
        <v>0</v>
      </c>
      <c r="G1247" s="9">
        <v>2470.4299999999998</v>
      </c>
      <c r="H1247" s="9">
        <v>0</v>
      </c>
      <c r="I1247" s="9">
        <v>0</v>
      </c>
      <c r="J1247" s="10">
        <v>45497</v>
      </c>
      <c r="K1247" s="9" t="s">
        <v>45</v>
      </c>
      <c r="L1247" s="9" t="s">
        <v>27</v>
      </c>
      <c r="M1247" s="9">
        <v>233.05</v>
      </c>
    </row>
    <row r="1248" spans="1:13" x14ac:dyDescent="0.35">
      <c r="A1248" s="9">
        <v>3564</v>
      </c>
      <c r="B1248" s="9" t="s">
        <v>34</v>
      </c>
      <c r="C1248" s="9" t="s">
        <v>19</v>
      </c>
      <c r="D1248" s="9" t="s">
        <v>39</v>
      </c>
      <c r="E1248" s="9" t="s">
        <v>59</v>
      </c>
      <c r="F1248" s="9">
        <v>0</v>
      </c>
      <c r="G1248" s="9">
        <v>0</v>
      </c>
      <c r="H1248" s="9">
        <v>0</v>
      </c>
      <c r="I1248" s="9">
        <v>0</v>
      </c>
      <c r="J1248" s="10">
        <v>45497</v>
      </c>
      <c r="K1248" s="9" t="s">
        <v>44</v>
      </c>
      <c r="L1248" s="9" t="s">
        <v>27</v>
      </c>
      <c r="M1248" s="9">
        <v>2685.43</v>
      </c>
    </row>
    <row r="1249" spans="1:13" x14ac:dyDescent="0.35">
      <c r="A1249" s="9">
        <v>3565</v>
      </c>
      <c r="B1249" s="9" t="s">
        <v>34</v>
      </c>
      <c r="C1249" s="9" t="s">
        <v>22</v>
      </c>
      <c r="D1249" s="9" t="s">
        <v>67</v>
      </c>
      <c r="E1249" s="9" t="s">
        <v>62</v>
      </c>
      <c r="F1249" s="9">
        <v>0</v>
      </c>
      <c r="G1249" s="9">
        <v>0</v>
      </c>
      <c r="H1249" s="9">
        <v>0.55000000000000004</v>
      </c>
      <c r="I1249" s="9">
        <v>0</v>
      </c>
      <c r="J1249" s="10">
        <v>45531</v>
      </c>
      <c r="K1249" s="9" t="s">
        <v>45</v>
      </c>
      <c r="L1249" s="9" t="s">
        <v>27</v>
      </c>
      <c r="M1249" s="9">
        <v>3851.81</v>
      </c>
    </row>
    <row r="1250" spans="1:13" x14ac:dyDescent="0.35">
      <c r="A1250" s="9">
        <v>3566</v>
      </c>
      <c r="B1250" s="9" t="s">
        <v>31</v>
      </c>
      <c r="C1250" s="9" t="s">
        <v>21</v>
      </c>
      <c r="D1250" s="9" t="s">
        <v>64</v>
      </c>
      <c r="E1250" s="9" t="s">
        <v>62</v>
      </c>
      <c r="F1250" s="9">
        <v>0</v>
      </c>
      <c r="G1250" s="9">
        <v>0</v>
      </c>
      <c r="H1250" s="9">
        <v>0</v>
      </c>
      <c r="I1250" s="9">
        <v>0</v>
      </c>
      <c r="J1250" s="10">
        <v>45638</v>
      </c>
      <c r="K1250" s="9" t="s">
        <v>44</v>
      </c>
      <c r="L1250" s="9" t="s">
        <v>32</v>
      </c>
      <c r="M1250" s="9">
        <v>2315.64</v>
      </c>
    </row>
    <row r="1251" spans="1:13" x14ac:dyDescent="0.35">
      <c r="A1251" s="9">
        <v>3567</v>
      </c>
      <c r="B1251" s="9" t="s">
        <v>31</v>
      </c>
      <c r="C1251" s="9" t="s">
        <v>21</v>
      </c>
      <c r="D1251" s="9" t="s">
        <v>40</v>
      </c>
      <c r="E1251" s="9" t="s">
        <v>60</v>
      </c>
      <c r="F1251" s="9">
        <v>2</v>
      </c>
      <c r="G1251" s="9">
        <v>0</v>
      </c>
      <c r="H1251" s="9">
        <v>0.56000000000000005</v>
      </c>
      <c r="I1251" s="9">
        <v>0</v>
      </c>
      <c r="J1251" s="10">
        <v>45638</v>
      </c>
      <c r="K1251" s="9" t="s">
        <v>45</v>
      </c>
      <c r="L1251" s="9" t="s">
        <v>27</v>
      </c>
      <c r="M1251" s="9">
        <v>1353.32</v>
      </c>
    </row>
    <row r="1252" spans="1:13" x14ac:dyDescent="0.35">
      <c r="A1252" s="9">
        <v>3568</v>
      </c>
      <c r="B1252" s="9" t="s">
        <v>28</v>
      </c>
      <c r="C1252" s="9" t="s">
        <v>20</v>
      </c>
      <c r="D1252" s="9" t="s">
        <v>70</v>
      </c>
      <c r="E1252" s="9" t="s">
        <v>60</v>
      </c>
      <c r="F1252" s="9">
        <v>0</v>
      </c>
      <c r="G1252" s="9">
        <v>6099.8</v>
      </c>
      <c r="H1252" s="9">
        <v>1.2</v>
      </c>
      <c r="I1252" s="9">
        <v>0</v>
      </c>
      <c r="J1252" s="10">
        <v>45638</v>
      </c>
      <c r="K1252" s="9" t="s">
        <v>44</v>
      </c>
      <c r="L1252" s="9" t="s">
        <v>35</v>
      </c>
      <c r="M1252" s="9">
        <v>1494.24</v>
      </c>
    </row>
    <row r="1253" spans="1:13" x14ac:dyDescent="0.35">
      <c r="A1253" s="9">
        <v>3569</v>
      </c>
      <c r="B1253" s="9" t="s">
        <v>28</v>
      </c>
      <c r="C1253" s="9" t="s">
        <v>19</v>
      </c>
      <c r="D1253" s="9" t="s">
        <v>69</v>
      </c>
      <c r="E1253" s="9" t="s">
        <v>59</v>
      </c>
      <c r="F1253" s="9">
        <v>0</v>
      </c>
      <c r="G1253" s="9">
        <v>9203</v>
      </c>
      <c r="H1253" s="9">
        <v>0</v>
      </c>
      <c r="I1253" s="9">
        <v>0</v>
      </c>
      <c r="J1253" s="10">
        <v>45516</v>
      </c>
      <c r="K1253" s="9" t="s">
        <v>45</v>
      </c>
      <c r="L1253" s="9" t="s">
        <v>27</v>
      </c>
      <c r="M1253" s="9">
        <v>1797.66</v>
      </c>
    </row>
    <row r="1254" spans="1:13" x14ac:dyDescent="0.35">
      <c r="A1254" s="9">
        <v>3571</v>
      </c>
      <c r="B1254" s="9" t="s">
        <v>34</v>
      </c>
      <c r="C1254" s="9" t="s">
        <v>22</v>
      </c>
      <c r="D1254" s="9" t="s">
        <v>30</v>
      </c>
      <c r="E1254" s="9" t="s">
        <v>62</v>
      </c>
      <c r="F1254" s="9">
        <v>0</v>
      </c>
      <c r="G1254" s="9">
        <v>7596.71</v>
      </c>
      <c r="H1254" s="9">
        <v>0</v>
      </c>
      <c r="I1254" s="9">
        <v>0</v>
      </c>
      <c r="J1254" s="10">
        <v>45516</v>
      </c>
      <c r="K1254" s="9" t="s">
        <v>45</v>
      </c>
      <c r="L1254" s="9" t="s">
        <v>29</v>
      </c>
      <c r="M1254" s="9">
        <v>166.47</v>
      </c>
    </row>
    <row r="1255" spans="1:13" x14ac:dyDescent="0.35">
      <c r="A1255" s="9">
        <v>3572</v>
      </c>
      <c r="B1255" s="9" t="s">
        <v>34</v>
      </c>
      <c r="C1255" s="9" t="s">
        <v>22</v>
      </c>
      <c r="D1255" s="9" t="s">
        <v>30</v>
      </c>
      <c r="E1255" s="9" t="s">
        <v>59</v>
      </c>
      <c r="F1255" s="9">
        <v>0</v>
      </c>
      <c r="G1255" s="9">
        <v>0</v>
      </c>
      <c r="H1255" s="9">
        <v>0</v>
      </c>
      <c r="I1255" s="9">
        <v>0</v>
      </c>
      <c r="J1255" s="10">
        <v>45516</v>
      </c>
      <c r="K1255" s="9" t="s">
        <v>44</v>
      </c>
      <c r="L1255" s="9" t="s">
        <v>29</v>
      </c>
      <c r="M1255" s="9">
        <v>3729.45</v>
      </c>
    </row>
    <row r="1256" spans="1:13" x14ac:dyDescent="0.35">
      <c r="A1256" s="9">
        <v>3574</v>
      </c>
      <c r="B1256" s="9" t="s">
        <v>34</v>
      </c>
      <c r="C1256" s="9" t="s">
        <v>22</v>
      </c>
      <c r="D1256" s="9" t="s">
        <v>65</v>
      </c>
      <c r="E1256" s="9" t="s">
        <v>62</v>
      </c>
      <c r="F1256" s="9">
        <v>0</v>
      </c>
      <c r="G1256" s="9">
        <v>0</v>
      </c>
      <c r="H1256" s="9">
        <v>0.96</v>
      </c>
      <c r="I1256" s="9">
        <v>0</v>
      </c>
      <c r="J1256" s="10">
        <v>45670</v>
      </c>
      <c r="K1256" s="9" t="s">
        <v>45</v>
      </c>
      <c r="L1256" s="9" t="s">
        <v>25</v>
      </c>
      <c r="M1256" s="9">
        <v>2589</v>
      </c>
    </row>
    <row r="1257" spans="1:13" x14ac:dyDescent="0.35">
      <c r="A1257" s="9">
        <v>3575</v>
      </c>
      <c r="B1257" s="9" t="s">
        <v>28</v>
      </c>
      <c r="C1257" s="9" t="s">
        <v>20</v>
      </c>
      <c r="D1257" s="9" t="s">
        <v>61</v>
      </c>
      <c r="E1257" s="9" t="s">
        <v>62</v>
      </c>
      <c r="F1257" s="9">
        <v>0</v>
      </c>
      <c r="G1257" s="9">
        <v>5716.18</v>
      </c>
      <c r="H1257" s="9">
        <v>1.1000000000000001</v>
      </c>
      <c r="I1257" s="9">
        <v>0</v>
      </c>
      <c r="J1257" s="10">
        <v>45841</v>
      </c>
      <c r="K1257" s="9" t="s">
        <v>44</v>
      </c>
      <c r="L1257" s="9" t="s">
        <v>35</v>
      </c>
      <c r="M1257" s="9">
        <v>3271.27</v>
      </c>
    </row>
    <row r="1258" spans="1:13" x14ac:dyDescent="0.35">
      <c r="A1258" s="9">
        <v>3576</v>
      </c>
      <c r="B1258" s="9" t="s">
        <v>28</v>
      </c>
      <c r="C1258" s="9" t="s">
        <v>21</v>
      </c>
      <c r="D1258" s="9" t="s">
        <v>64</v>
      </c>
      <c r="E1258" s="9" t="s">
        <v>59</v>
      </c>
      <c r="F1258" s="9">
        <v>2</v>
      </c>
      <c r="G1258" s="9">
        <v>3533.18</v>
      </c>
      <c r="H1258" s="9">
        <v>0</v>
      </c>
      <c r="I1258" s="9">
        <v>0</v>
      </c>
      <c r="J1258" s="10">
        <v>45368</v>
      </c>
      <c r="K1258" s="9" t="s">
        <v>44</v>
      </c>
      <c r="L1258" s="9" t="s">
        <v>25</v>
      </c>
      <c r="M1258" s="9">
        <v>-586.23</v>
      </c>
    </row>
    <row r="1259" spans="1:13" x14ac:dyDescent="0.35">
      <c r="A1259" s="9">
        <v>3577</v>
      </c>
      <c r="B1259" s="9" t="s">
        <v>28</v>
      </c>
      <c r="C1259" s="9" t="s">
        <v>20</v>
      </c>
      <c r="D1259" s="9" t="s">
        <v>70</v>
      </c>
      <c r="E1259" s="9" t="s">
        <v>62</v>
      </c>
      <c r="F1259" s="9">
        <v>0</v>
      </c>
      <c r="G1259" s="9">
        <v>0</v>
      </c>
      <c r="H1259" s="9">
        <v>0</v>
      </c>
      <c r="I1259" s="9">
        <v>0</v>
      </c>
      <c r="J1259" s="10">
        <v>45584</v>
      </c>
      <c r="K1259" s="9" t="s">
        <v>45</v>
      </c>
      <c r="L1259" s="9" t="s">
        <v>27</v>
      </c>
      <c r="M1259" s="9">
        <v>102.77</v>
      </c>
    </row>
    <row r="1260" spans="1:13" x14ac:dyDescent="0.35">
      <c r="A1260" s="9">
        <v>3578</v>
      </c>
      <c r="B1260" s="9" t="s">
        <v>31</v>
      </c>
      <c r="C1260" s="9" t="s">
        <v>21</v>
      </c>
      <c r="D1260" s="9" t="s">
        <v>36</v>
      </c>
      <c r="E1260" s="9" t="s">
        <v>62</v>
      </c>
      <c r="F1260" s="9">
        <v>4</v>
      </c>
      <c r="G1260" s="9">
        <v>6348.19</v>
      </c>
      <c r="H1260" s="9">
        <v>0</v>
      </c>
      <c r="I1260" s="9">
        <v>0</v>
      </c>
      <c r="J1260" s="10">
        <v>45584</v>
      </c>
      <c r="K1260" s="9" t="s">
        <v>44</v>
      </c>
      <c r="L1260" s="9" t="s">
        <v>32</v>
      </c>
      <c r="M1260" s="9">
        <v>1939.74</v>
      </c>
    </row>
    <row r="1261" spans="1:13" x14ac:dyDescent="0.35">
      <c r="A1261" s="9">
        <v>3579</v>
      </c>
      <c r="B1261" s="9" t="s">
        <v>31</v>
      </c>
      <c r="C1261" s="9" t="s">
        <v>22</v>
      </c>
      <c r="D1261" s="9" t="s">
        <v>30</v>
      </c>
      <c r="E1261" s="9" t="s">
        <v>62</v>
      </c>
      <c r="F1261" s="9">
        <v>0</v>
      </c>
      <c r="G1261" s="9">
        <v>9995.5499999999993</v>
      </c>
      <c r="H1261" s="9">
        <v>0</v>
      </c>
      <c r="I1261" s="9">
        <v>0</v>
      </c>
      <c r="J1261" s="10">
        <v>45691</v>
      </c>
      <c r="K1261" s="9" t="s">
        <v>44</v>
      </c>
      <c r="L1261" s="9" t="s">
        <v>29</v>
      </c>
      <c r="M1261" s="9">
        <v>1962.41</v>
      </c>
    </row>
    <row r="1262" spans="1:13" x14ac:dyDescent="0.35">
      <c r="A1262" s="9">
        <v>3581</v>
      </c>
      <c r="B1262" s="9" t="s">
        <v>28</v>
      </c>
      <c r="C1262" s="9" t="s">
        <v>19</v>
      </c>
      <c r="D1262" s="9" t="s">
        <v>69</v>
      </c>
      <c r="E1262" s="9" t="s">
        <v>60</v>
      </c>
      <c r="F1262" s="9">
        <v>4</v>
      </c>
      <c r="G1262" s="9">
        <v>0</v>
      </c>
      <c r="H1262" s="9">
        <v>0</v>
      </c>
      <c r="I1262" s="9">
        <v>0</v>
      </c>
      <c r="J1262" s="10">
        <v>45649</v>
      </c>
      <c r="K1262" s="9" t="s">
        <v>44</v>
      </c>
      <c r="L1262" s="9" t="s">
        <v>27</v>
      </c>
      <c r="M1262" s="9">
        <v>2178.0500000000002</v>
      </c>
    </row>
    <row r="1263" spans="1:13" x14ac:dyDescent="0.35">
      <c r="A1263" s="9">
        <v>3582</v>
      </c>
      <c r="B1263" s="9" t="s">
        <v>34</v>
      </c>
      <c r="C1263" s="9" t="s">
        <v>19</v>
      </c>
      <c r="D1263" s="9" t="s">
        <v>63</v>
      </c>
      <c r="E1263" s="9" t="s">
        <v>59</v>
      </c>
      <c r="F1263" s="9">
        <v>0</v>
      </c>
      <c r="G1263" s="9">
        <v>2117.04</v>
      </c>
      <c r="H1263" s="9">
        <v>0</v>
      </c>
      <c r="I1263" s="9">
        <v>0</v>
      </c>
      <c r="J1263" s="10">
        <v>45536</v>
      </c>
      <c r="K1263" s="9" t="s">
        <v>45</v>
      </c>
      <c r="L1263" s="9" t="s">
        <v>35</v>
      </c>
      <c r="M1263" s="9">
        <v>806.52</v>
      </c>
    </row>
    <row r="1264" spans="1:13" x14ac:dyDescent="0.35">
      <c r="A1264" s="9">
        <v>3583</v>
      </c>
      <c r="B1264" s="9" t="s">
        <v>31</v>
      </c>
      <c r="C1264" s="9" t="s">
        <v>22</v>
      </c>
      <c r="D1264" s="9" t="s">
        <v>67</v>
      </c>
      <c r="E1264" s="9" t="s">
        <v>59</v>
      </c>
      <c r="F1264" s="9">
        <v>0</v>
      </c>
      <c r="G1264" s="9">
        <v>3153.32</v>
      </c>
      <c r="H1264" s="9">
        <v>0.02</v>
      </c>
      <c r="I1264" s="9">
        <v>0</v>
      </c>
      <c r="J1264" s="10">
        <v>45536</v>
      </c>
      <c r="K1264" s="9" t="s">
        <v>45</v>
      </c>
      <c r="L1264" s="9" t="s">
        <v>25</v>
      </c>
      <c r="M1264" s="9">
        <v>204.06</v>
      </c>
    </row>
    <row r="1265" spans="1:13" x14ac:dyDescent="0.35">
      <c r="A1265" s="9">
        <v>3584</v>
      </c>
      <c r="B1265" s="9" t="s">
        <v>31</v>
      </c>
      <c r="C1265" s="9" t="s">
        <v>22</v>
      </c>
      <c r="D1265" s="9" t="s">
        <v>65</v>
      </c>
      <c r="E1265" s="9" t="s">
        <v>59</v>
      </c>
      <c r="F1265" s="9">
        <v>0</v>
      </c>
      <c r="G1265" s="9">
        <v>3500.16</v>
      </c>
      <c r="H1265" s="9">
        <v>0</v>
      </c>
      <c r="I1265" s="9">
        <v>0</v>
      </c>
      <c r="J1265" s="10">
        <v>45735</v>
      </c>
      <c r="K1265" s="9" t="s">
        <v>45</v>
      </c>
      <c r="L1265" s="9" t="s">
        <v>27</v>
      </c>
      <c r="M1265" s="9">
        <v>-258.05</v>
      </c>
    </row>
    <row r="1266" spans="1:13" x14ac:dyDescent="0.35">
      <c r="A1266" s="9">
        <v>3585</v>
      </c>
      <c r="B1266" s="9" t="s">
        <v>31</v>
      </c>
      <c r="C1266" s="9" t="s">
        <v>20</v>
      </c>
      <c r="D1266" s="9" t="s">
        <v>43</v>
      </c>
      <c r="E1266" s="9" t="s">
        <v>62</v>
      </c>
      <c r="F1266" s="9">
        <v>0</v>
      </c>
      <c r="G1266" s="9">
        <v>0</v>
      </c>
      <c r="H1266" s="9">
        <v>0.52</v>
      </c>
      <c r="I1266" s="9">
        <v>0</v>
      </c>
      <c r="J1266" s="10">
        <v>45780</v>
      </c>
      <c r="K1266" s="9" t="s">
        <v>44</v>
      </c>
      <c r="L1266" s="9" t="s">
        <v>27</v>
      </c>
      <c r="M1266" s="9">
        <v>1263.9100000000001</v>
      </c>
    </row>
    <row r="1267" spans="1:13" x14ac:dyDescent="0.35">
      <c r="A1267" s="9">
        <v>3586</v>
      </c>
      <c r="B1267" s="9" t="s">
        <v>28</v>
      </c>
      <c r="C1267" s="9" t="s">
        <v>21</v>
      </c>
      <c r="D1267" s="9" t="s">
        <v>64</v>
      </c>
      <c r="E1267" s="9" t="s">
        <v>60</v>
      </c>
      <c r="F1267" s="9">
        <v>0</v>
      </c>
      <c r="G1267" s="9">
        <v>0</v>
      </c>
      <c r="H1267" s="9">
        <v>0</v>
      </c>
      <c r="I1267" s="9">
        <v>0</v>
      </c>
      <c r="J1267" s="10">
        <v>45640</v>
      </c>
      <c r="K1267" s="9" t="s">
        <v>45</v>
      </c>
      <c r="L1267" s="9" t="s">
        <v>29</v>
      </c>
      <c r="M1267" s="9">
        <v>3579.64</v>
      </c>
    </row>
    <row r="1268" spans="1:13" x14ac:dyDescent="0.35">
      <c r="A1268" s="9">
        <v>3587</v>
      </c>
      <c r="B1268" s="9" t="s">
        <v>31</v>
      </c>
      <c r="C1268" s="9" t="s">
        <v>18</v>
      </c>
      <c r="D1268" s="9" t="s">
        <v>37</v>
      </c>
      <c r="E1268" s="9" t="s">
        <v>59</v>
      </c>
      <c r="F1268" s="9">
        <v>0</v>
      </c>
      <c r="G1268" s="9">
        <v>0</v>
      </c>
      <c r="H1268" s="9">
        <v>0</v>
      </c>
      <c r="I1268" s="9">
        <v>0</v>
      </c>
      <c r="J1268" s="10">
        <v>45839</v>
      </c>
      <c r="K1268" s="9" t="s">
        <v>45</v>
      </c>
      <c r="L1268" s="9" t="s">
        <v>25</v>
      </c>
      <c r="M1268" s="9">
        <v>-1182.04</v>
      </c>
    </row>
    <row r="1269" spans="1:13" x14ac:dyDescent="0.35">
      <c r="A1269" s="9">
        <v>3588</v>
      </c>
      <c r="B1269" s="9" t="s">
        <v>31</v>
      </c>
      <c r="C1269" s="9" t="s">
        <v>21</v>
      </c>
      <c r="D1269" s="9" t="s">
        <v>64</v>
      </c>
      <c r="E1269" s="9" t="s">
        <v>60</v>
      </c>
      <c r="F1269" s="9">
        <v>0</v>
      </c>
      <c r="G1269" s="9">
        <v>7808.46</v>
      </c>
      <c r="H1269" s="9">
        <v>0</v>
      </c>
      <c r="I1269" s="9">
        <v>0</v>
      </c>
      <c r="J1269" s="10">
        <v>45533</v>
      </c>
      <c r="K1269" s="9" t="s">
        <v>45</v>
      </c>
      <c r="L1269" s="9" t="s">
        <v>35</v>
      </c>
      <c r="M1269" s="9">
        <v>3190.87</v>
      </c>
    </row>
    <row r="1270" spans="1:13" x14ac:dyDescent="0.35">
      <c r="A1270" s="9">
        <v>3589</v>
      </c>
      <c r="B1270" s="9" t="s">
        <v>34</v>
      </c>
      <c r="C1270" s="9" t="s">
        <v>18</v>
      </c>
      <c r="D1270" s="9" t="s">
        <v>33</v>
      </c>
      <c r="E1270" s="9" t="s">
        <v>59</v>
      </c>
      <c r="F1270" s="9">
        <v>0</v>
      </c>
      <c r="G1270" s="9">
        <v>0</v>
      </c>
      <c r="H1270" s="9">
        <v>0</v>
      </c>
      <c r="I1270" s="9">
        <v>0</v>
      </c>
      <c r="J1270" s="10">
        <v>45547</v>
      </c>
      <c r="K1270" s="9" t="s">
        <v>44</v>
      </c>
      <c r="L1270" s="9" t="s">
        <v>26</v>
      </c>
      <c r="M1270" s="9">
        <v>-247.69</v>
      </c>
    </row>
    <row r="1271" spans="1:13" x14ac:dyDescent="0.35">
      <c r="A1271" s="9">
        <v>3591</v>
      </c>
      <c r="B1271" s="9" t="s">
        <v>34</v>
      </c>
      <c r="C1271" s="9" t="s">
        <v>20</v>
      </c>
      <c r="D1271" s="9" t="s">
        <v>70</v>
      </c>
      <c r="E1271" s="9" t="s">
        <v>59</v>
      </c>
      <c r="F1271" s="9">
        <v>0</v>
      </c>
      <c r="G1271" s="9">
        <v>3718.65</v>
      </c>
      <c r="H1271" s="9">
        <v>1.1000000000000001</v>
      </c>
      <c r="I1271" s="9">
        <v>0</v>
      </c>
      <c r="J1271" s="10">
        <v>45604</v>
      </c>
      <c r="K1271" s="9" t="s">
        <v>44</v>
      </c>
      <c r="L1271" s="9" t="s">
        <v>29</v>
      </c>
      <c r="M1271" s="9">
        <v>2210.66</v>
      </c>
    </row>
    <row r="1272" spans="1:13" x14ac:dyDescent="0.35">
      <c r="A1272" s="9">
        <v>3592</v>
      </c>
      <c r="B1272" s="9" t="s">
        <v>28</v>
      </c>
      <c r="C1272" s="9" t="s">
        <v>20</v>
      </c>
      <c r="D1272" s="9" t="s">
        <v>66</v>
      </c>
      <c r="E1272" s="9" t="s">
        <v>60</v>
      </c>
      <c r="F1272" s="9">
        <v>0</v>
      </c>
      <c r="G1272" s="9">
        <v>8609.0499999999993</v>
      </c>
      <c r="H1272" s="9">
        <v>0</v>
      </c>
      <c r="I1272" s="9">
        <v>0</v>
      </c>
      <c r="J1272" s="10">
        <v>45823</v>
      </c>
      <c r="K1272" s="9" t="s">
        <v>44</v>
      </c>
      <c r="L1272" s="9" t="s">
        <v>27</v>
      </c>
      <c r="M1272" s="9">
        <v>1289.77</v>
      </c>
    </row>
    <row r="1273" spans="1:13" x14ac:dyDescent="0.35">
      <c r="A1273" s="9">
        <v>3593</v>
      </c>
      <c r="B1273" s="9" t="s">
        <v>28</v>
      </c>
      <c r="C1273" s="9" t="s">
        <v>22</v>
      </c>
      <c r="D1273" s="9" t="s">
        <v>65</v>
      </c>
      <c r="E1273" s="9" t="s">
        <v>60</v>
      </c>
      <c r="F1273" s="9">
        <v>0</v>
      </c>
      <c r="G1273" s="9">
        <v>6452.43</v>
      </c>
      <c r="H1273" s="9">
        <v>0</v>
      </c>
      <c r="I1273" s="9">
        <v>0</v>
      </c>
      <c r="J1273" s="10">
        <v>45823</v>
      </c>
      <c r="K1273" s="9" t="s">
        <v>45</v>
      </c>
      <c r="L1273" s="9" t="s">
        <v>35</v>
      </c>
      <c r="M1273" s="9">
        <v>-1012.43</v>
      </c>
    </row>
    <row r="1274" spans="1:13" x14ac:dyDescent="0.35">
      <c r="A1274" s="9">
        <v>3595</v>
      </c>
      <c r="B1274" s="9" t="s">
        <v>34</v>
      </c>
      <c r="C1274" s="9" t="s">
        <v>20</v>
      </c>
      <c r="D1274" s="9" t="s">
        <v>43</v>
      </c>
      <c r="E1274" s="9" t="s">
        <v>60</v>
      </c>
      <c r="F1274" s="9">
        <v>0</v>
      </c>
      <c r="G1274" s="9">
        <v>6890.68</v>
      </c>
      <c r="H1274" s="9">
        <v>0</v>
      </c>
      <c r="I1274" s="9">
        <v>0</v>
      </c>
      <c r="J1274" s="10">
        <v>45174</v>
      </c>
      <c r="K1274" s="9" t="s">
        <v>45</v>
      </c>
      <c r="L1274" s="9" t="s">
        <v>35</v>
      </c>
      <c r="M1274" s="9">
        <v>3385.84</v>
      </c>
    </row>
    <row r="1275" spans="1:13" x14ac:dyDescent="0.35">
      <c r="A1275" s="9">
        <v>3596</v>
      </c>
      <c r="B1275" s="9" t="s">
        <v>31</v>
      </c>
      <c r="C1275" s="9" t="s">
        <v>18</v>
      </c>
      <c r="D1275" s="9" t="s">
        <v>41</v>
      </c>
      <c r="E1275" s="9" t="s">
        <v>59</v>
      </c>
      <c r="F1275" s="9">
        <v>2</v>
      </c>
      <c r="G1275" s="9">
        <v>0</v>
      </c>
      <c r="H1275" s="9">
        <v>0</v>
      </c>
      <c r="I1275" s="9">
        <v>0</v>
      </c>
      <c r="J1275" s="10">
        <v>45818</v>
      </c>
      <c r="K1275" s="9" t="s">
        <v>45</v>
      </c>
      <c r="L1275" s="9" t="s">
        <v>35</v>
      </c>
      <c r="M1275" s="9">
        <v>-66.97</v>
      </c>
    </row>
    <row r="1276" spans="1:13" x14ac:dyDescent="0.35">
      <c r="A1276" s="9">
        <v>3598</v>
      </c>
      <c r="B1276" s="9" t="s">
        <v>31</v>
      </c>
      <c r="C1276" s="9" t="s">
        <v>19</v>
      </c>
      <c r="D1276" s="9" t="s">
        <v>42</v>
      </c>
      <c r="E1276" s="9" t="s">
        <v>62</v>
      </c>
      <c r="F1276" s="9">
        <v>1</v>
      </c>
      <c r="G1276" s="9">
        <v>0</v>
      </c>
      <c r="H1276" s="9">
        <v>0</v>
      </c>
      <c r="I1276" s="9">
        <v>0</v>
      </c>
      <c r="J1276" s="10">
        <v>45818</v>
      </c>
      <c r="K1276" s="9" t="s">
        <v>45</v>
      </c>
      <c r="L1276" s="9" t="s">
        <v>29</v>
      </c>
      <c r="M1276" s="9">
        <v>-798.42</v>
      </c>
    </row>
    <row r="1277" spans="1:13" x14ac:dyDescent="0.35">
      <c r="A1277" s="9">
        <v>3599</v>
      </c>
      <c r="B1277" s="9" t="s">
        <v>34</v>
      </c>
      <c r="C1277" s="9" t="s">
        <v>18</v>
      </c>
      <c r="D1277" s="9" t="s">
        <v>33</v>
      </c>
      <c r="E1277" s="9" t="s">
        <v>60</v>
      </c>
      <c r="F1277" s="9">
        <v>0</v>
      </c>
      <c r="G1277" s="9">
        <v>0</v>
      </c>
      <c r="H1277" s="9">
        <v>0</v>
      </c>
      <c r="I1277" s="9">
        <v>0</v>
      </c>
      <c r="J1277" s="10">
        <v>45818</v>
      </c>
      <c r="K1277" s="9" t="s">
        <v>45</v>
      </c>
      <c r="L1277" s="9" t="s">
        <v>35</v>
      </c>
      <c r="M1277" s="9">
        <v>-1041.33</v>
      </c>
    </row>
    <row r="1278" spans="1:13" x14ac:dyDescent="0.35">
      <c r="A1278" s="9">
        <v>3601</v>
      </c>
      <c r="B1278" s="9" t="s">
        <v>28</v>
      </c>
      <c r="C1278" s="9" t="s">
        <v>20</v>
      </c>
      <c r="D1278" s="9" t="s">
        <v>66</v>
      </c>
      <c r="E1278" s="9" t="s">
        <v>62</v>
      </c>
      <c r="F1278" s="9">
        <v>2</v>
      </c>
      <c r="G1278" s="9">
        <v>4318.12</v>
      </c>
      <c r="H1278" s="9">
        <v>0</v>
      </c>
      <c r="I1278" s="9">
        <v>0</v>
      </c>
      <c r="J1278" s="10">
        <v>45818</v>
      </c>
      <c r="K1278" s="9" t="s">
        <v>44</v>
      </c>
      <c r="L1278" s="9" t="s">
        <v>35</v>
      </c>
      <c r="M1278" s="9">
        <v>2730.68</v>
      </c>
    </row>
    <row r="1279" spans="1:13" x14ac:dyDescent="0.35">
      <c r="A1279" s="9">
        <v>3602</v>
      </c>
      <c r="B1279" s="9" t="s">
        <v>31</v>
      </c>
      <c r="C1279" s="9" t="s">
        <v>19</v>
      </c>
      <c r="D1279" s="9" t="s">
        <v>42</v>
      </c>
      <c r="E1279" s="9" t="s">
        <v>62</v>
      </c>
      <c r="F1279" s="9">
        <v>-1</v>
      </c>
      <c r="G1279" s="9">
        <v>0</v>
      </c>
      <c r="H1279" s="9">
        <v>0</v>
      </c>
      <c r="I1279" s="9">
        <v>0</v>
      </c>
      <c r="J1279" s="10">
        <v>45501</v>
      </c>
      <c r="K1279" s="9" t="s">
        <v>45</v>
      </c>
      <c r="L1279" s="9" t="s">
        <v>35</v>
      </c>
      <c r="M1279" s="9">
        <v>3731.9</v>
      </c>
    </row>
    <row r="1280" spans="1:13" x14ac:dyDescent="0.35">
      <c r="A1280" s="9">
        <v>2019</v>
      </c>
      <c r="B1280" s="9" t="s">
        <v>31</v>
      </c>
      <c r="C1280" s="9" t="s">
        <v>20</v>
      </c>
      <c r="D1280" s="9" t="s">
        <v>43</v>
      </c>
      <c r="E1280" s="9" t="s">
        <v>59</v>
      </c>
      <c r="F1280" s="9">
        <v>0</v>
      </c>
      <c r="G1280" s="9">
        <v>0</v>
      </c>
      <c r="H1280" s="9">
        <v>0</v>
      </c>
      <c r="I1280" s="9">
        <v>0</v>
      </c>
      <c r="J1280" s="10">
        <v>45501</v>
      </c>
      <c r="K1280" s="9" t="s">
        <v>44</v>
      </c>
      <c r="L1280" s="9" t="s">
        <v>25</v>
      </c>
      <c r="M1280" s="9">
        <v>-229.65</v>
      </c>
    </row>
    <row r="1281" spans="1:13" x14ac:dyDescent="0.35">
      <c r="A1281" s="9">
        <v>3605</v>
      </c>
      <c r="B1281" s="9" t="s">
        <v>31</v>
      </c>
      <c r="C1281" s="9" t="s">
        <v>19</v>
      </c>
      <c r="D1281" s="9" t="s">
        <v>69</v>
      </c>
      <c r="E1281" s="9" t="s">
        <v>59</v>
      </c>
      <c r="F1281" s="9">
        <v>2</v>
      </c>
      <c r="G1281" s="9">
        <v>8837.76</v>
      </c>
      <c r="H1281" s="9">
        <v>0</v>
      </c>
      <c r="I1281" s="9">
        <v>0</v>
      </c>
      <c r="J1281" s="10">
        <v>45666</v>
      </c>
      <c r="K1281" s="9" t="s">
        <v>45</v>
      </c>
      <c r="L1281" s="9" t="s">
        <v>32</v>
      </c>
      <c r="M1281" s="9">
        <v>1627.87</v>
      </c>
    </row>
    <row r="1282" spans="1:13" x14ac:dyDescent="0.35">
      <c r="A1282" s="9">
        <v>3606</v>
      </c>
      <c r="B1282" s="9" t="s">
        <v>28</v>
      </c>
      <c r="C1282" s="9" t="s">
        <v>22</v>
      </c>
      <c r="D1282" s="9" t="s">
        <v>30</v>
      </c>
      <c r="E1282" s="9" t="s">
        <v>62</v>
      </c>
      <c r="F1282" s="9">
        <v>3</v>
      </c>
      <c r="G1282" s="9">
        <v>3515.86</v>
      </c>
      <c r="H1282" s="9">
        <v>0</v>
      </c>
      <c r="I1282" s="9">
        <v>0</v>
      </c>
      <c r="J1282" s="10">
        <v>45702</v>
      </c>
      <c r="K1282" s="9" t="s">
        <v>44</v>
      </c>
      <c r="L1282" s="9" t="s">
        <v>35</v>
      </c>
      <c r="M1282" s="9">
        <v>-511.49</v>
      </c>
    </row>
    <row r="1283" spans="1:13" x14ac:dyDescent="0.35">
      <c r="A1283" s="9">
        <v>3608</v>
      </c>
      <c r="B1283" s="9" t="s">
        <v>31</v>
      </c>
      <c r="C1283" s="9" t="s">
        <v>19</v>
      </c>
      <c r="D1283" s="9" t="s">
        <v>39</v>
      </c>
      <c r="E1283" s="9" t="s">
        <v>62</v>
      </c>
      <c r="F1283" s="9">
        <v>0</v>
      </c>
      <c r="G1283" s="9">
        <v>0</v>
      </c>
      <c r="H1283" s="9">
        <v>0</v>
      </c>
      <c r="I1283" s="9">
        <v>0</v>
      </c>
      <c r="J1283" s="10">
        <v>45822</v>
      </c>
      <c r="K1283" s="9" t="s">
        <v>44</v>
      </c>
      <c r="L1283" s="9" t="s">
        <v>29</v>
      </c>
      <c r="M1283" s="9">
        <v>-610.17999999999995</v>
      </c>
    </row>
    <row r="1284" spans="1:13" x14ac:dyDescent="0.35">
      <c r="A1284" s="9">
        <v>3609</v>
      </c>
      <c r="B1284" s="9" t="s">
        <v>31</v>
      </c>
      <c r="C1284" s="9" t="s">
        <v>18</v>
      </c>
      <c r="D1284" s="9" t="s">
        <v>37</v>
      </c>
      <c r="E1284" s="9" t="s">
        <v>62</v>
      </c>
      <c r="F1284" s="9">
        <v>0</v>
      </c>
      <c r="G1284" s="9">
        <v>0</v>
      </c>
      <c r="H1284" s="9">
        <v>0</v>
      </c>
      <c r="I1284" s="9">
        <v>0</v>
      </c>
      <c r="J1284" s="10">
        <v>45599</v>
      </c>
      <c r="K1284" s="9" t="s">
        <v>45</v>
      </c>
      <c r="L1284" s="9" t="s">
        <v>29</v>
      </c>
      <c r="M1284" s="9">
        <v>-696.69</v>
      </c>
    </row>
    <row r="1285" spans="1:13" x14ac:dyDescent="0.35">
      <c r="A1285" s="9">
        <v>3610</v>
      </c>
      <c r="B1285" s="9" t="s">
        <v>34</v>
      </c>
      <c r="C1285" s="9" t="s">
        <v>21</v>
      </c>
      <c r="D1285" s="9" t="s">
        <v>71</v>
      </c>
      <c r="E1285" s="9" t="s">
        <v>59</v>
      </c>
      <c r="F1285" s="9">
        <v>2</v>
      </c>
      <c r="G1285" s="9">
        <v>0</v>
      </c>
      <c r="H1285" s="9">
        <v>0.64</v>
      </c>
      <c r="I1285" s="9">
        <v>0</v>
      </c>
      <c r="J1285" s="10">
        <v>45730</v>
      </c>
      <c r="K1285" s="9" t="s">
        <v>45</v>
      </c>
      <c r="L1285" s="9" t="s">
        <v>27</v>
      </c>
      <c r="M1285" s="9">
        <v>-336.38</v>
      </c>
    </row>
    <row r="1286" spans="1:13" x14ac:dyDescent="0.35">
      <c r="A1286" s="9">
        <v>3612</v>
      </c>
      <c r="B1286" s="9" t="s">
        <v>28</v>
      </c>
      <c r="C1286" s="9" t="s">
        <v>20</v>
      </c>
      <c r="D1286" s="9" t="s">
        <v>43</v>
      </c>
      <c r="E1286" s="9" t="s">
        <v>62</v>
      </c>
      <c r="F1286" s="9">
        <v>1</v>
      </c>
      <c r="G1286" s="9">
        <v>4632</v>
      </c>
      <c r="H1286" s="9">
        <v>0</v>
      </c>
      <c r="I1286" s="9">
        <v>0</v>
      </c>
      <c r="J1286" s="10">
        <v>45830</v>
      </c>
      <c r="K1286" s="9" t="s">
        <v>45</v>
      </c>
      <c r="L1286" s="9" t="s">
        <v>26</v>
      </c>
      <c r="M1286" s="9">
        <v>2397.42</v>
      </c>
    </row>
    <row r="1287" spans="1:13" x14ac:dyDescent="0.35">
      <c r="A1287" s="9">
        <v>3613</v>
      </c>
      <c r="B1287" s="9" t="s">
        <v>31</v>
      </c>
      <c r="C1287" s="9" t="s">
        <v>21</v>
      </c>
      <c r="D1287" s="9" t="s">
        <v>36</v>
      </c>
      <c r="E1287" s="9" t="s">
        <v>62</v>
      </c>
      <c r="F1287" s="9">
        <v>4</v>
      </c>
      <c r="G1287" s="9">
        <v>0</v>
      </c>
      <c r="H1287" s="9">
        <v>0</v>
      </c>
      <c r="I1287" s="9">
        <v>0</v>
      </c>
      <c r="J1287" s="10">
        <v>45520</v>
      </c>
      <c r="K1287" s="9" t="s">
        <v>45</v>
      </c>
      <c r="L1287" s="9" t="s">
        <v>32</v>
      </c>
      <c r="M1287" s="9">
        <v>2136.73</v>
      </c>
    </row>
    <row r="1288" spans="1:13" x14ac:dyDescent="0.35">
      <c r="A1288" s="9">
        <v>3614</v>
      </c>
      <c r="B1288" s="9" t="s">
        <v>31</v>
      </c>
      <c r="C1288" s="9" t="s">
        <v>18</v>
      </c>
      <c r="D1288" s="9" t="s">
        <v>38</v>
      </c>
      <c r="E1288" s="9" t="s">
        <v>60</v>
      </c>
      <c r="F1288" s="9">
        <v>0</v>
      </c>
      <c r="G1288" s="9">
        <v>6186.3</v>
      </c>
      <c r="H1288" s="9">
        <v>0.22</v>
      </c>
      <c r="I1288" s="9">
        <v>0</v>
      </c>
      <c r="J1288" s="10">
        <v>45552</v>
      </c>
      <c r="K1288" s="9" t="s">
        <v>45</v>
      </c>
      <c r="L1288" s="9" t="s">
        <v>35</v>
      </c>
      <c r="M1288" s="9">
        <v>2169.69</v>
      </c>
    </row>
    <row r="1289" spans="1:13" x14ac:dyDescent="0.35">
      <c r="A1289" s="9">
        <v>3616</v>
      </c>
      <c r="B1289" s="9" t="s">
        <v>34</v>
      </c>
      <c r="C1289" s="9" t="s">
        <v>21</v>
      </c>
      <c r="D1289" s="9" t="s">
        <v>36</v>
      </c>
      <c r="E1289" s="9" t="s">
        <v>60</v>
      </c>
      <c r="F1289" s="9">
        <v>1</v>
      </c>
      <c r="G1289" s="9">
        <v>9799.16</v>
      </c>
      <c r="H1289" s="9">
        <v>0</v>
      </c>
      <c r="I1289" s="9">
        <v>0</v>
      </c>
      <c r="J1289" s="10">
        <v>45839</v>
      </c>
      <c r="K1289" s="9" t="s">
        <v>44</v>
      </c>
      <c r="L1289" s="9" t="s">
        <v>27</v>
      </c>
      <c r="M1289" s="9">
        <v>3969.15</v>
      </c>
    </row>
    <row r="1290" spans="1:13" x14ac:dyDescent="0.35">
      <c r="A1290" s="9">
        <v>3617</v>
      </c>
      <c r="B1290" s="9" t="s">
        <v>31</v>
      </c>
      <c r="C1290" s="9" t="s">
        <v>19</v>
      </c>
      <c r="D1290" s="9" t="s">
        <v>39</v>
      </c>
      <c r="E1290" s="9" t="s">
        <v>59</v>
      </c>
      <c r="F1290" s="9">
        <v>2</v>
      </c>
      <c r="G1290" s="9">
        <v>4694.37</v>
      </c>
      <c r="H1290" s="9">
        <v>0</v>
      </c>
      <c r="I1290" s="9">
        <v>0</v>
      </c>
      <c r="J1290" s="10">
        <v>45616</v>
      </c>
      <c r="K1290" s="9" t="s">
        <v>45</v>
      </c>
      <c r="L1290" s="9" t="s">
        <v>26</v>
      </c>
      <c r="M1290" s="9">
        <v>2406.4699999999998</v>
      </c>
    </row>
    <row r="1291" spans="1:13" x14ac:dyDescent="0.35">
      <c r="A1291" s="9">
        <v>3618</v>
      </c>
      <c r="B1291" s="9" t="s">
        <v>31</v>
      </c>
      <c r="C1291" s="9" t="s">
        <v>19</v>
      </c>
      <c r="D1291" s="9" t="s">
        <v>63</v>
      </c>
      <c r="E1291" s="9" t="s">
        <v>59</v>
      </c>
      <c r="F1291" s="9">
        <v>3</v>
      </c>
      <c r="G1291" s="9">
        <v>2209.4499999999998</v>
      </c>
      <c r="H1291" s="9">
        <v>0</v>
      </c>
      <c r="I1291" s="9">
        <v>0</v>
      </c>
      <c r="J1291" s="10">
        <v>45823</v>
      </c>
      <c r="K1291" s="9" t="s">
        <v>44</v>
      </c>
      <c r="L1291" s="9" t="s">
        <v>27</v>
      </c>
      <c r="M1291" s="9">
        <v>932.04</v>
      </c>
    </row>
    <row r="1292" spans="1:13" x14ac:dyDescent="0.35">
      <c r="A1292" s="9">
        <v>3619</v>
      </c>
      <c r="B1292" s="9" t="s">
        <v>34</v>
      </c>
      <c r="C1292" s="9" t="s">
        <v>21</v>
      </c>
      <c r="D1292" s="9" t="s">
        <v>40</v>
      </c>
      <c r="E1292" s="9" t="s">
        <v>60</v>
      </c>
      <c r="F1292" s="9">
        <v>0</v>
      </c>
      <c r="G1292" s="9">
        <v>8915.8799999999992</v>
      </c>
      <c r="H1292" s="9">
        <v>0</v>
      </c>
      <c r="I1292" s="9">
        <v>0</v>
      </c>
      <c r="J1292" s="10">
        <v>45695</v>
      </c>
      <c r="K1292" s="9" t="s">
        <v>45</v>
      </c>
      <c r="L1292" s="9" t="s">
        <v>27</v>
      </c>
      <c r="M1292" s="9">
        <v>824.23</v>
      </c>
    </row>
    <row r="1293" spans="1:13" x14ac:dyDescent="0.35">
      <c r="A1293" s="9">
        <v>3620</v>
      </c>
      <c r="B1293" s="9" t="s">
        <v>31</v>
      </c>
      <c r="C1293" s="9" t="s">
        <v>20</v>
      </c>
      <c r="D1293" s="9" t="s">
        <v>61</v>
      </c>
      <c r="E1293" s="9" t="s">
        <v>59</v>
      </c>
      <c r="F1293" s="9">
        <v>0</v>
      </c>
      <c r="G1293" s="9">
        <v>8561.18</v>
      </c>
      <c r="H1293" s="9">
        <v>0</v>
      </c>
      <c r="I1293" s="9">
        <v>0</v>
      </c>
      <c r="J1293" s="10">
        <v>45598</v>
      </c>
      <c r="K1293" s="9" t="s">
        <v>44</v>
      </c>
      <c r="L1293" s="9" t="s">
        <v>25</v>
      </c>
      <c r="M1293" s="9">
        <v>1538.46</v>
      </c>
    </row>
    <row r="1294" spans="1:13" x14ac:dyDescent="0.35">
      <c r="A1294" s="9">
        <v>3621</v>
      </c>
      <c r="B1294" s="9" t="s">
        <v>28</v>
      </c>
      <c r="C1294" s="9" t="s">
        <v>22</v>
      </c>
      <c r="D1294" s="9" t="s">
        <v>30</v>
      </c>
      <c r="E1294" s="9" t="s">
        <v>60</v>
      </c>
      <c r="F1294" s="9">
        <v>0</v>
      </c>
      <c r="G1294" s="9">
        <v>9699.01</v>
      </c>
      <c r="H1294" s="9">
        <v>0</v>
      </c>
      <c r="I1294" s="9">
        <v>0</v>
      </c>
      <c r="J1294" s="10">
        <v>45767</v>
      </c>
      <c r="K1294" s="9" t="s">
        <v>44</v>
      </c>
      <c r="L1294" s="9" t="s">
        <v>26</v>
      </c>
      <c r="M1294" s="9">
        <v>3858.11</v>
      </c>
    </row>
    <row r="1295" spans="1:13" x14ac:dyDescent="0.35">
      <c r="A1295" s="9">
        <v>3622</v>
      </c>
      <c r="B1295" s="9" t="s">
        <v>28</v>
      </c>
      <c r="C1295" s="9" t="s">
        <v>19</v>
      </c>
      <c r="D1295" s="9" t="s">
        <v>39</v>
      </c>
      <c r="E1295" s="9" t="s">
        <v>59</v>
      </c>
      <c r="F1295" s="9">
        <v>3</v>
      </c>
      <c r="G1295" s="9">
        <v>2187.91</v>
      </c>
      <c r="H1295" s="9">
        <v>0</v>
      </c>
      <c r="I1295" s="9">
        <v>0</v>
      </c>
      <c r="J1295" s="10">
        <v>45557</v>
      </c>
      <c r="K1295" s="9" t="s">
        <v>45</v>
      </c>
      <c r="L1295" s="9" t="s">
        <v>32</v>
      </c>
      <c r="M1295" s="9">
        <v>1951.56</v>
      </c>
    </row>
    <row r="1296" spans="1:13" x14ac:dyDescent="0.35">
      <c r="A1296" s="9">
        <v>3623</v>
      </c>
      <c r="B1296" s="9" t="s">
        <v>31</v>
      </c>
      <c r="C1296" s="9" t="s">
        <v>21</v>
      </c>
      <c r="D1296" s="9" t="s">
        <v>64</v>
      </c>
      <c r="E1296" s="9" t="s">
        <v>62</v>
      </c>
      <c r="F1296" s="9">
        <v>0</v>
      </c>
      <c r="G1296" s="9">
        <v>0</v>
      </c>
      <c r="H1296" s="9">
        <v>0.75</v>
      </c>
      <c r="I1296" s="9">
        <v>0</v>
      </c>
      <c r="J1296" s="10">
        <v>45832</v>
      </c>
      <c r="K1296" s="9" t="s">
        <v>44</v>
      </c>
      <c r="L1296" s="9" t="s">
        <v>26</v>
      </c>
      <c r="M1296" s="9">
        <v>1980.48</v>
      </c>
    </row>
    <row r="1297" spans="1:13" x14ac:dyDescent="0.35">
      <c r="A1297" s="9">
        <v>3624</v>
      </c>
      <c r="B1297" s="9" t="s">
        <v>28</v>
      </c>
      <c r="C1297" s="9" t="s">
        <v>19</v>
      </c>
      <c r="D1297" s="9" t="s">
        <v>39</v>
      </c>
      <c r="E1297" s="9" t="s">
        <v>59</v>
      </c>
      <c r="F1297" s="9">
        <v>-1</v>
      </c>
      <c r="G1297" s="9">
        <v>8534.07</v>
      </c>
      <c r="H1297" s="9">
        <v>0</v>
      </c>
      <c r="I1297" s="9">
        <v>0</v>
      </c>
      <c r="J1297" s="10">
        <v>45613</v>
      </c>
      <c r="K1297" s="9" t="s">
        <v>44</v>
      </c>
      <c r="L1297" s="9" t="s">
        <v>26</v>
      </c>
      <c r="M1297" s="9">
        <v>-1124.03</v>
      </c>
    </row>
    <row r="1298" spans="1:13" x14ac:dyDescent="0.35">
      <c r="A1298" s="9">
        <v>3625</v>
      </c>
      <c r="B1298" s="9" t="s">
        <v>34</v>
      </c>
      <c r="C1298" s="9" t="s">
        <v>19</v>
      </c>
      <c r="D1298" s="9" t="s">
        <v>42</v>
      </c>
      <c r="E1298" s="9" t="s">
        <v>62</v>
      </c>
      <c r="F1298" s="9">
        <v>0</v>
      </c>
      <c r="G1298" s="9">
        <v>0</v>
      </c>
      <c r="H1298" s="9">
        <v>0</v>
      </c>
      <c r="I1298" s="9">
        <v>0</v>
      </c>
      <c r="J1298" s="10">
        <v>45718</v>
      </c>
      <c r="K1298" s="9" t="s">
        <v>44</v>
      </c>
      <c r="L1298" s="9" t="s">
        <v>27</v>
      </c>
      <c r="M1298" s="9">
        <v>849.98</v>
      </c>
    </row>
    <row r="1299" spans="1:13" x14ac:dyDescent="0.35">
      <c r="A1299" s="9">
        <v>3626</v>
      </c>
      <c r="B1299" s="9" t="s">
        <v>31</v>
      </c>
      <c r="C1299" s="9" t="s">
        <v>20</v>
      </c>
      <c r="D1299" s="9" t="s">
        <v>61</v>
      </c>
      <c r="E1299" s="9" t="s">
        <v>59</v>
      </c>
      <c r="F1299" s="9">
        <v>0</v>
      </c>
      <c r="G1299" s="9">
        <v>0</v>
      </c>
      <c r="H1299" s="9">
        <v>0</v>
      </c>
      <c r="I1299" s="9">
        <v>0</v>
      </c>
      <c r="J1299" s="10">
        <v>45559</v>
      </c>
      <c r="K1299" s="9" t="s">
        <v>44</v>
      </c>
      <c r="L1299" s="9" t="s">
        <v>35</v>
      </c>
      <c r="M1299" s="9">
        <v>1911.32</v>
      </c>
    </row>
    <row r="1300" spans="1:13" x14ac:dyDescent="0.35">
      <c r="A1300" s="9">
        <v>3627</v>
      </c>
      <c r="B1300" s="9" t="s">
        <v>34</v>
      </c>
      <c r="C1300" s="9" t="s">
        <v>18</v>
      </c>
      <c r="D1300" s="9" t="s">
        <v>37</v>
      </c>
      <c r="E1300" s="9" t="s">
        <v>59</v>
      </c>
      <c r="F1300" s="9">
        <v>0</v>
      </c>
      <c r="G1300" s="9">
        <v>0</v>
      </c>
      <c r="H1300" s="9">
        <v>1.07</v>
      </c>
      <c r="I1300" s="9">
        <v>0</v>
      </c>
      <c r="J1300" s="10">
        <v>45647</v>
      </c>
      <c r="K1300" s="9" t="s">
        <v>45</v>
      </c>
      <c r="L1300" s="9" t="s">
        <v>26</v>
      </c>
      <c r="M1300" s="9">
        <v>396.74</v>
      </c>
    </row>
    <row r="1301" spans="1:13" x14ac:dyDescent="0.35">
      <c r="A1301" s="9">
        <v>3629</v>
      </c>
      <c r="B1301" s="9" t="s">
        <v>34</v>
      </c>
      <c r="C1301" s="9" t="s">
        <v>19</v>
      </c>
      <c r="D1301" s="9" t="s">
        <v>63</v>
      </c>
      <c r="E1301" s="9" t="s">
        <v>62</v>
      </c>
      <c r="F1301" s="9">
        <v>0</v>
      </c>
      <c r="G1301" s="9">
        <v>0</v>
      </c>
      <c r="H1301" s="9">
        <v>0</v>
      </c>
      <c r="I1301" s="9">
        <v>0</v>
      </c>
      <c r="J1301" s="10">
        <v>45647</v>
      </c>
      <c r="K1301" s="9" t="s">
        <v>45</v>
      </c>
      <c r="L1301" s="9" t="s">
        <v>32</v>
      </c>
      <c r="M1301" s="9">
        <v>-1052.78</v>
      </c>
    </row>
    <row r="1302" spans="1:13" x14ac:dyDescent="0.35">
      <c r="A1302" s="9">
        <v>3630</v>
      </c>
      <c r="B1302" s="9" t="s">
        <v>31</v>
      </c>
      <c r="C1302" s="9" t="s">
        <v>18</v>
      </c>
      <c r="D1302" s="9" t="s">
        <v>33</v>
      </c>
      <c r="E1302" s="9" t="s">
        <v>59</v>
      </c>
      <c r="F1302" s="9">
        <v>-1</v>
      </c>
      <c r="G1302" s="9">
        <v>2467.4899999999998</v>
      </c>
      <c r="H1302" s="9">
        <v>0</v>
      </c>
      <c r="I1302" s="9">
        <v>0</v>
      </c>
      <c r="J1302" s="10">
        <v>45647</v>
      </c>
      <c r="K1302" s="9" t="s">
        <v>45</v>
      </c>
      <c r="L1302" s="9" t="s">
        <v>35</v>
      </c>
      <c r="M1302" s="9">
        <v>3101.6</v>
      </c>
    </row>
    <row r="1303" spans="1:13" x14ac:dyDescent="0.35">
      <c r="A1303" s="9">
        <v>3631</v>
      </c>
      <c r="B1303" s="9" t="s">
        <v>31</v>
      </c>
      <c r="C1303" s="9" t="s">
        <v>18</v>
      </c>
      <c r="D1303" s="9" t="s">
        <v>41</v>
      </c>
      <c r="E1303" s="9" t="s">
        <v>62</v>
      </c>
      <c r="F1303" s="9">
        <v>0</v>
      </c>
      <c r="G1303" s="9">
        <v>2855.37</v>
      </c>
      <c r="H1303" s="9">
        <v>0</v>
      </c>
      <c r="I1303" s="9">
        <v>0</v>
      </c>
      <c r="J1303" s="10">
        <v>45647</v>
      </c>
      <c r="K1303" s="9" t="s">
        <v>44</v>
      </c>
      <c r="L1303" s="9" t="s">
        <v>25</v>
      </c>
      <c r="M1303" s="9">
        <v>185.49</v>
      </c>
    </row>
    <row r="1304" spans="1:13" x14ac:dyDescent="0.35">
      <c r="A1304" s="9">
        <v>3634</v>
      </c>
      <c r="B1304" s="9" t="s">
        <v>31</v>
      </c>
      <c r="C1304" s="9" t="s">
        <v>21</v>
      </c>
      <c r="D1304" s="9" t="s">
        <v>64</v>
      </c>
      <c r="E1304" s="9" t="s">
        <v>60</v>
      </c>
      <c r="F1304" s="9">
        <v>0</v>
      </c>
      <c r="G1304" s="9">
        <v>0</v>
      </c>
      <c r="H1304" s="9">
        <v>1.06</v>
      </c>
      <c r="I1304" s="9">
        <v>0</v>
      </c>
      <c r="J1304" s="10">
        <v>45846</v>
      </c>
      <c r="K1304" s="9" t="s">
        <v>45</v>
      </c>
      <c r="L1304" s="9" t="s">
        <v>27</v>
      </c>
      <c r="M1304" s="9">
        <v>3717.46</v>
      </c>
    </row>
    <row r="1305" spans="1:13" x14ac:dyDescent="0.35">
      <c r="A1305" s="9">
        <v>3635</v>
      </c>
      <c r="B1305" s="9" t="s">
        <v>31</v>
      </c>
      <c r="C1305" s="9" t="s">
        <v>18</v>
      </c>
      <c r="D1305" s="9" t="s">
        <v>37</v>
      </c>
      <c r="E1305" s="9" t="s">
        <v>59</v>
      </c>
      <c r="F1305" s="9">
        <v>2</v>
      </c>
      <c r="G1305" s="9">
        <v>0</v>
      </c>
      <c r="H1305" s="9">
        <v>0</v>
      </c>
      <c r="I1305" s="9">
        <v>0</v>
      </c>
      <c r="J1305" s="10">
        <v>45738</v>
      </c>
      <c r="K1305" s="9" t="s">
        <v>44</v>
      </c>
      <c r="L1305" s="9" t="s">
        <v>25</v>
      </c>
      <c r="M1305" s="9">
        <v>3656.45</v>
      </c>
    </row>
    <row r="1306" spans="1:13" x14ac:dyDescent="0.35">
      <c r="A1306" s="9">
        <v>3636</v>
      </c>
      <c r="B1306" s="9" t="s">
        <v>28</v>
      </c>
      <c r="C1306" s="9" t="s">
        <v>19</v>
      </c>
      <c r="D1306" s="9" t="s">
        <v>42</v>
      </c>
      <c r="E1306" s="9" t="s">
        <v>59</v>
      </c>
      <c r="F1306" s="9">
        <v>2</v>
      </c>
      <c r="G1306" s="9">
        <v>7881.53</v>
      </c>
      <c r="H1306" s="9">
        <v>0</v>
      </c>
      <c r="I1306" s="9">
        <v>0</v>
      </c>
      <c r="J1306" s="10">
        <v>45279</v>
      </c>
      <c r="K1306" s="9" t="s">
        <v>44</v>
      </c>
      <c r="L1306" s="9" t="s">
        <v>29</v>
      </c>
      <c r="M1306" s="9">
        <v>2615.73</v>
      </c>
    </row>
    <row r="1307" spans="1:13" x14ac:dyDescent="0.35">
      <c r="A1307" s="9">
        <v>3637</v>
      </c>
      <c r="B1307" s="9" t="s">
        <v>28</v>
      </c>
      <c r="C1307" s="9" t="s">
        <v>20</v>
      </c>
      <c r="D1307" s="9" t="s">
        <v>70</v>
      </c>
      <c r="E1307" s="9" t="s">
        <v>59</v>
      </c>
      <c r="F1307" s="9">
        <v>2</v>
      </c>
      <c r="G1307" s="9">
        <v>6577.39</v>
      </c>
      <c r="H1307" s="9">
        <v>0</v>
      </c>
      <c r="I1307" s="9">
        <v>0</v>
      </c>
      <c r="J1307" s="10">
        <v>45806</v>
      </c>
      <c r="K1307" s="9" t="s">
        <v>44</v>
      </c>
      <c r="L1307" s="9" t="s">
        <v>29</v>
      </c>
      <c r="M1307" s="9">
        <v>1945.9</v>
      </c>
    </row>
    <row r="1308" spans="1:13" x14ac:dyDescent="0.35">
      <c r="A1308" s="9">
        <v>3638</v>
      </c>
      <c r="B1308" s="9" t="s">
        <v>34</v>
      </c>
      <c r="C1308" s="9" t="s">
        <v>22</v>
      </c>
      <c r="D1308" s="9" t="s">
        <v>65</v>
      </c>
      <c r="E1308" s="9" t="s">
        <v>59</v>
      </c>
      <c r="F1308" s="9">
        <v>0</v>
      </c>
      <c r="G1308" s="9">
        <v>3701.59</v>
      </c>
      <c r="H1308" s="9">
        <v>0</v>
      </c>
      <c r="I1308" s="9">
        <v>0</v>
      </c>
      <c r="J1308" s="10">
        <v>45797</v>
      </c>
      <c r="K1308" s="9" t="s">
        <v>45</v>
      </c>
      <c r="L1308" s="9" t="s">
        <v>27</v>
      </c>
      <c r="M1308" s="9">
        <v>1148.57</v>
      </c>
    </row>
    <row r="1309" spans="1:13" x14ac:dyDescent="0.35">
      <c r="A1309" s="9">
        <v>3639</v>
      </c>
      <c r="B1309" s="9" t="s">
        <v>31</v>
      </c>
      <c r="C1309" s="9" t="s">
        <v>19</v>
      </c>
      <c r="D1309" s="9" t="s">
        <v>63</v>
      </c>
      <c r="E1309" s="9" t="s">
        <v>62</v>
      </c>
      <c r="F1309" s="9">
        <v>0</v>
      </c>
      <c r="G1309" s="9">
        <v>0</v>
      </c>
      <c r="H1309" s="9">
        <v>0.43</v>
      </c>
      <c r="I1309" s="9">
        <v>0</v>
      </c>
      <c r="J1309" s="10">
        <v>45662</v>
      </c>
      <c r="K1309" s="9" t="s">
        <v>45</v>
      </c>
      <c r="L1309" s="9" t="s">
        <v>35</v>
      </c>
      <c r="M1309" s="9">
        <v>2929.76</v>
      </c>
    </row>
    <row r="1310" spans="1:13" x14ac:dyDescent="0.35">
      <c r="A1310" s="9">
        <v>3640</v>
      </c>
      <c r="B1310" s="9" t="s">
        <v>31</v>
      </c>
      <c r="C1310" s="9" t="s">
        <v>18</v>
      </c>
      <c r="D1310" s="9" t="s">
        <v>41</v>
      </c>
      <c r="E1310" s="9" t="s">
        <v>59</v>
      </c>
      <c r="F1310" s="9">
        <v>0</v>
      </c>
      <c r="G1310" s="9">
        <v>5219.18</v>
      </c>
      <c r="H1310" s="9">
        <v>0</v>
      </c>
      <c r="I1310" s="9">
        <v>0</v>
      </c>
      <c r="J1310" s="10">
        <v>45775</v>
      </c>
      <c r="K1310" s="9" t="s">
        <v>45</v>
      </c>
      <c r="L1310" s="9" t="s">
        <v>29</v>
      </c>
      <c r="M1310" s="9">
        <v>309.64999999999998</v>
      </c>
    </row>
    <row r="1311" spans="1:13" x14ac:dyDescent="0.35">
      <c r="A1311" s="9">
        <v>3641</v>
      </c>
      <c r="B1311" s="9" t="s">
        <v>34</v>
      </c>
      <c r="C1311" s="9" t="s">
        <v>18</v>
      </c>
      <c r="D1311" s="9" t="s">
        <v>37</v>
      </c>
      <c r="E1311" s="9" t="s">
        <v>62</v>
      </c>
      <c r="F1311" s="9">
        <v>0</v>
      </c>
      <c r="G1311" s="9">
        <v>6037.65</v>
      </c>
      <c r="H1311" s="9">
        <v>0</v>
      </c>
      <c r="I1311" s="9">
        <v>0</v>
      </c>
      <c r="J1311" s="10">
        <v>45775</v>
      </c>
      <c r="K1311" s="9" t="s">
        <v>44</v>
      </c>
      <c r="L1311" s="9" t="s">
        <v>29</v>
      </c>
      <c r="M1311" s="9">
        <v>-132.13</v>
      </c>
    </row>
    <row r="1312" spans="1:13" x14ac:dyDescent="0.35">
      <c r="A1312" s="9">
        <v>3642</v>
      </c>
      <c r="B1312" s="9" t="s">
        <v>31</v>
      </c>
      <c r="C1312" s="9" t="s">
        <v>18</v>
      </c>
      <c r="D1312" s="9" t="s">
        <v>41</v>
      </c>
      <c r="E1312" s="9" t="s">
        <v>62</v>
      </c>
      <c r="F1312" s="9">
        <v>-1</v>
      </c>
      <c r="G1312" s="9">
        <v>0</v>
      </c>
      <c r="H1312" s="9">
        <v>0</v>
      </c>
      <c r="I1312" s="9">
        <v>0</v>
      </c>
      <c r="J1312" s="10">
        <v>45775</v>
      </c>
      <c r="K1312" s="9" t="s">
        <v>45</v>
      </c>
      <c r="L1312" s="9" t="s">
        <v>26</v>
      </c>
      <c r="M1312" s="9">
        <v>3617.85</v>
      </c>
    </row>
    <row r="1313" spans="1:13" x14ac:dyDescent="0.35">
      <c r="A1313" s="9">
        <v>3643</v>
      </c>
      <c r="B1313" s="9" t="s">
        <v>34</v>
      </c>
      <c r="C1313" s="9" t="s">
        <v>18</v>
      </c>
      <c r="D1313" s="9" t="s">
        <v>41</v>
      </c>
      <c r="E1313" s="9" t="s">
        <v>59</v>
      </c>
      <c r="F1313" s="9">
        <v>0</v>
      </c>
      <c r="G1313" s="9">
        <v>9262.4500000000007</v>
      </c>
      <c r="H1313" s="9">
        <v>0.73</v>
      </c>
      <c r="I1313" s="9">
        <v>0</v>
      </c>
      <c r="J1313" s="10">
        <v>45775</v>
      </c>
      <c r="K1313" s="9" t="s">
        <v>45</v>
      </c>
      <c r="L1313" s="9" t="s">
        <v>27</v>
      </c>
      <c r="M1313" s="9">
        <v>2037.13</v>
      </c>
    </row>
    <row r="1314" spans="1:13" x14ac:dyDescent="0.35">
      <c r="A1314" s="9">
        <v>3646</v>
      </c>
      <c r="B1314" s="9" t="s">
        <v>31</v>
      </c>
      <c r="C1314" s="9" t="s">
        <v>18</v>
      </c>
      <c r="D1314" s="9" t="s">
        <v>33</v>
      </c>
      <c r="E1314" s="9" t="s">
        <v>62</v>
      </c>
      <c r="F1314" s="9">
        <v>3</v>
      </c>
      <c r="G1314" s="9">
        <v>0</v>
      </c>
      <c r="H1314" s="9">
        <v>0</v>
      </c>
      <c r="I1314" s="9">
        <v>0</v>
      </c>
      <c r="J1314" s="10">
        <v>45768</v>
      </c>
      <c r="K1314" s="9" t="s">
        <v>45</v>
      </c>
      <c r="L1314" s="9" t="s">
        <v>25</v>
      </c>
      <c r="M1314" s="9">
        <v>2873.66</v>
      </c>
    </row>
    <row r="1315" spans="1:13" x14ac:dyDescent="0.35">
      <c r="A1315" s="9">
        <v>3647</v>
      </c>
      <c r="B1315" s="9" t="s">
        <v>28</v>
      </c>
      <c r="C1315" s="9" t="s">
        <v>22</v>
      </c>
      <c r="D1315" s="9" t="s">
        <v>30</v>
      </c>
      <c r="E1315" s="9" t="s">
        <v>59</v>
      </c>
      <c r="F1315" s="9">
        <v>0</v>
      </c>
      <c r="G1315" s="9">
        <v>3263.64</v>
      </c>
      <c r="H1315" s="9">
        <v>0</v>
      </c>
      <c r="I1315" s="9">
        <v>0</v>
      </c>
      <c r="J1315" s="10">
        <v>45571</v>
      </c>
      <c r="K1315" s="9" t="s">
        <v>44</v>
      </c>
      <c r="L1315" s="9" t="s">
        <v>27</v>
      </c>
      <c r="M1315" s="9">
        <v>3233.66</v>
      </c>
    </row>
    <row r="1316" spans="1:13" x14ac:dyDescent="0.35">
      <c r="A1316" s="9">
        <v>3648</v>
      </c>
      <c r="B1316" s="9" t="s">
        <v>31</v>
      </c>
      <c r="C1316" s="9" t="s">
        <v>19</v>
      </c>
      <c r="D1316" s="9" t="s">
        <v>42</v>
      </c>
      <c r="E1316" s="9" t="s">
        <v>59</v>
      </c>
      <c r="F1316" s="9">
        <v>0</v>
      </c>
      <c r="G1316" s="9">
        <v>0</v>
      </c>
      <c r="H1316" s="9">
        <v>0</v>
      </c>
      <c r="I1316" s="9">
        <v>0</v>
      </c>
      <c r="J1316" s="10">
        <v>45665</v>
      </c>
      <c r="K1316" s="9" t="s">
        <v>45</v>
      </c>
      <c r="L1316" s="9" t="s">
        <v>25</v>
      </c>
      <c r="M1316" s="9">
        <v>3584.04</v>
      </c>
    </row>
    <row r="1317" spans="1:13" x14ac:dyDescent="0.35">
      <c r="A1317" s="9">
        <v>3649</v>
      </c>
      <c r="B1317" s="9" t="s">
        <v>34</v>
      </c>
      <c r="C1317" s="9" t="s">
        <v>21</v>
      </c>
      <c r="D1317" s="9" t="s">
        <v>36</v>
      </c>
      <c r="E1317" s="9" t="s">
        <v>62</v>
      </c>
      <c r="F1317" s="9">
        <v>0</v>
      </c>
      <c r="G1317" s="9">
        <v>6486.51</v>
      </c>
      <c r="H1317" s="9">
        <v>0</v>
      </c>
      <c r="I1317" s="9">
        <v>0</v>
      </c>
      <c r="J1317" s="10">
        <v>45584</v>
      </c>
      <c r="K1317" s="9" t="s">
        <v>45</v>
      </c>
      <c r="L1317" s="9" t="s">
        <v>27</v>
      </c>
      <c r="M1317" s="9">
        <v>2408.58</v>
      </c>
    </row>
    <row r="1318" spans="1:13" x14ac:dyDescent="0.35">
      <c r="A1318" s="9">
        <v>3650</v>
      </c>
      <c r="B1318" s="9" t="s">
        <v>28</v>
      </c>
      <c r="C1318" s="9" t="s">
        <v>19</v>
      </c>
      <c r="D1318" s="9" t="s">
        <v>39</v>
      </c>
      <c r="E1318" s="9" t="s">
        <v>59</v>
      </c>
      <c r="F1318" s="9">
        <v>0</v>
      </c>
      <c r="G1318" s="9">
        <v>0</v>
      </c>
      <c r="H1318" s="9">
        <v>0</v>
      </c>
      <c r="I1318" s="9">
        <v>0</v>
      </c>
      <c r="J1318" s="10">
        <v>45298</v>
      </c>
      <c r="K1318" s="9" t="s">
        <v>44</v>
      </c>
      <c r="L1318" s="9" t="s">
        <v>29</v>
      </c>
      <c r="M1318" s="9">
        <v>-520.92999999999995</v>
      </c>
    </row>
    <row r="1319" spans="1:13" x14ac:dyDescent="0.35">
      <c r="A1319" s="9">
        <v>3651</v>
      </c>
      <c r="B1319" s="9" t="s">
        <v>31</v>
      </c>
      <c r="C1319" s="9" t="s">
        <v>18</v>
      </c>
      <c r="D1319" s="9" t="s">
        <v>37</v>
      </c>
      <c r="E1319" s="9" t="s">
        <v>59</v>
      </c>
      <c r="F1319" s="9">
        <v>0</v>
      </c>
      <c r="G1319" s="9">
        <v>8891.6299999999992</v>
      </c>
      <c r="H1319" s="9">
        <v>1.07</v>
      </c>
      <c r="I1319" s="9">
        <v>0</v>
      </c>
      <c r="J1319" s="10">
        <v>45643</v>
      </c>
      <c r="K1319" s="9" t="s">
        <v>44</v>
      </c>
      <c r="L1319" s="9" t="s">
        <v>29</v>
      </c>
      <c r="M1319" s="9">
        <v>-636.77</v>
      </c>
    </row>
    <row r="1320" spans="1:13" x14ac:dyDescent="0.35">
      <c r="A1320" s="9">
        <v>3652</v>
      </c>
      <c r="B1320" s="9" t="s">
        <v>34</v>
      </c>
      <c r="C1320" s="9" t="s">
        <v>22</v>
      </c>
      <c r="D1320" s="9" t="s">
        <v>65</v>
      </c>
      <c r="E1320" s="9" t="s">
        <v>62</v>
      </c>
      <c r="F1320" s="9">
        <v>0</v>
      </c>
      <c r="G1320" s="9">
        <v>3176.7</v>
      </c>
      <c r="H1320" s="9">
        <v>0</v>
      </c>
      <c r="I1320" s="9">
        <v>0</v>
      </c>
      <c r="J1320" s="10">
        <v>45251</v>
      </c>
      <c r="K1320" s="9" t="s">
        <v>45</v>
      </c>
      <c r="L1320" s="9" t="s">
        <v>32</v>
      </c>
      <c r="M1320" s="9">
        <v>3349.8</v>
      </c>
    </row>
    <row r="1321" spans="1:13" x14ac:dyDescent="0.35">
      <c r="A1321" s="9">
        <v>3653</v>
      </c>
      <c r="B1321" s="9" t="s">
        <v>31</v>
      </c>
      <c r="C1321" s="9" t="s">
        <v>20</v>
      </c>
      <c r="D1321" s="9" t="s">
        <v>43</v>
      </c>
      <c r="E1321" s="9" t="s">
        <v>59</v>
      </c>
      <c r="F1321" s="9">
        <v>0</v>
      </c>
      <c r="G1321" s="9">
        <v>0</v>
      </c>
      <c r="H1321" s="9">
        <v>0</v>
      </c>
      <c r="I1321" s="9">
        <v>0</v>
      </c>
      <c r="J1321" s="10">
        <v>45629</v>
      </c>
      <c r="K1321" s="9" t="s">
        <v>44</v>
      </c>
      <c r="L1321" s="9" t="s">
        <v>32</v>
      </c>
      <c r="M1321" s="9">
        <v>1642.93</v>
      </c>
    </row>
    <row r="1322" spans="1:13" x14ac:dyDescent="0.35">
      <c r="A1322" s="9">
        <v>3654</v>
      </c>
      <c r="B1322" s="9" t="s">
        <v>28</v>
      </c>
      <c r="C1322" s="9" t="s">
        <v>18</v>
      </c>
      <c r="D1322" s="9" t="s">
        <v>41</v>
      </c>
      <c r="E1322" s="9" t="s">
        <v>60</v>
      </c>
      <c r="F1322" s="9">
        <v>3</v>
      </c>
      <c r="G1322" s="9">
        <v>0</v>
      </c>
      <c r="H1322" s="9">
        <v>0</v>
      </c>
      <c r="I1322" s="9">
        <v>0</v>
      </c>
      <c r="J1322" s="10">
        <v>45545</v>
      </c>
      <c r="K1322" s="9" t="s">
        <v>44</v>
      </c>
      <c r="L1322" s="9" t="s">
        <v>35</v>
      </c>
      <c r="M1322" s="9">
        <v>2395.7399999999998</v>
      </c>
    </row>
    <row r="1323" spans="1:13" x14ac:dyDescent="0.35">
      <c r="A1323" s="9">
        <v>3655</v>
      </c>
      <c r="B1323" s="9" t="s">
        <v>28</v>
      </c>
      <c r="C1323" s="9" t="s">
        <v>21</v>
      </c>
      <c r="D1323" s="9" t="s">
        <v>40</v>
      </c>
      <c r="E1323" s="9" t="s">
        <v>59</v>
      </c>
      <c r="F1323" s="9">
        <v>0</v>
      </c>
      <c r="G1323" s="9">
        <v>0</v>
      </c>
      <c r="H1323" s="9">
        <v>0</v>
      </c>
      <c r="I1323" s="9">
        <v>0</v>
      </c>
      <c r="J1323" s="10">
        <v>45785</v>
      </c>
      <c r="K1323" s="9" t="s">
        <v>44</v>
      </c>
      <c r="L1323" s="9" t="s">
        <v>35</v>
      </c>
      <c r="M1323" s="9">
        <v>3499.88</v>
      </c>
    </row>
    <row r="1324" spans="1:13" x14ac:dyDescent="0.35">
      <c r="A1324" s="9">
        <v>3656</v>
      </c>
      <c r="B1324" s="9" t="s">
        <v>31</v>
      </c>
      <c r="C1324" s="9" t="s">
        <v>21</v>
      </c>
      <c r="D1324" s="9" t="s">
        <v>64</v>
      </c>
      <c r="E1324" s="9" t="s">
        <v>60</v>
      </c>
      <c r="F1324" s="9">
        <v>4</v>
      </c>
      <c r="G1324" s="9">
        <v>0</v>
      </c>
      <c r="H1324" s="9">
        <v>0</v>
      </c>
      <c r="I1324" s="9">
        <v>0</v>
      </c>
      <c r="J1324" s="10">
        <v>45819</v>
      </c>
      <c r="K1324" s="9" t="s">
        <v>44</v>
      </c>
      <c r="L1324" s="9" t="s">
        <v>35</v>
      </c>
      <c r="M1324" s="9">
        <v>3421.81</v>
      </c>
    </row>
    <row r="1325" spans="1:13" x14ac:dyDescent="0.35">
      <c r="A1325" s="9">
        <v>3658</v>
      </c>
      <c r="B1325" s="9" t="s">
        <v>28</v>
      </c>
      <c r="C1325" s="9" t="s">
        <v>18</v>
      </c>
      <c r="D1325" s="9" t="s">
        <v>33</v>
      </c>
      <c r="E1325" s="9" t="s">
        <v>60</v>
      </c>
      <c r="F1325" s="9">
        <v>0</v>
      </c>
      <c r="G1325" s="9">
        <v>3516.53</v>
      </c>
      <c r="H1325" s="9">
        <v>0</v>
      </c>
      <c r="I1325" s="9">
        <v>0</v>
      </c>
      <c r="J1325" s="10">
        <v>45819</v>
      </c>
      <c r="K1325" s="9" t="s">
        <v>44</v>
      </c>
      <c r="L1325" s="9" t="s">
        <v>29</v>
      </c>
      <c r="M1325" s="9">
        <v>1485.12</v>
      </c>
    </row>
    <row r="1326" spans="1:13" x14ac:dyDescent="0.35">
      <c r="A1326" s="9">
        <v>3659</v>
      </c>
      <c r="B1326" s="9" t="s">
        <v>34</v>
      </c>
      <c r="C1326" s="9" t="s">
        <v>20</v>
      </c>
      <c r="D1326" s="9" t="s">
        <v>43</v>
      </c>
      <c r="E1326" s="9" t="s">
        <v>59</v>
      </c>
      <c r="F1326" s="9">
        <v>0</v>
      </c>
      <c r="G1326" s="9">
        <v>0</v>
      </c>
      <c r="H1326" s="9">
        <v>0</v>
      </c>
      <c r="I1326" s="9">
        <v>0</v>
      </c>
      <c r="J1326" s="10">
        <v>45819</v>
      </c>
      <c r="K1326" s="9" t="s">
        <v>45</v>
      </c>
      <c r="L1326" s="9" t="s">
        <v>27</v>
      </c>
      <c r="M1326" s="9">
        <v>684.79</v>
      </c>
    </row>
    <row r="1327" spans="1:13" x14ac:dyDescent="0.35">
      <c r="A1327" s="9">
        <v>2033</v>
      </c>
      <c r="B1327" s="9" t="s">
        <v>28</v>
      </c>
      <c r="C1327" s="9" t="s">
        <v>20</v>
      </c>
      <c r="D1327" s="9" t="s">
        <v>61</v>
      </c>
      <c r="E1327" s="9" t="s">
        <v>59</v>
      </c>
      <c r="F1327" s="9">
        <v>0</v>
      </c>
      <c r="G1327" s="9">
        <v>0</v>
      </c>
      <c r="H1327" s="9">
        <v>0.8</v>
      </c>
      <c r="I1327" s="9">
        <v>0</v>
      </c>
      <c r="J1327" s="10">
        <v>45496</v>
      </c>
      <c r="K1327" s="9" t="s">
        <v>44</v>
      </c>
      <c r="L1327" s="9" t="s">
        <v>29</v>
      </c>
      <c r="M1327" s="9">
        <v>437.17</v>
      </c>
    </row>
    <row r="1328" spans="1:13" x14ac:dyDescent="0.35">
      <c r="A1328" s="9">
        <v>3661</v>
      </c>
      <c r="B1328" s="9" t="s">
        <v>34</v>
      </c>
      <c r="C1328" s="9" t="s">
        <v>18</v>
      </c>
      <c r="D1328" s="9" t="s">
        <v>38</v>
      </c>
      <c r="E1328" s="9" t="s">
        <v>62</v>
      </c>
      <c r="F1328" s="9">
        <v>0</v>
      </c>
      <c r="G1328" s="9">
        <v>9979.3799999999992</v>
      </c>
      <c r="H1328" s="9">
        <v>0</v>
      </c>
      <c r="I1328" s="9">
        <v>0</v>
      </c>
      <c r="J1328" s="10">
        <v>45631</v>
      </c>
      <c r="K1328" s="9" t="s">
        <v>45</v>
      </c>
      <c r="L1328" s="9" t="s">
        <v>29</v>
      </c>
      <c r="M1328" s="9">
        <v>2957.86</v>
      </c>
    </row>
    <row r="1329" spans="1:13" x14ac:dyDescent="0.35">
      <c r="A1329" s="9">
        <v>3663</v>
      </c>
      <c r="B1329" s="9" t="s">
        <v>28</v>
      </c>
      <c r="C1329" s="9" t="s">
        <v>18</v>
      </c>
      <c r="D1329" s="9" t="s">
        <v>37</v>
      </c>
      <c r="E1329" s="9" t="s">
        <v>60</v>
      </c>
      <c r="F1329" s="9">
        <v>0</v>
      </c>
      <c r="G1329" s="9">
        <v>5604.03</v>
      </c>
      <c r="H1329" s="9">
        <v>0</v>
      </c>
      <c r="I1329" s="9">
        <v>0</v>
      </c>
      <c r="J1329" s="10">
        <v>45756</v>
      </c>
      <c r="K1329" s="9" t="s">
        <v>44</v>
      </c>
      <c r="L1329" s="9" t="s">
        <v>29</v>
      </c>
      <c r="M1329" s="9">
        <v>3359.81</v>
      </c>
    </row>
    <row r="1330" spans="1:13" x14ac:dyDescent="0.35">
      <c r="A1330" s="9">
        <v>3664</v>
      </c>
      <c r="B1330" s="9" t="s">
        <v>28</v>
      </c>
      <c r="C1330" s="9" t="s">
        <v>18</v>
      </c>
      <c r="D1330" s="9" t="s">
        <v>33</v>
      </c>
      <c r="E1330" s="9" t="s">
        <v>62</v>
      </c>
      <c r="F1330" s="9">
        <v>0</v>
      </c>
      <c r="G1330" s="9">
        <v>0</v>
      </c>
      <c r="H1330" s="9">
        <v>1.22</v>
      </c>
      <c r="I1330" s="9">
        <v>0</v>
      </c>
      <c r="J1330" s="10">
        <v>45767</v>
      </c>
      <c r="K1330" s="9" t="s">
        <v>44</v>
      </c>
      <c r="L1330" s="9" t="s">
        <v>26</v>
      </c>
      <c r="M1330" s="9">
        <v>480.16</v>
      </c>
    </row>
    <row r="1331" spans="1:13" x14ac:dyDescent="0.35">
      <c r="A1331" s="9">
        <v>3667</v>
      </c>
      <c r="B1331" s="9" t="s">
        <v>34</v>
      </c>
      <c r="C1331" s="9" t="s">
        <v>20</v>
      </c>
      <c r="D1331" s="9" t="s">
        <v>43</v>
      </c>
      <c r="E1331" s="9" t="s">
        <v>59</v>
      </c>
      <c r="F1331" s="9">
        <v>4</v>
      </c>
      <c r="G1331" s="9">
        <v>9386.2000000000007</v>
      </c>
      <c r="H1331" s="9">
        <v>0.01</v>
      </c>
      <c r="I1331" s="9">
        <v>37169.35</v>
      </c>
      <c r="J1331" s="10">
        <v>45767</v>
      </c>
      <c r="K1331" s="9" t="s">
        <v>45</v>
      </c>
      <c r="L1331" s="9" t="s">
        <v>35</v>
      </c>
      <c r="M1331" s="9">
        <v>-1121.02</v>
      </c>
    </row>
    <row r="1332" spans="1:13" x14ac:dyDescent="0.35">
      <c r="A1332" s="9">
        <v>3668</v>
      </c>
      <c r="B1332" s="9" t="s">
        <v>34</v>
      </c>
      <c r="C1332" s="9" t="s">
        <v>19</v>
      </c>
      <c r="D1332" s="9" t="s">
        <v>39</v>
      </c>
      <c r="E1332" s="9" t="s">
        <v>62</v>
      </c>
      <c r="F1332" s="9">
        <v>1</v>
      </c>
      <c r="G1332" s="9">
        <v>0</v>
      </c>
      <c r="H1332" s="9">
        <v>0</v>
      </c>
      <c r="I1332" s="9">
        <v>0</v>
      </c>
      <c r="J1332" s="10">
        <v>45592</v>
      </c>
      <c r="K1332" s="9" t="s">
        <v>44</v>
      </c>
      <c r="L1332" s="9" t="s">
        <v>26</v>
      </c>
      <c r="M1332" s="9">
        <v>795.86</v>
      </c>
    </row>
    <row r="1333" spans="1:13" x14ac:dyDescent="0.35">
      <c r="A1333" s="9">
        <v>3669</v>
      </c>
      <c r="B1333" s="9" t="s">
        <v>28</v>
      </c>
      <c r="C1333" s="9" t="s">
        <v>21</v>
      </c>
      <c r="D1333" s="9" t="s">
        <v>36</v>
      </c>
      <c r="E1333" s="9" t="s">
        <v>60</v>
      </c>
      <c r="F1333" s="9">
        <v>0</v>
      </c>
      <c r="G1333" s="9">
        <v>2287.3200000000002</v>
      </c>
      <c r="H1333" s="9">
        <v>0</v>
      </c>
      <c r="I1333" s="9">
        <v>0</v>
      </c>
      <c r="J1333" s="10">
        <v>45165</v>
      </c>
      <c r="K1333" s="9" t="s">
        <v>45</v>
      </c>
      <c r="L1333" s="9" t="s">
        <v>27</v>
      </c>
      <c r="M1333" s="9">
        <v>3859.9</v>
      </c>
    </row>
    <row r="1334" spans="1:13" x14ac:dyDescent="0.35">
      <c r="A1334" s="9">
        <v>3670</v>
      </c>
      <c r="B1334" s="9" t="s">
        <v>31</v>
      </c>
      <c r="C1334" s="9" t="s">
        <v>21</v>
      </c>
      <c r="D1334" s="9" t="s">
        <v>64</v>
      </c>
      <c r="E1334" s="9" t="s">
        <v>59</v>
      </c>
      <c r="F1334" s="9">
        <v>1</v>
      </c>
      <c r="G1334" s="9">
        <v>0</v>
      </c>
      <c r="H1334" s="9">
        <v>0</v>
      </c>
      <c r="I1334" s="9">
        <v>0</v>
      </c>
      <c r="J1334" s="10">
        <v>45165</v>
      </c>
      <c r="K1334" s="9" t="s">
        <v>45</v>
      </c>
      <c r="L1334" s="9" t="s">
        <v>35</v>
      </c>
      <c r="M1334" s="9">
        <v>-929.07</v>
      </c>
    </row>
    <row r="1335" spans="1:13" x14ac:dyDescent="0.35">
      <c r="A1335" s="9">
        <v>3671</v>
      </c>
      <c r="B1335" s="9" t="s">
        <v>28</v>
      </c>
      <c r="C1335" s="9" t="s">
        <v>20</v>
      </c>
      <c r="D1335" s="9" t="s">
        <v>70</v>
      </c>
      <c r="E1335" s="9" t="s">
        <v>59</v>
      </c>
      <c r="F1335" s="9">
        <v>2</v>
      </c>
      <c r="G1335" s="9">
        <v>0</v>
      </c>
      <c r="H1335" s="9">
        <v>0.01</v>
      </c>
      <c r="I1335" s="9">
        <v>0</v>
      </c>
      <c r="J1335" s="10">
        <v>45165</v>
      </c>
      <c r="K1335" s="9" t="s">
        <v>44</v>
      </c>
      <c r="L1335" s="9" t="s">
        <v>25</v>
      </c>
      <c r="M1335" s="9">
        <v>552.1</v>
      </c>
    </row>
    <row r="1336" spans="1:13" x14ac:dyDescent="0.35">
      <c r="A1336" s="9">
        <v>3672</v>
      </c>
      <c r="B1336" s="9" t="s">
        <v>28</v>
      </c>
      <c r="C1336" s="9" t="s">
        <v>19</v>
      </c>
      <c r="D1336" s="9" t="s">
        <v>42</v>
      </c>
      <c r="E1336" s="9" t="s">
        <v>59</v>
      </c>
      <c r="F1336" s="9">
        <v>3</v>
      </c>
      <c r="G1336" s="9">
        <v>7127.18</v>
      </c>
      <c r="H1336" s="9">
        <v>0.32</v>
      </c>
      <c r="I1336" s="9">
        <v>14539.45</v>
      </c>
      <c r="J1336" s="10">
        <v>45520</v>
      </c>
      <c r="K1336" s="9" t="s">
        <v>45</v>
      </c>
      <c r="L1336" s="9" t="s">
        <v>29</v>
      </c>
      <c r="M1336" s="9">
        <v>2651.63</v>
      </c>
    </row>
    <row r="1337" spans="1:13" x14ac:dyDescent="0.35">
      <c r="A1337" s="9">
        <v>3673</v>
      </c>
      <c r="B1337" s="9" t="s">
        <v>34</v>
      </c>
      <c r="C1337" s="9" t="s">
        <v>21</v>
      </c>
      <c r="D1337" s="9" t="s">
        <v>71</v>
      </c>
      <c r="E1337" s="9" t="s">
        <v>59</v>
      </c>
      <c r="F1337" s="9">
        <v>0</v>
      </c>
      <c r="G1337" s="9">
        <v>0</v>
      </c>
      <c r="H1337" s="9">
        <v>0</v>
      </c>
      <c r="I1337" s="9">
        <v>0</v>
      </c>
      <c r="J1337" s="10">
        <v>45520</v>
      </c>
      <c r="K1337" s="9" t="s">
        <v>44</v>
      </c>
      <c r="L1337" s="9" t="s">
        <v>26</v>
      </c>
      <c r="M1337" s="9">
        <v>2199.46</v>
      </c>
    </row>
    <row r="1338" spans="1:13" x14ac:dyDescent="0.35">
      <c r="A1338" s="9">
        <v>3674</v>
      </c>
      <c r="B1338" s="9" t="s">
        <v>31</v>
      </c>
      <c r="C1338" s="9" t="s">
        <v>21</v>
      </c>
      <c r="D1338" s="9" t="s">
        <v>64</v>
      </c>
      <c r="E1338" s="9" t="s">
        <v>62</v>
      </c>
      <c r="F1338" s="9">
        <v>0</v>
      </c>
      <c r="G1338" s="9">
        <v>0</v>
      </c>
      <c r="H1338" s="9">
        <v>0</v>
      </c>
      <c r="I1338" s="9">
        <v>0</v>
      </c>
      <c r="J1338" s="10">
        <v>45765</v>
      </c>
      <c r="K1338" s="9" t="s">
        <v>45</v>
      </c>
      <c r="L1338" s="9" t="s">
        <v>35</v>
      </c>
      <c r="M1338" s="9">
        <v>1819.44</v>
      </c>
    </row>
    <row r="1339" spans="1:13" x14ac:dyDescent="0.35">
      <c r="A1339" s="9">
        <v>3675</v>
      </c>
      <c r="B1339" s="9" t="s">
        <v>31</v>
      </c>
      <c r="C1339" s="9" t="s">
        <v>20</v>
      </c>
      <c r="D1339" s="9" t="s">
        <v>70</v>
      </c>
      <c r="E1339" s="9" t="s">
        <v>59</v>
      </c>
      <c r="F1339" s="9">
        <v>2</v>
      </c>
      <c r="G1339" s="9">
        <v>0</v>
      </c>
      <c r="H1339" s="9">
        <v>0</v>
      </c>
      <c r="I1339" s="9">
        <v>0</v>
      </c>
      <c r="J1339" s="10">
        <v>45609</v>
      </c>
      <c r="K1339" s="9" t="s">
        <v>45</v>
      </c>
      <c r="L1339" s="9" t="s">
        <v>29</v>
      </c>
      <c r="M1339" s="9">
        <v>3969.03</v>
      </c>
    </row>
    <row r="1340" spans="1:13" x14ac:dyDescent="0.35">
      <c r="A1340" s="9">
        <v>3676</v>
      </c>
      <c r="B1340" s="9" t="s">
        <v>31</v>
      </c>
      <c r="C1340" s="9" t="s">
        <v>19</v>
      </c>
      <c r="D1340" s="9" t="s">
        <v>42</v>
      </c>
      <c r="E1340" s="9" t="s">
        <v>59</v>
      </c>
      <c r="F1340" s="9">
        <v>0</v>
      </c>
      <c r="G1340" s="9">
        <v>0</v>
      </c>
      <c r="H1340" s="9">
        <v>1.24</v>
      </c>
      <c r="I1340" s="9">
        <v>0</v>
      </c>
      <c r="J1340" s="10">
        <v>45609</v>
      </c>
      <c r="K1340" s="9" t="s">
        <v>45</v>
      </c>
      <c r="L1340" s="9" t="s">
        <v>29</v>
      </c>
      <c r="M1340" s="9">
        <v>1923.5</v>
      </c>
    </row>
    <row r="1341" spans="1:13" x14ac:dyDescent="0.35">
      <c r="A1341" s="9">
        <v>3677</v>
      </c>
      <c r="B1341" s="9" t="s">
        <v>28</v>
      </c>
      <c r="C1341" s="9" t="s">
        <v>19</v>
      </c>
      <c r="D1341" s="9" t="s">
        <v>63</v>
      </c>
      <c r="E1341" s="9" t="s">
        <v>60</v>
      </c>
      <c r="F1341" s="9">
        <v>0</v>
      </c>
      <c r="G1341" s="9">
        <v>0</v>
      </c>
      <c r="H1341" s="9">
        <v>0</v>
      </c>
      <c r="I1341" s="9">
        <v>0</v>
      </c>
      <c r="J1341" s="10">
        <v>45609</v>
      </c>
      <c r="K1341" s="9" t="s">
        <v>45</v>
      </c>
      <c r="L1341" s="9" t="s">
        <v>35</v>
      </c>
      <c r="M1341" s="9">
        <v>717.69</v>
      </c>
    </row>
    <row r="1342" spans="1:13" x14ac:dyDescent="0.35">
      <c r="A1342" s="9">
        <v>3678</v>
      </c>
      <c r="B1342" s="9" t="s">
        <v>28</v>
      </c>
      <c r="C1342" s="9" t="s">
        <v>21</v>
      </c>
      <c r="D1342" s="9" t="s">
        <v>64</v>
      </c>
      <c r="E1342" s="9" t="s">
        <v>59</v>
      </c>
      <c r="F1342" s="9">
        <v>3</v>
      </c>
      <c r="G1342" s="9">
        <v>0</v>
      </c>
      <c r="H1342" s="9">
        <v>0</v>
      </c>
      <c r="I1342" s="9">
        <v>0</v>
      </c>
      <c r="J1342" s="10">
        <v>45518</v>
      </c>
      <c r="K1342" s="9" t="s">
        <v>45</v>
      </c>
      <c r="L1342" s="9" t="s">
        <v>27</v>
      </c>
      <c r="M1342" s="9">
        <v>1488.91</v>
      </c>
    </row>
    <row r="1343" spans="1:13" x14ac:dyDescent="0.35">
      <c r="A1343" s="9">
        <v>3679</v>
      </c>
      <c r="B1343" s="9" t="s">
        <v>28</v>
      </c>
      <c r="C1343" s="9" t="s">
        <v>22</v>
      </c>
      <c r="D1343" s="9" t="s">
        <v>67</v>
      </c>
      <c r="E1343" s="9" t="s">
        <v>59</v>
      </c>
      <c r="F1343" s="9">
        <v>0</v>
      </c>
      <c r="G1343" s="9">
        <v>0</v>
      </c>
      <c r="H1343" s="9">
        <v>0.9</v>
      </c>
      <c r="I1343" s="9">
        <v>0</v>
      </c>
      <c r="J1343" s="10">
        <v>45518</v>
      </c>
      <c r="K1343" s="9" t="s">
        <v>44</v>
      </c>
      <c r="L1343" s="9" t="s">
        <v>25</v>
      </c>
      <c r="M1343" s="9">
        <v>3341.51</v>
      </c>
    </row>
    <row r="1344" spans="1:13" x14ac:dyDescent="0.35">
      <c r="A1344" s="9">
        <v>3680</v>
      </c>
      <c r="B1344" s="9" t="s">
        <v>31</v>
      </c>
      <c r="C1344" s="9" t="s">
        <v>18</v>
      </c>
      <c r="D1344" s="9" t="s">
        <v>33</v>
      </c>
      <c r="E1344" s="9" t="s">
        <v>62</v>
      </c>
      <c r="F1344" s="9">
        <v>3</v>
      </c>
      <c r="G1344" s="9">
        <v>8835.41</v>
      </c>
      <c r="H1344" s="9">
        <v>0.92</v>
      </c>
      <c r="I1344" s="9">
        <v>2120.5</v>
      </c>
      <c r="J1344" s="10">
        <v>45684</v>
      </c>
      <c r="K1344" s="9" t="s">
        <v>44</v>
      </c>
      <c r="L1344" s="9" t="s">
        <v>29</v>
      </c>
      <c r="M1344" s="9">
        <v>-746.28</v>
      </c>
    </row>
    <row r="1345" spans="1:13" x14ac:dyDescent="0.35">
      <c r="A1345" s="9">
        <v>3681</v>
      </c>
      <c r="B1345" s="9" t="s">
        <v>31</v>
      </c>
      <c r="C1345" s="9" t="s">
        <v>19</v>
      </c>
      <c r="D1345" s="9" t="s">
        <v>69</v>
      </c>
      <c r="E1345" s="9" t="s">
        <v>60</v>
      </c>
      <c r="F1345" s="9">
        <v>0</v>
      </c>
      <c r="G1345" s="9">
        <v>0</v>
      </c>
      <c r="H1345" s="9">
        <v>0.95</v>
      </c>
      <c r="I1345" s="9">
        <v>0</v>
      </c>
      <c r="J1345" s="10">
        <v>45756</v>
      </c>
      <c r="K1345" s="9" t="s">
        <v>45</v>
      </c>
      <c r="L1345" s="9" t="s">
        <v>32</v>
      </c>
      <c r="M1345" s="9">
        <v>1838.69</v>
      </c>
    </row>
    <row r="1346" spans="1:13" x14ac:dyDescent="0.35">
      <c r="A1346" s="9">
        <v>3682</v>
      </c>
      <c r="B1346" s="9" t="s">
        <v>28</v>
      </c>
      <c r="C1346" s="9" t="s">
        <v>22</v>
      </c>
      <c r="D1346" s="9" t="s">
        <v>68</v>
      </c>
      <c r="E1346" s="9" t="s">
        <v>59</v>
      </c>
      <c r="F1346" s="9">
        <v>0</v>
      </c>
      <c r="G1346" s="9">
        <v>6158.05</v>
      </c>
      <c r="H1346" s="9">
        <v>1.1200000000000001</v>
      </c>
      <c r="I1346" s="9">
        <v>0</v>
      </c>
      <c r="J1346" s="10">
        <v>45574</v>
      </c>
      <c r="K1346" s="9" t="s">
        <v>44</v>
      </c>
      <c r="L1346" s="9" t="s">
        <v>26</v>
      </c>
      <c r="M1346" s="9">
        <v>160.21</v>
      </c>
    </row>
    <row r="1347" spans="1:13" x14ac:dyDescent="0.35">
      <c r="A1347" s="9">
        <v>3683</v>
      </c>
      <c r="B1347" s="9" t="s">
        <v>28</v>
      </c>
      <c r="C1347" s="9" t="s">
        <v>19</v>
      </c>
      <c r="D1347" s="9" t="s">
        <v>39</v>
      </c>
      <c r="E1347" s="9" t="s">
        <v>60</v>
      </c>
      <c r="F1347" s="9">
        <v>2</v>
      </c>
      <c r="G1347" s="9">
        <v>0</v>
      </c>
      <c r="H1347" s="9">
        <v>0</v>
      </c>
      <c r="I1347" s="9">
        <v>0</v>
      </c>
      <c r="J1347" s="10">
        <v>45427</v>
      </c>
      <c r="K1347" s="9" t="s">
        <v>44</v>
      </c>
      <c r="L1347" s="9" t="s">
        <v>27</v>
      </c>
      <c r="M1347" s="9">
        <v>-4.26</v>
      </c>
    </row>
    <row r="1348" spans="1:13" x14ac:dyDescent="0.35">
      <c r="A1348" s="9">
        <v>3684</v>
      </c>
      <c r="B1348" s="9" t="s">
        <v>34</v>
      </c>
      <c r="C1348" s="9" t="s">
        <v>19</v>
      </c>
      <c r="D1348" s="9" t="s">
        <v>42</v>
      </c>
      <c r="E1348" s="9" t="s">
        <v>60</v>
      </c>
      <c r="F1348" s="9">
        <v>0</v>
      </c>
      <c r="G1348" s="9">
        <v>3440.57</v>
      </c>
      <c r="H1348" s="9">
        <v>1.01</v>
      </c>
      <c r="I1348" s="9">
        <v>0</v>
      </c>
      <c r="J1348" s="10">
        <v>45536</v>
      </c>
      <c r="K1348" s="9" t="s">
        <v>45</v>
      </c>
      <c r="L1348" s="9" t="s">
        <v>32</v>
      </c>
      <c r="M1348" s="9">
        <v>3299.44</v>
      </c>
    </row>
    <row r="1349" spans="1:13" x14ac:dyDescent="0.35">
      <c r="A1349" s="9">
        <v>3685</v>
      </c>
      <c r="B1349" s="9" t="s">
        <v>28</v>
      </c>
      <c r="C1349" s="9" t="s">
        <v>22</v>
      </c>
      <c r="D1349" s="9" t="s">
        <v>65</v>
      </c>
      <c r="E1349" s="9" t="s">
        <v>62</v>
      </c>
      <c r="F1349" s="9">
        <v>0</v>
      </c>
      <c r="G1349" s="9">
        <v>2633.72</v>
      </c>
      <c r="H1349" s="9">
        <v>0</v>
      </c>
      <c r="I1349" s="9">
        <v>0</v>
      </c>
      <c r="J1349" s="10">
        <v>45701</v>
      </c>
      <c r="K1349" s="9" t="s">
        <v>44</v>
      </c>
      <c r="L1349" s="9" t="s">
        <v>32</v>
      </c>
      <c r="M1349" s="9">
        <v>1668</v>
      </c>
    </row>
    <row r="1350" spans="1:13" x14ac:dyDescent="0.35">
      <c r="A1350" s="9">
        <v>3686</v>
      </c>
      <c r="B1350" s="9" t="s">
        <v>28</v>
      </c>
      <c r="C1350" s="9" t="s">
        <v>18</v>
      </c>
      <c r="D1350" s="9" t="s">
        <v>37</v>
      </c>
      <c r="E1350" s="9" t="s">
        <v>59</v>
      </c>
      <c r="F1350" s="9">
        <v>0</v>
      </c>
      <c r="G1350" s="9">
        <v>0</v>
      </c>
      <c r="H1350" s="9">
        <v>0</v>
      </c>
      <c r="I1350" s="9">
        <v>0</v>
      </c>
      <c r="J1350" s="10">
        <v>45591</v>
      </c>
      <c r="K1350" s="9" t="s">
        <v>44</v>
      </c>
      <c r="L1350" s="9" t="s">
        <v>32</v>
      </c>
      <c r="M1350" s="9">
        <v>-2.86</v>
      </c>
    </row>
    <row r="1351" spans="1:13" x14ac:dyDescent="0.35">
      <c r="A1351" s="9">
        <v>3687</v>
      </c>
      <c r="B1351" s="9" t="s">
        <v>28</v>
      </c>
      <c r="C1351" s="9" t="s">
        <v>18</v>
      </c>
      <c r="D1351" s="9" t="s">
        <v>38</v>
      </c>
      <c r="E1351" s="9" t="s">
        <v>62</v>
      </c>
      <c r="F1351" s="9">
        <v>-1</v>
      </c>
      <c r="G1351" s="9">
        <v>6216.27</v>
      </c>
      <c r="H1351" s="9">
        <v>0</v>
      </c>
      <c r="I1351" s="9">
        <v>0</v>
      </c>
      <c r="J1351" s="10">
        <v>45588</v>
      </c>
      <c r="K1351" s="9" t="s">
        <v>44</v>
      </c>
      <c r="L1351" s="9" t="s">
        <v>26</v>
      </c>
      <c r="M1351" s="9">
        <v>2418.27</v>
      </c>
    </row>
    <row r="1352" spans="1:13" x14ac:dyDescent="0.35">
      <c r="A1352" s="9">
        <v>3688</v>
      </c>
      <c r="B1352" s="9" t="s">
        <v>34</v>
      </c>
      <c r="C1352" s="9" t="s">
        <v>20</v>
      </c>
      <c r="D1352" s="9" t="s">
        <v>61</v>
      </c>
      <c r="E1352" s="9" t="s">
        <v>60</v>
      </c>
      <c r="F1352" s="9">
        <v>1</v>
      </c>
      <c r="G1352" s="9">
        <v>5048.9799999999996</v>
      </c>
      <c r="H1352" s="9">
        <v>0</v>
      </c>
      <c r="I1352" s="9">
        <v>0</v>
      </c>
      <c r="J1352" s="10">
        <v>45764</v>
      </c>
      <c r="K1352" s="9" t="s">
        <v>44</v>
      </c>
      <c r="L1352" s="9" t="s">
        <v>27</v>
      </c>
      <c r="M1352" s="9">
        <v>1214.8599999999999</v>
      </c>
    </row>
    <row r="1353" spans="1:13" x14ac:dyDescent="0.35">
      <c r="A1353" s="9">
        <v>3689</v>
      </c>
      <c r="B1353" s="9" t="s">
        <v>28</v>
      </c>
      <c r="C1353" s="9" t="s">
        <v>19</v>
      </c>
      <c r="D1353" s="9" t="s">
        <v>69</v>
      </c>
      <c r="E1353" s="9" t="s">
        <v>62</v>
      </c>
      <c r="F1353" s="9">
        <v>0</v>
      </c>
      <c r="G1353" s="9">
        <v>0</v>
      </c>
      <c r="H1353" s="9">
        <v>0</v>
      </c>
      <c r="I1353" s="9">
        <v>0</v>
      </c>
      <c r="J1353" s="10">
        <v>45536</v>
      </c>
      <c r="K1353" s="9" t="s">
        <v>44</v>
      </c>
      <c r="L1353" s="9" t="s">
        <v>35</v>
      </c>
      <c r="M1353" s="9">
        <v>1854.17</v>
      </c>
    </row>
    <row r="1354" spans="1:13" x14ac:dyDescent="0.35">
      <c r="A1354" s="9">
        <v>2028</v>
      </c>
      <c r="B1354" s="9" t="s">
        <v>34</v>
      </c>
      <c r="C1354" s="9" t="s">
        <v>19</v>
      </c>
      <c r="D1354" s="9" t="s">
        <v>69</v>
      </c>
      <c r="E1354" s="9" t="s">
        <v>59</v>
      </c>
      <c r="F1354" s="9">
        <v>2</v>
      </c>
      <c r="G1354" s="9">
        <v>0</v>
      </c>
      <c r="H1354" s="9">
        <v>0.97</v>
      </c>
      <c r="I1354" s="9">
        <v>0</v>
      </c>
      <c r="J1354" s="10">
        <v>45792</v>
      </c>
      <c r="K1354" s="9" t="s">
        <v>44</v>
      </c>
      <c r="L1354" s="9" t="s">
        <v>35</v>
      </c>
      <c r="M1354" s="9">
        <v>2305.1</v>
      </c>
    </row>
    <row r="1355" spans="1:13" x14ac:dyDescent="0.35">
      <c r="A1355" s="9">
        <v>3691</v>
      </c>
      <c r="B1355" s="9" t="s">
        <v>31</v>
      </c>
      <c r="C1355" s="9" t="s">
        <v>19</v>
      </c>
      <c r="D1355" s="9" t="s">
        <v>39</v>
      </c>
      <c r="E1355" s="9" t="s">
        <v>59</v>
      </c>
      <c r="F1355" s="9">
        <v>4</v>
      </c>
      <c r="G1355" s="9">
        <v>0</v>
      </c>
      <c r="H1355" s="9">
        <v>0.51</v>
      </c>
      <c r="I1355" s="9">
        <v>0</v>
      </c>
      <c r="J1355" s="10">
        <v>45744</v>
      </c>
      <c r="K1355" s="9" t="s">
        <v>45</v>
      </c>
      <c r="L1355" s="9" t="s">
        <v>25</v>
      </c>
      <c r="M1355" s="9">
        <v>2305.88</v>
      </c>
    </row>
    <row r="1356" spans="1:13" x14ac:dyDescent="0.35">
      <c r="A1356" s="9">
        <v>3693</v>
      </c>
      <c r="B1356" s="9" t="s">
        <v>31</v>
      </c>
      <c r="C1356" s="9" t="s">
        <v>22</v>
      </c>
      <c r="D1356" s="9" t="s">
        <v>65</v>
      </c>
      <c r="E1356" s="9" t="s">
        <v>62</v>
      </c>
      <c r="F1356" s="9">
        <v>0</v>
      </c>
      <c r="G1356" s="9">
        <v>4239.9399999999996</v>
      </c>
      <c r="H1356" s="9">
        <v>0</v>
      </c>
      <c r="I1356" s="9">
        <v>0</v>
      </c>
      <c r="J1356" s="10">
        <v>45744</v>
      </c>
      <c r="K1356" s="9" t="s">
        <v>44</v>
      </c>
      <c r="L1356" s="9" t="s">
        <v>32</v>
      </c>
      <c r="M1356" s="9">
        <v>-35.71</v>
      </c>
    </row>
    <row r="1357" spans="1:13" x14ac:dyDescent="0.35">
      <c r="A1357" s="9">
        <v>3694</v>
      </c>
      <c r="B1357" s="9" t="s">
        <v>34</v>
      </c>
      <c r="C1357" s="9" t="s">
        <v>19</v>
      </c>
      <c r="D1357" s="9" t="s">
        <v>42</v>
      </c>
      <c r="E1357" s="9" t="s">
        <v>60</v>
      </c>
      <c r="F1357" s="9">
        <v>0</v>
      </c>
      <c r="G1357" s="9">
        <v>4954.41</v>
      </c>
      <c r="H1357" s="9">
        <v>0</v>
      </c>
      <c r="I1357" s="9">
        <v>0</v>
      </c>
      <c r="J1357" s="10">
        <v>45744</v>
      </c>
      <c r="K1357" s="9" t="s">
        <v>45</v>
      </c>
      <c r="L1357" s="9" t="s">
        <v>32</v>
      </c>
      <c r="M1357" s="9">
        <v>1522.3</v>
      </c>
    </row>
    <row r="1358" spans="1:13" x14ac:dyDescent="0.35">
      <c r="A1358" s="9">
        <v>3696</v>
      </c>
      <c r="B1358" s="9" t="s">
        <v>34</v>
      </c>
      <c r="C1358" s="9" t="s">
        <v>18</v>
      </c>
      <c r="D1358" s="9" t="s">
        <v>38</v>
      </c>
      <c r="E1358" s="9" t="s">
        <v>59</v>
      </c>
      <c r="F1358" s="9">
        <v>0</v>
      </c>
      <c r="G1358" s="9">
        <v>6425.04</v>
      </c>
      <c r="H1358" s="9">
        <v>0</v>
      </c>
      <c r="I1358" s="9">
        <v>0</v>
      </c>
      <c r="J1358" s="10">
        <v>45605</v>
      </c>
      <c r="K1358" s="9" t="s">
        <v>44</v>
      </c>
      <c r="L1358" s="9" t="s">
        <v>27</v>
      </c>
      <c r="M1358" s="9">
        <v>1966.58</v>
      </c>
    </row>
    <row r="1359" spans="1:13" x14ac:dyDescent="0.35">
      <c r="A1359" s="9">
        <v>3698</v>
      </c>
      <c r="B1359" s="9" t="s">
        <v>28</v>
      </c>
      <c r="C1359" s="9" t="s">
        <v>22</v>
      </c>
      <c r="D1359" s="9" t="s">
        <v>68</v>
      </c>
      <c r="E1359" s="9" t="s">
        <v>60</v>
      </c>
      <c r="F1359" s="9">
        <v>0</v>
      </c>
      <c r="G1359" s="9">
        <v>7268.55</v>
      </c>
      <c r="H1359" s="9">
        <v>0.34</v>
      </c>
      <c r="I1359" s="9">
        <v>0</v>
      </c>
      <c r="J1359" s="10">
        <v>45706</v>
      </c>
      <c r="K1359" s="9" t="s">
        <v>44</v>
      </c>
      <c r="L1359" s="9" t="s">
        <v>29</v>
      </c>
      <c r="M1359" s="9">
        <v>219.99</v>
      </c>
    </row>
    <row r="1360" spans="1:13" x14ac:dyDescent="0.35">
      <c r="A1360" s="9">
        <v>3699</v>
      </c>
      <c r="B1360" s="9" t="s">
        <v>28</v>
      </c>
      <c r="C1360" s="9" t="s">
        <v>20</v>
      </c>
      <c r="D1360" s="9" t="s">
        <v>43</v>
      </c>
      <c r="E1360" s="9" t="s">
        <v>59</v>
      </c>
      <c r="F1360" s="9">
        <v>0</v>
      </c>
      <c r="G1360" s="9">
        <v>8400.1</v>
      </c>
      <c r="H1360" s="9">
        <v>0.47</v>
      </c>
      <c r="I1360" s="9">
        <v>0</v>
      </c>
      <c r="J1360" s="10">
        <v>45571</v>
      </c>
      <c r="K1360" s="9" t="s">
        <v>44</v>
      </c>
      <c r="L1360" s="9" t="s">
        <v>29</v>
      </c>
      <c r="M1360" s="9">
        <v>249.58</v>
      </c>
    </row>
    <row r="1361" spans="1:13" x14ac:dyDescent="0.35">
      <c r="A1361" s="9">
        <v>3700</v>
      </c>
      <c r="B1361" s="9" t="s">
        <v>31</v>
      </c>
      <c r="C1361" s="9" t="s">
        <v>19</v>
      </c>
      <c r="D1361" s="9" t="s">
        <v>39</v>
      </c>
      <c r="E1361" s="9" t="s">
        <v>62</v>
      </c>
      <c r="F1361" s="9">
        <v>2</v>
      </c>
      <c r="G1361" s="9">
        <v>3951.29</v>
      </c>
      <c r="H1361" s="9">
        <v>0</v>
      </c>
      <c r="I1361" s="9">
        <v>0</v>
      </c>
      <c r="J1361" s="10">
        <v>45571</v>
      </c>
      <c r="K1361" s="9" t="s">
        <v>45</v>
      </c>
      <c r="L1361" s="9" t="s">
        <v>29</v>
      </c>
      <c r="M1361" s="9">
        <v>-70.930000000000007</v>
      </c>
    </row>
    <row r="1362" spans="1:13" x14ac:dyDescent="0.35">
      <c r="A1362" s="9">
        <v>3701</v>
      </c>
      <c r="B1362" s="9" t="s">
        <v>31</v>
      </c>
      <c r="C1362" s="9" t="s">
        <v>18</v>
      </c>
      <c r="D1362" s="9" t="s">
        <v>41</v>
      </c>
      <c r="E1362" s="9" t="s">
        <v>60</v>
      </c>
      <c r="F1362" s="9">
        <v>0</v>
      </c>
      <c r="G1362" s="9">
        <v>9459.94</v>
      </c>
      <c r="H1362" s="9">
        <v>0.57999999999999996</v>
      </c>
      <c r="I1362" s="9">
        <v>0</v>
      </c>
      <c r="J1362" s="10">
        <v>45571</v>
      </c>
      <c r="K1362" s="9" t="s">
        <v>45</v>
      </c>
      <c r="L1362" s="9" t="s">
        <v>25</v>
      </c>
      <c r="M1362" s="9">
        <v>-463.88</v>
      </c>
    </row>
    <row r="1363" spans="1:13" x14ac:dyDescent="0.35">
      <c r="A1363" s="9">
        <v>3702</v>
      </c>
      <c r="B1363" s="9" t="s">
        <v>31</v>
      </c>
      <c r="C1363" s="9" t="s">
        <v>20</v>
      </c>
      <c r="D1363" s="9" t="s">
        <v>61</v>
      </c>
      <c r="E1363" s="9" t="s">
        <v>59</v>
      </c>
      <c r="F1363" s="9">
        <v>0</v>
      </c>
      <c r="G1363" s="9">
        <v>0</v>
      </c>
      <c r="H1363" s="9">
        <v>0.99</v>
      </c>
      <c r="I1363" s="9">
        <v>0</v>
      </c>
      <c r="J1363" s="10">
        <v>45797</v>
      </c>
      <c r="K1363" s="9" t="s">
        <v>45</v>
      </c>
      <c r="L1363" s="9" t="s">
        <v>35</v>
      </c>
      <c r="M1363" s="9">
        <v>3398.32</v>
      </c>
    </row>
    <row r="1364" spans="1:13" x14ac:dyDescent="0.35">
      <c r="A1364" s="9">
        <v>3703</v>
      </c>
      <c r="B1364" s="9" t="s">
        <v>31</v>
      </c>
      <c r="C1364" s="9" t="s">
        <v>20</v>
      </c>
      <c r="D1364" s="9" t="s">
        <v>43</v>
      </c>
      <c r="E1364" s="9" t="s">
        <v>59</v>
      </c>
      <c r="F1364" s="9">
        <v>0</v>
      </c>
      <c r="G1364" s="9">
        <v>0</v>
      </c>
      <c r="H1364" s="9">
        <v>0</v>
      </c>
      <c r="I1364" s="9">
        <v>0</v>
      </c>
      <c r="J1364" s="10">
        <v>45566</v>
      </c>
      <c r="K1364" s="9" t="s">
        <v>45</v>
      </c>
      <c r="L1364" s="9" t="s">
        <v>26</v>
      </c>
      <c r="M1364" s="9">
        <v>326.86</v>
      </c>
    </row>
    <row r="1365" spans="1:13" x14ac:dyDescent="0.35">
      <c r="A1365" s="9">
        <v>3704</v>
      </c>
      <c r="B1365" s="9" t="s">
        <v>34</v>
      </c>
      <c r="C1365" s="9" t="s">
        <v>20</v>
      </c>
      <c r="D1365" s="9" t="s">
        <v>70</v>
      </c>
      <c r="E1365" s="9" t="s">
        <v>59</v>
      </c>
      <c r="F1365" s="9">
        <v>0</v>
      </c>
      <c r="G1365" s="9">
        <v>0</v>
      </c>
      <c r="H1365" s="9">
        <v>0.31</v>
      </c>
      <c r="I1365" s="9">
        <v>0</v>
      </c>
      <c r="J1365" s="10">
        <v>45566</v>
      </c>
      <c r="K1365" s="9" t="s">
        <v>44</v>
      </c>
      <c r="L1365" s="9" t="s">
        <v>29</v>
      </c>
      <c r="M1365" s="9">
        <v>3556.62</v>
      </c>
    </row>
    <row r="1366" spans="1:13" x14ac:dyDescent="0.35">
      <c r="A1366" s="9">
        <v>3705</v>
      </c>
      <c r="B1366" s="9" t="s">
        <v>34</v>
      </c>
      <c r="C1366" s="9" t="s">
        <v>18</v>
      </c>
      <c r="D1366" s="9" t="s">
        <v>41</v>
      </c>
      <c r="E1366" s="9" t="s">
        <v>59</v>
      </c>
      <c r="F1366" s="9">
        <v>0</v>
      </c>
      <c r="G1366" s="9">
        <v>5644.1</v>
      </c>
      <c r="H1366" s="9">
        <v>0.09</v>
      </c>
      <c r="I1366" s="9">
        <v>0</v>
      </c>
      <c r="J1366" s="10">
        <v>45546</v>
      </c>
      <c r="K1366" s="9" t="s">
        <v>45</v>
      </c>
      <c r="L1366" s="9" t="s">
        <v>32</v>
      </c>
      <c r="M1366" s="9">
        <v>3860.78</v>
      </c>
    </row>
    <row r="1367" spans="1:13" x14ac:dyDescent="0.35">
      <c r="A1367" s="9">
        <v>3706</v>
      </c>
      <c r="B1367" s="9" t="s">
        <v>31</v>
      </c>
      <c r="C1367" s="9" t="s">
        <v>20</v>
      </c>
      <c r="D1367" s="9" t="s">
        <v>70</v>
      </c>
      <c r="E1367" s="9" t="s">
        <v>59</v>
      </c>
      <c r="F1367" s="9">
        <v>1</v>
      </c>
      <c r="G1367" s="9">
        <v>9437.73</v>
      </c>
      <c r="H1367" s="9">
        <v>0</v>
      </c>
      <c r="I1367" s="9">
        <v>0</v>
      </c>
      <c r="J1367" s="10">
        <v>45725</v>
      </c>
      <c r="K1367" s="9" t="s">
        <v>44</v>
      </c>
      <c r="L1367" s="9" t="s">
        <v>32</v>
      </c>
      <c r="M1367" s="9">
        <v>3271.38</v>
      </c>
    </row>
    <row r="1368" spans="1:13" x14ac:dyDescent="0.35">
      <c r="A1368" s="9">
        <v>3707</v>
      </c>
      <c r="B1368" s="9" t="s">
        <v>34</v>
      </c>
      <c r="C1368" s="9" t="s">
        <v>21</v>
      </c>
      <c r="D1368" s="9" t="s">
        <v>64</v>
      </c>
      <c r="E1368" s="9" t="s">
        <v>60</v>
      </c>
      <c r="F1368" s="9">
        <v>4</v>
      </c>
      <c r="G1368" s="9">
        <v>9532.7999999999993</v>
      </c>
      <c r="H1368" s="9">
        <v>0</v>
      </c>
      <c r="I1368" s="9">
        <v>0</v>
      </c>
      <c r="J1368" s="10">
        <v>45689</v>
      </c>
      <c r="K1368" s="9" t="s">
        <v>45</v>
      </c>
      <c r="L1368" s="9" t="s">
        <v>26</v>
      </c>
      <c r="M1368" s="9">
        <v>732.26</v>
      </c>
    </row>
    <row r="1369" spans="1:13" x14ac:dyDescent="0.35">
      <c r="A1369" s="9">
        <v>3708</v>
      </c>
      <c r="B1369" s="9" t="s">
        <v>34</v>
      </c>
      <c r="C1369" s="9" t="s">
        <v>22</v>
      </c>
      <c r="D1369" s="9" t="s">
        <v>67</v>
      </c>
      <c r="E1369" s="9" t="s">
        <v>59</v>
      </c>
      <c r="F1369" s="9">
        <v>0</v>
      </c>
      <c r="G1369" s="9">
        <v>4546.6400000000003</v>
      </c>
      <c r="H1369" s="9">
        <v>0.77</v>
      </c>
      <c r="I1369" s="9">
        <v>0</v>
      </c>
      <c r="J1369" s="10">
        <v>45703</v>
      </c>
      <c r="K1369" s="9" t="s">
        <v>44</v>
      </c>
      <c r="L1369" s="9" t="s">
        <v>25</v>
      </c>
      <c r="M1369" s="9">
        <v>3305.02</v>
      </c>
    </row>
    <row r="1370" spans="1:13" x14ac:dyDescent="0.35">
      <c r="A1370" s="9">
        <v>3709</v>
      </c>
      <c r="B1370" s="9" t="s">
        <v>31</v>
      </c>
      <c r="C1370" s="9" t="s">
        <v>19</v>
      </c>
      <c r="D1370" s="9" t="s">
        <v>39</v>
      </c>
      <c r="E1370" s="9" t="s">
        <v>59</v>
      </c>
      <c r="F1370" s="9">
        <v>-1</v>
      </c>
      <c r="G1370" s="9">
        <v>4857.6899999999996</v>
      </c>
      <c r="H1370" s="9">
        <v>0</v>
      </c>
      <c r="I1370" s="9">
        <v>0</v>
      </c>
      <c r="J1370" s="10">
        <v>45703</v>
      </c>
      <c r="K1370" s="9" t="s">
        <v>44</v>
      </c>
      <c r="L1370" s="9" t="s">
        <v>29</v>
      </c>
      <c r="M1370" s="9">
        <v>-926.92</v>
      </c>
    </row>
    <row r="1371" spans="1:13" x14ac:dyDescent="0.35">
      <c r="A1371" s="9">
        <v>3710</v>
      </c>
      <c r="B1371" s="9" t="s">
        <v>34</v>
      </c>
      <c r="C1371" s="9" t="s">
        <v>21</v>
      </c>
      <c r="D1371" s="9" t="s">
        <v>36</v>
      </c>
      <c r="E1371" s="9" t="s">
        <v>60</v>
      </c>
      <c r="F1371" s="9">
        <v>4</v>
      </c>
      <c r="G1371" s="9">
        <v>9015.7999999999993</v>
      </c>
      <c r="H1371" s="9">
        <v>0</v>
      </c>
      <c r="I1371" s="9">
        <v>0</v>
      </c>
      <c r="J1371" s="10">
        <v>45703</v>
      </c>
      <c r="K1371" s="9" t="s">
        <v>45</v>
      </c>
      <c r="L1371" s="9" t="s">
        <v>26</v>
      </c>
      <c r="M1371" s="9">
        <v>1695.86</v>
      </c>
    </row>
    <row r="1372" spans="1:13" x14ac:dyDescent="0.35">
      <c r="A1372" s="9">
        <v>3713</v>
      </c>
      <c r="B1372" s="9" t="s">
        <v>31</v>
      </c>
      <c r="C1372" s="9" t="s">
        <v>22</v>
      </c>
      <c r="D1372" s="9" t="s">
        <v>68</v>
      </c>
      <c r="E1372" s="9" t="s">
        <v>62</v>
      </c>
      <c r="F1372" s="9">
        <v>0</v>
      </c>
      <c r="G1372" s="9">
        <v>0</v>
      </c>
      <c r="H1372" s="9">
        <v>0.68</v>
      </c>
      <c r="I1372" s="9">
        <v>0</v>
      </c>
      <c r="J1372" s="10">
        <v>45595</v>
      </c>
      <c r="K1372" s="9" t="s">
        <v>44</v>
      </c>
      <c r="L1372" s="9" t="s">
        <v>35</v>
      </c>
      <c r="M1372" s="9">
        <v>3271.73</v>
      </c>
    </row>
    <row r="1373" spans="1:13" x14ac:dyDescent="0.35">
      <c r="A1373" s="9">
        <v>3714</v>
      </c>
      <c r="B1373" s="9" t="s">
        <v>34</v>
      </c>
      <c r="C1373" s="9" t="s">
        <v>19</v>
      </c>
      <c r="D1373" s="9" t="s">
        <v>42</v>
      </c>
      <c r="E1373" s="9" t="s">
        <v>60</v>
      </c>
      <c r="F1373" s="9">
        <v>2</v>
      </c>
      <c r="G1373" s="9">
        <v>3568.35</v>
      </c>
      <c r="H1373" s="9">
        <v>0</v>
      </c>
      <c r="I1373" s="9">
        <v>0</v>
      </c>
      <c r="J1373" s="10">
        <v>45709</v>
      </c>
      <c r="K1373" s="9" t="s">
        <v>44</v>
      </c>
      <c r="L1373" s="9" t="s">
        <v>26</v>
      </c>
      <c r="M1373" s="9">
        <v>2363.52</v>
      </c>
    </row>
    <row r="1374" spans="1:13" x14ac:dyDescent="0.35">
      <c r="A1374" s="9">
        <v>3715</v>
      </c>
      <c r="B1374" s="9" t="s">
        <v>31</v>
      </c>
      <c r="C1374" s="9" t="s">
        <v>21</v>
      </c>
      <c r="D1374" s="9" t="s">
        <v>40</v>
      </c>
      <c r="E1374" s="9" t="s">
        <v>60</v>
      </c>
      <c r="F1374" s="9">
        <v>4</v>
      </c>
      <c r="G1374" s="9">
        <v>0</v>
      </c>
      <c r="H1374" s="9">
        <v>0</v>
      </c>
      <c r="I1374" s="9">
        <v>0</v>
      </c>
      <c r="J1374" s="10">
        <v>45831</v>
      </c>
      <c r="K1374" s="9" t="s">
        <v>45</v>
      </c>
      <c r="L1374" s="9" t="s">
        <v>25</v>
      </c>
      <c r="M1374" s="9">
        <v>2774.43</v>
      </c>
    </row>
    <row r="1375" spans="1:13" x14ac:dyDescent="0.35">
      <c r="A1375" s="9">
        <v>3717</v>
      </c>
      <c r="B1375" s="9" t="s">
        <v>34</v>
      </c>
      <c r="C1375" s="9" t="s">
        <v>18</v>
      </c>
      <c r="D1375" s="9" t="s">
        <v>38</v>
      </c>
      <c r="E1375" s="9" t="s">
        <v>59</v>
      </c>
      <c r="F1375" s="9">
        <v>0</v>
      </c>
      <c r="G1375" s="9">
        <v>7781.11</v>
      </c>
      <c r="H1375" s="9">
        <v>0</v>
      </c>
      <c r="I1375" s="9">
        <v>0</v>
      </c>
      <c r="J1375" s="10">
        <v>45831</v>
      </c>
      <c r="K1375" s="9" t="s">
        <v>44</v>
      </c>
      <c r="L1375" s="9" t="s">
        <v>27</v>
      </c>
      <c r="M1375" s="9">
        <v>-313.83</v>
      </c>
    </row>
    <row r="1376" spans="1:13" x14ac:dyDescent="0.35">
      <c r="A1376" s="9">
        <v>3720</v>
      </c>
      <c r="B1376" s="9" t="s">
        <v>31</v>
      </c>
      <c r="C1376" s="9" t="s">
        <v>21</v>
      </c>
      <c r="D1376" s="9" t="s">
        <v>36</v>
      </c>
      <c r="E1376" s="9" t="s">
        <v>62</v>
      </c>
      <c r="F1376" s="9">
        <v>0</v>
      </c>
      <c r="G1376" s="9">
        <v>7365.14</v>
      </c>
      <c r="H1376" s="9">
        <v>0</v>
      </c>
      <c r="I1376" s="9">
        <v>0</v>
      </c>
      <c r="J1376" s="10">
        <v>45681</v>
      </c>
      <c r="K1376" s="9" t="s">
        <v>44</v>
      </c>
      <c r="L1376" s="9" t="s">
        <v>29</v>
      </c>
      <c r="M1376" s="9">
        <v>3369.92</v>
      </c>
    </row>
    <row r="1377" spans="1:13" x14ac:dyDescent="0.35">
      <c r="A1377" s="9">
        <v>3721</v>
      </c>
      <c r="B1377" s="9" t="s">
        <v>34</v>
      </c>
      <c r="C1377" s="9" t="s">
        <v>19</v>
      </c>
      <c r="D1377" s="9" t="s">
        <v>42</v>
      </c>
      <c r="E1377" s="9" t="s">
        <v>59</v>
      </c>
      <c r="F1377" s="9">
        <v>0</v>
      </c>
      <c r="G1377" s="9">
        <v>7155.1</v>
      </c>
      <c r="H1377" s="9">
        <v>0</v>
      </c>
      <c r="I1377" s="9">
        <v>0</v>
      </c>
      <c r="J1377" s="10">
        <v>45840</v>
      </c>
      <c r="K1377" s="9" t="s">
        <v>44</v>
      </c>
      <c r="L1377" s="9" t="s">
        <v>27</v>
      </c>
      <c r="M1377" s="9">
        <v>2274.14</v>
      </c>
    </row>
    <row r="1378" spans="1:13" x14ac:dyDescent="0.35">
      <c r="A1378" s="9">
        <v>3722</v>
      </c>
      <c r="B1378" s="9" t="s">
        <v>34</v>
      </c>
      <c r="C1378" s="9" t="s">
        <v>18</v>
      </c>
      <c r="D1378" s="9" t="s">
        <v>38</v>
      </c>
      <c r="E1378" s="9" t="s">
        <v>59</v>
      </c>
      <c r="F1378" s="9">
        <v>1</v>
      </c>
      <c r="G1378" s="9">
        <v>9335</v>
      </c>
      <c r="H1378" s="9">
        <v>0.22</v>
      </c>
      <c r="I1378" s="9">
        <v>7281.3</v>
      </c>
      <c r="J1378" s="10">
        <v>45251</v>
      </c>
      <c r="K1378" s="9" t="s">
        <v>44</v>
      </c>
      <c r="L1378" s="9" t="s">
        <v>26</v>
      </c>
      <c r="M1378" s="9">
        <v>1787.45</v>
      </c>
    </row>
    <row r="1379" spans="1:13" x14ac:dyDescent="0.35">
      <c r="A1379" s="9">
        <v>3723</v>
      </c>
      <c r="B1379" s="9" t="s">
        <v>31</v>
      </c>
      <c r="C1379" s="9" t="s">
        <v>19</v>
      </c>
      <c r="D1379" s="9" t="s">
        <v>63</v>
      </c>
      <c r="E1379" s="9" t="s">
        <v>59</v>
      </c>
      <c r="F1379" s="9">
        <v>-1</v>
      </c>
      <c r="G1379" s="9">
        <v>7430.5</v>
      </c>
      <c r="H1379" s="9">
        <v>0</v>
      </c>
      <c r="I1379" s="9">
        <v>0</v>
      </c>
      <c r="J1379" s="10">
        <v>45655</v>
      </c>
      <c r="K1379" s="9" t="s">
        <v>45</v>
      </c>
      <c r="L1379" s="9" t="s">
        <v>29</v>
      </c>
      <c r="M1379" s="9">
        <v>2473.13</v>
      </c>
    </row>
    <row r="1380" spans="1:13" x14ac:dyDescent="0.35">
      <c r="A1380" s="9">
        <v>3724</v>
      </c>
      <c r="B1380" s="9" t="s">
        <v>34</v>
      </c>
      <c r="C1380" s="9" t="s">
        <v>22</v>
      </c>
      <c r="D1380" s="9" t="s">
        <v>30</v>
      </c>
      <c r="E1380" s="9" t="s">
        <v>62</v>
      </c>
      <c r="F1380" s="9">
        <v>2</v>
      </c>
      <c r="G1380" s="9">
        <v>0</v>
      </c>
      <c r="H1380" s="9">
        <v>0</v>
      </c>
      <c r="I1380" s="9">
        <v>0</v>
      </c>
      <c r="J1380" s="10">
        <v>45679</v>
      </c>
      <c r="K1380" s="9" t="s">
        <v>45</v>
      </c>
      <c r="L1380" s="9" t="s">
        <v>25</v>
      </c>
      <c r="M1380" s="9">
        <v>-866.33</v>
      </c>
    </row>
    <row r="1381" spans="1:13" x14ac:dyDescent="0.35">
      <c r="A1381" s="9">
        <v>3725</v>
      </c>
      <c r="B1381" s="9" t="s">
        <v>31</v>
      </c>
      <c r="C1381" s="9" t="s">
        <v>19</v>
      </c>
      <c r="D1381" s="9" t="s">
        <v>69</v>
      </c>
      <c r="E1381" s="9" t="s">
        <v>59</v>
      </c>
      <c r="F1381" s="9">
        <v>0</v>
      </c>
      <c r="G1381" s="9">
        <v>6318.92</v>
      </c>
      <c r="H1381" s="9">
        <v>0</v>
      </c>
      <c r="I1381" s="9">
        <v>0</v>
      </c>
      <c r="J1381" s="10">
        <v>45795</v>
      </c>
      <c r="K1381" s="9" t="s">
        <v>45</v>
      </c>
      <c r="L1381" s="9" t="s">
        <v>25</v>
      </c>
      <c r="M1381" s="9">
        <v>3353.55</v>
      </c>
    </row>
    <row r="1382" spans="1:13" x14ac:dyDescent="0.35">
      <c r="A1382" s="9">
        <v>3727</v>
      </c>
      <c r="B1382" s="9" t="s">
        <v>28</v>
      </c>
      <c r="C1382" s="9" t="s">
        <v>22</v>
      </c>
      <c r="D1382" s="9" t="s">
        <v>68</v>
      </c>
      <c r="E1382" s="9" t="s">
        <v>60</v>
      </c>
      <c r="F1382" s="9">
        <v>0</v>
      </c>
      <c r="G1382" s="9">
        <v>0</v>
      </c>
      <c r="H1382" s="9">
        <v>0.6</v>
      </c>
      <c r="I1382" s="9">
        <v>0</v>
      </c>
      <c r="J1382" s="10">
        <v>45643</v>
      </c>
      <c r="K1382" s="9" t="s">
        <v>44</v>
      </c>
      <c r="L1382" s="9" t="s">
        <v>29</v>
      </c>
      <c r="M1382" s="9">
        <v>1555.74</v>
      </c>
    </row>
    <row r="1383" spans="1:13" x14ac:dyDescent="0.35">
      <c r="A1383" s="9">
        <v>3728</v>
      </c>
      <c r="B1383" s="9" t="s">
        <v>31</v>
      </c>
      <c r="C1383" s="9" t="s">
        <v>18</v>
      </c>
      <c r="D1383" s="9" t="s">
        <v>41</v>
      </c>
      <c r="E1383" s="9" t="s">
        <v>59</v>
      </c>
      <c r="F1383" s="9">
        <v>0</v>
      </c>
      <c r="G1383" s="9">
        <v>0</v>
      </c>
      <c r="H1383" s="9">
        <v>0</v>
      </c>
      <c r="I1383" s="9">
        <v>0</v>
      </c>
      <c r="J1383" s="10">
        <v>45643</v>
      </c>
      <c r="K1383" s="9" t="s">
        <v>45</v>
      </c>
      <c r="L1383" s="9" t="s">
        <v>25</v>
      </c>
      <c r="M1383" s="9">
        <v>1376.74</v>
      </c>
    </row>
    <row r="1384" spans="1:13" x14ac:dyDescent="0.35">
      <c r="A1384" s="9">
        <v>3729</v>
      </c>
      <c r="B1384" s="9" t="s">
        <v>31</v>
      </c>
      <c r="C1384" s="9" t="s">
        <v>20</v>
      </c>
      <c r="D1384" s="9" t="s">
        <v>66</v>
      </c>
      <c r="E1384" s="9" t="s">
        <v>59</v>
      </c>
      <c r="F1384" s="9">
        <v>0</v>
      </c>
      <c r="G1384" s="9">
        <v>0</v>
      </c>
      <c r="H1384" s="9">
        <v>0</v>
      </c>
      <c r="I1384" s="9">
        <v>0</v>
      </c>
      <c r="J1384" s="10">
        <v>45694</v>
      </c>
      <c r="K1384" s="9" t="s">
        <v>44</v>
      </c>
      <c r="L1384" s="9" t="s">
        <v>32</v>
      </c>
      <c r="M1384" s="9">
        <v>2966.82</v>
      </c>
    </row>
    <row r="1385" spans="1:13" x14ac:dyDescent="0.35">
      <c r="A1385" s="9">
        <v>3730</v>
      </c>
      <c r="B1385" s="9" t="s">
        <v>34</v>
      </c>
      <c r="C1385" s="9" t="s">
        <v>18</v>
      </c>
      <c r="D1385" s="9" t="s">
        <v>38</v>
      </c>
      <c r="E1385" s="9" t="s">
        <v>59</v>
      </c>
      <c r="F1385" s="9">
        <v>1</v>
      </c>
      <c r="G1385" s="9">
        <v>7865.95</v>
      </c>
      <c r="H1385" s="9">
        <v>0</v>
      </c>
      <c r="I1385" s="9">
        <v>0</v>
      </c>
      <c r="J1385" s="10">
        <v>45694</v>
      </c>
      <c r="K1385" s="9" t="s">
        <v>45</v>
      </c>
      <c r="L1385" s="9" t="s">
        <v>25</v>
      </c>
      <c r="M1385" s="9">
        <v>3302.11</v>
      </c>
    </row>
    <row r="1386" spans="1:13" x14ac:dyDescent="0.35">
      <c r="A1386" s="9">
        <v>3731</v>
      </c>
      <c r="B1386" s="9" t="s">
        <v>34</v>
      </c>
      <c r="C1386" s="9" t="s">
        <v>19</v>
      </c>
      <c r="D1386" s="9" t="s">
        <v>69</v>
      </c>
      <c r="E1386" s="9" t="s">
        <v>60</v>
      </c>
      <c r="F1386" s="9">
        <v>0</v>
      </c>
      <c r="G1386" s="9">
        <v>7038.04</v>
      </c>
      <c r="H1386" s="9">
        <v>0</v>
      </c>
      <c r="I1386" s="9">
        <v>0</v>
      </c>
      <c r="J1386" s="10">
        <v>45701</v>
      </c>
      <c r="K1386" s="9" t="s">
        <v>45</v>
      </c>
      <c r="L1386" s="9" t="s">
        <v>29</v>
      </c>
      <c r="M1386" s="9">
        <v>301.89999999999998</v>
      </c>
    </row>
    <row r="1387" spans="1:13" x14ac:dyDescent="0.35">
      <c r="A1387" s="9">
        <v>2031</v>
      </c>
      <c r="B1387" s="9" t="s">
        <v>34</v>
      </c>
      <c r="C1387" s="9" t="s">
        <v>20</v>
      </c>
      <c r="D1387" s="9" t="s">
        <v>70</v>
      </c>
      <c r="E1387" s="9" t="s">
        <v>60</v>
      </c>
      <c r="F1387" s="9">
        <v>0</v>
      </c>
      <c r="G1387" s="9">
        <v>3360.35</v>
      </c>
      <c r="H1387" s="9">
        <v>0.15</v>
      </c>
      <c r="I1387" s="9">
        <v>0</v>
      </c>
      <c r="J1387" s="10">
        <v>45701</v>
      </c>
      <c r="K1387" s="9" t="s">
        <v>44</v>
      </c>
      <c r="L1387" s="9" t="s">
        <v>29</v>
      </c>
      <c r="M1387" s="9">
        <v>1282.69</v>
      </c>
    </row>
    <row r="1388" spans="1:13" x14ac:dyDescent="0.35">
      <c r="A1388" s="9">
        <v>3735</v>
      </c>
      <c r="B1388" s="9" t="s">
        <v>34</v>
      </c>
      <c r="C1388" s="9" t="s">
        <v>22</v>
      </c>
      <c r="D1388" s="9" t="s">
        <v>30</v>
      </c>
      <c r="E1388" s="9" t="s">
        <v>59</v>
      </c>
      <c r="F1388" s="9">
        <v>0</v>
      </c>
      <c r="G1388" s="9">
        <v>2248.14</v>
      </c>
      <c r="H1388" s="9">
        <v>0</v>
      </c>
      <c r="I1388" s="9">
        <v>0</v>
      </c>
      <c r="J1388" s="10">
        <v>45554</v>
      </c>
      <c r="K1388" s="9" t="s">
        <v>45</v>
      </c>
      <c r="L1388" s="9" t="s">
        <v>25</v>
      </c>
      <c r="M1388" s="9">
        <v>3686.2</v>
      </c>
    </row>
    <row r="1389" spans="1:13" x14ac:dyDescent="0.35">
      <c r="A1389" s="9">
        <v>3736</v>
      </c>
      <c r="B1389" s="9" t="s">
        <v>31</v>
      </c>
      <c r="C1389" s="9" t="s">
        <v>18</v>
      </c>
      <c r="D1389" s="9" t="s">
        <v>38</v>
      </c>
      <c r="E1389" s="9" t="s">
        <v>59</v>
      </c>
      <c r="F1389" s="9">
        <v>1</v>
      </c>
      <c r="G1389" s="9">
        <v>0</v>
      </c>
      <c r="H1389" s="9">
        <v>0.38</v>
      </c>
      <c r="I1389" s="9">
        <v>0</v>
      </c>
      <c r="J1389" s="10">
        <v>45554</v>
      </c>
      <c r="K1389" s="9" t="s">
        <v>44</v>
      </c>
      <c r="L1389" s="9" t="s">
        <v>35</v>
      </c>
      <c r="M1389" s="9">
        <v>-1171.6099999999999</v>
      </c>
    </row>
    <row r="1390" spans="1:13" x14ac:dyDescent="0.35">
      <c r="A1390" s="9">
        <v>3737</v>
      </c>
      <c r="B1390" s="9" t="s">
        <v>34</v>
      </c>
      <c r="C1390" s="9" t="s">
        <v>22</v>
      </c>
      <c r="D1390" s="9" t="s">
        <v>65</v>
      </c>
      <c r="E1390" s="9" t="s">
        <v>59</v>
      </c>
      <c r="F1390" s="9">
        <v>0</v>
      </c>
      <c r="G1390" s="9">
        <v>0</v>
      </c>
      <c r="H1390" s="9">
        <v>0</v>
      </c>
      <c r="I1390" s="9">
        <v>0</v>
      </c>
      <c r="J1390" s="10">
        <v>45554</v>
      </c>
      <c r="K1390" s="9" t="s">
        <v>44</v>
      </c>
      <c r="L1390" s="9" t="s">
        <v>35</v>
      </c>
      <c r="M1390" s="9">
        <v>690.1</v>
      </c>
    </row>
    <row r="1391" spans="1:13" x14ac:dyDescent="0.35">
      <c r="A1391" s="9">
        <v>3738</v>
      </c>
      <c r="B1391" s="9" t="s">
        <v>31</v>
      </c>
      <c r="C1391" s="9" t="s">
        <v>19</v>
      </c>
      <c r="D1391" s="9" t="s">
        <v>39</v>
      </c>
      <c r="E1391" s="9" t="s">
        <v>59</v>
      </c>
      <c r="F1391" s="9">
        <v>1</v>
      </c>
      <c r="G1391" s="9">
        <v>6968.08</v>
      </c>
      <c r="H1391" s="9">
        <v>0.02</v>
      </c>
      <c r="I1391" s="9">
        <v>6828.72</v>
      </c>
      <c r="J1391" s="10">
        <v>45746</v>
      </c>
      <c r="K1391" s="9" t="s">
        <v>45</v>
      </c>
      <c r="L1391" s="9" t="s">
        <v>29</v>
      </c>
      <c r="M1391" s="9">
        <v>-673.94</v>
      </c>
    </row>
    <row r="1392" spans="1:13" x14ac:dyDescent="0.35">
      <c r="A1392" s="9">
        <v>3739</v>
      </c>
      <c r="B1392" s="9" t="s">
        <v>28</v>
      </c>
      <c r="C1392" s="9" t="s">
        <v>18</v>
      </c>
      <c r="D1392" s="9" t="s">
        <v>37</v>
      </c>
      <c r="E1392" s="9" t="s">
        <v>59</v>
      </c>
      <c r="F1392" s="9">
        <v>-1</v>
      </c>
      <c r="G1392" s="9">
        <v>5050.05</v>
      </c>
      <c r="H1392" s="9">
        <v>0</v>
      </c>
      <c r="I1392" s="9">
        <v>0</v>
      </c>
      <c r="J1392" s="10">
        <v>45670</v>
      </c>
      <c r="K1392" s="9" t="s">
        <v>45</v>
      </c>
      <c r="L1392" s="9" t="s">
        <v>27</v>
      </c>
      <c r="M1392" s="9">
        <v>3928.19</v>
      </c>
    </row>
    <row r="1393" spans="1:13" x14ac:dyDescent="0.35">
      <c r="A1393" s="9">
        <v>3741</v>
      </c>
      <c r="B1393" s="9" t="s">
        <v>34</v>
      </c>
      <c r="C1393" s="9" t="s">
        <v>21</v>
      </c>
      <c r="D1393" s="9" t="s">
        <v>40</v>
      </c>
      <c r="E1393" s="9" t="s">
        <v>60</v>
      </c>
      <c r="F1393" s="9">
        <v>2</v>
      </c>
      <c r="G1393" s="9">
        <v>8927.2199999999993</v>
      </c>
      <c r="H1393" s="9">
        <v>0.2</v>
      </c>
      <c r="I1393" s="9">
        <v>14283.55</v>
      </c>
      <c r="J1393" s="10">
        <v>45851</v>
      </c>
      <c r="K1393" s="9" t="s">
        <v>44</v>
      </c>
      <c r="L1393" s="9" t="s">
        <v>27</v>
      </c>
      <c r="M1393" s="9">
        <v>821.32</v>
      </c>
    </row>
    <row r="1394" spans="1:13" x14ac:dyDescent="0.35">
      <c r="A1394" s="9">
        <v>3743</v>
      </c>
      <c r="B1394" s="9" t="s">
        <v>31</v>
      </c>
      <c r="C1394" s="9" t="s">
        <v>18</v>
      </c>
      <c r="D1394" s="9" t="s">
        <v>33</v>
      </c>
      <c r="E1394" s="9" t="s">
        <v>59</v>
      </c>
      <c r="F1394" s="9">
        <v>0</v>
      </c>
      <c r="G1394" s="9">
        <v>0</v>
      </c>
      <c r="H1394" s="9">
        <v>0.2</v>
      </c>
      <c r="I1394" s="9">
        <v>0</v>
      </c>
      <c r="J1394" s="10">
        <v>45527</v>
      </c>
      <c r="K1394" s="9" t="s">
        <v>44</v>
      </c>
      <c r="L1394" s="9" t="s">
        <v>27</v>
      </c>
      <c r="M1394" s="9">
        <v>1370.17</v>
      </c>
    </row>
    <row r="1395" spans="1:13" x14ac:dyDescent="0.35">
      <c r="A1395" s="9">
        <v>3746</v>
      </c>
      <c r="B1395" s="9" t="s">
        <v>34</v>
      </c>
      <c r="C1395" s="9" t="s">
        <v>21</v>
      </c>
      <c r="D1395" s="9" t="s">
        <v>64</v>
      </c>
      <c r="E1395" s="9" t="s">
        <v>59</v>
      </c>
      <c r="F1395" s="9">
        <v>0</v>
      </c>
      <c r="G1395" s="9">
        <v>7490.78</v>
      </c>
      <c r="H1395" s="9">
        <v>0</v>
      </c>
      <c r="I1395" s="9">
        <v>0</v>
      </c>
      <c r="J1395" s="10">
        <v>45632</v>
      </c>
      <c r="K1395" s="9" t="s">
        <v>44</v>
      </c>
      <c r="L1395" s="9" t="s">
        <v>26</v>
      </c>
      <c r="M1395" s="9">
        <v>2815.43</v>
      </c>
    </row>
    <row r="1396" spans="1:13" x14ac:dyDescent="0.35">
      <c r="A1396" s="9">
        <v>3748</v>
      </c>
      <c r="B1396" s="9" t="s">
        <v>34</v>
      </c>
      <c r="C1396" s="9" t="s">
        <v>18</v>
      </c>
      <c r="D1396" s="9" t="s">
        <v>37</v>
      </c>
      <c r="E1396" s="9" t="s">
        <v>62</v>
      </c>
      <c r="F1396" s="9">
        <v>0</v>
      </c>
      <c r="G1396" s="9">
        <v>6272.89</v>
      </c>
      <c r="H1396" s="9">
        <v>1.02</v>
      </c>
      <c r="I1396" s="9">
        <v>0</v>
      </c>
      <c r="J1396" s="10">
        <v>45632</v>
      </c>
      <c r="K1396" s="9" t="s">
        <v>45</v>
      </c>
      <c r="L1396" s="9" t="s">
        <v>25</v>
      </c>
      <c r="M1396" s="9">
        <v>3386.86</v>
      </c>
    </row>
    <row r="1397" spans="1:13" x14ac:dyDescent="0.35">
      <c r="A1397" s="9">
        <v>3750</v>
      </c>
      <c r="B1397" s="9" t="s">
        <v>34</v>
      </c>
      <c r="C1397" s="9" t="s">
        <v>18</v>
      </c>
      <c r="D1397" s="9" t="s">
        <v>41</v>
      </c>
      <c r="E1397" s="9" t="s">
        <v>59</v>
      </c>
      <c r="F1397" s="9">
        <v>-1</v>
      </c>
      <c r="G1397" s="9">
        <v>0</v>
      </c>
      <c r="H1397" s="9">
        <v>0</v>
      </c>
      <c r="I1397" s="9">
        <v>0</v>
      </c>
      <c r="J1397" s="10">
        <v>45647</v>
      </c>
      <c r="K1397" s="9" t="s">
        <v>44</v>
      </c>
      <c r="L1397" s="9" t="s">
        <v>25</v>
      </c>
      <c r="M1397" s="9">
        <v>1566.16</v>
      </c>
    </row>
    <row r="1398" spans="1:13" x14ac:dyDescent="0.35">
      <c r="A1398" s="9">
        <v>3751</v>
      </c>
      <c r="B1398" s="9" t="s">
        <v>34</v>
      </c>
      <c r="C1398" s="9" t="s">
        <v>21</v>
      </c>
      <c r="D1398" s="9" t="s">
        <v>40</v>
      </c>
      <c r="E1398" s="9" t="s">
        <v>62</v>
      </c>
      <c r="F1398" s="9">
        <v>-1</v>
      </c>
      <c r="G1398" s="9">
        <v>0</v>
      </c>
      <c r="H1398" s="9">
        <v>0.4</v>
      </c>
      <c r="I1398" s="9">
        <v>0</v>
      </c>
      <c r="J1398" s="10">
        <v>45647</v>
      </c>
      <c r="K1398" s="9" t="s">
        <v>44</v>
      </c>
      <c r="L1398" s="9" t="s">
        <v>29</v>
      </c>
      <c r="M1398" s="9">
        <v>-399.23</v>
      </c>
    </row>
    <row r="1399" spans="1:13" x14ac:dyDescent="0.35">
      <c r="A1399" s="9">
        <v>3752</v>
      </c>
      <c r="B1399" s="9" t="s">
        <v>34</v>
      </c>
      <c r="C1399" s="9" t="s">
        <v>19</v>
      </c>
      <c r="D1399" s="9" t="s">
        <v>63</v>
      </c>
      <c r="E1399" s="9" t="s">
        <v>60</v>
      </c>
      <c r="F1399" s="9">
        <v>0</v>
      </c>
      <c r="G1399" s="9">
        <v>9021.7900000000009</v>
      </c>
      <c r="H1399" s="9">
        <v>0.04</v>
      </c>
      <c r="I1399" s="9">
        <v>0</v>
      </c>
      <c r="J1399" s="10">
        <v>45572</v>
      </c>
      <c r="K1399" s="9" t="s">
        <v>44</v>
      </c>
      <c r="L1399" s="9" t="s">
        <v>27</v>
      </c>
      <c r="M1399" s="9">
        <v>2618.7199999999998</v>
      </c>
    </row>
    <row r="1400" spans="1:13" x14ac:dyDescent="0.35">
      <c r="A1400" s="9">
        <v>3754</v>
      </c>
      <c r="B1400" s="9" t="s">
        <v>34</v>
      </c>
      <c r="C1400" s="9" t="s">
        <v>20</v>
      </c>
      <c r="D1400" s="9" t="s">
        <v>66</v>
      </c>
      <c r="E1400" s="9" t="s">
        <v>60</v>
      </c>
      <c r="F1400" s="9">
        <v>3</v>
      </c>
      <c r="G1400" s="9">
        <v>4288.2700000000004</v>
      </c>
      <c r="H1400" s="9">
        <v>0</v>
      </c>
      <c r="I1400" s="9">
        <v>0</v>
      </c>
      <c r="J1400" s="10">
        <v>45564</v>
      </c>
      <c r="K1400" s="9" t="s">
        <v>45</v>
      </c>
      <c r="L1400" s="9" t="s">
        <v>25</v>
      </c>
      <c r="M1400" s="9">
        <v>828.22</v>
      </c>
    </row>
    <row r="1401" spans="1:13" x14ac:dyDescent="0.35">
      <c r="A1401" s="9">
        <v>3755</v>
      </c>
      <c r="B1401" s="9" t="s">
        <v>28</v>
      </c>
      <c r="C1401" s="9" t="s">
        <v>19</v>
      </c>
      <c r="D1401" s="9" t="s">
        <v>69</v>
      </c>
      <c r="E1401" s="9" t="s">
        <v>59</v>
      </c>
      <c r="F1401" s="9">
        <v>4</v>
      </c>
      <c r="G1401" s="9">
        <v>2342.16</v>
      </c>
      <c r="H1401" s="9">
        <v>0.25</v>
      </c>
      <c r="I1401" s="9">
        <v>7026.48</v>
      </c>
      <c r="J1401" s="10">
        <v>45767</v>
      </c>
      <c r="K1401" s="9" t="s">
        <v>44</v>
      </c>
      <c r="L1401" s="9" t="s">
        <v>26</v>
      </c>
      <c r="M1401" s="9">
        <v>1007</v>
      </c>
    </row>
    <row r="1402" spans="1:13" x14ac:dyDescent="0.35">
      <c r="A1402" s="9">
        <v>3756</v>
      </c>
      <c r="B1402" s="9" t="s">
        <v>31</v>
      </c>
      <c r="C1402" s="9" t="s">
        <v>22</v>
      </c>
      <c r="D1402" s="9" t="s">
        <v>67</v>
      </c>
      <c r="E1402" s="9" t="s">
        <v>62</v>
      </c>
      <c r="F1402" s="9">
        <v>0</v>
      </c>
      <c r="G1402" s="9">
        <v>0</v>
      </c>
      <c r="H1402" s="9">
        <v>0</v>
      </c>
      <c r="I1402" s="9">
        <v>0</v>
      </c>
      <c r="J1402" s="10">
        <v>45566</v>
      </c>
      <c r="K1402" s="9" t="s">
        <v>44</v>
      </c>
      <c r="L1402" s="9" t="s">
        <v>32</v>
      </c>
      <c r="M1402" s="9">
        <v>-289.63</v>
      </c>
    </row>
    <row r="1403" spans="1:13" x14ac:dyDescent="0.35">
      <c r="A1403" s="9">
        <v>3758</v>
      </c>
      <c r="B1403" s="9" t="s">
        <v>34</v>
      </c>
      <c r="C1403" s="9" t="s">
        <v>20</v>
      </c>
      <c r="D1403" s="9" t="s">
        <v>70</v>
      </c>
      <c r="E1403" s="9" t="s">
        <v>59</v>
      </c>
      <c r="F1403" s="9">
        <v>3</v>
      </c>
      <c r="G1403" s="9">
        <v>4306.67</v>
      </c>
      <c r="H1403" s="9">
        <v>0</v>
      </c>
      <c r="I1403" s="9">
        <v>0</v>
      </c>
      <c r="J1403" s="10">
        <v>45787</v>
      </c>
      <c r="K1403" s="9" t="s">
        <v>44</v>
      </c>
      <c r="L1403" s="9" t="s">
        <v>29</v>
      </c>
      <c r="M1403" s="9">
        <v>-233.45</v>
      </c>
    </row>
    <row r="1404" spans="1:13" x14ac:dyDescent="0.35">
      <c r="A1404" s="9">
        <v>3759</v>
      </c>
      <c r="B1404" s="9" t="s">
        <v>28</v>
      </c>
      <c r="C1404" s="9" t="s">
        <v>22</v>
      </c>
      <c r="D1404" s="9" t="s">
        <v>30</v>
      </c>
      <c r="E1404" s="9" t="s">
        <v>59</v>
      </c>
      <c r="F1404" s="9">
        <v>0</v>
      </c>
      <c r="G1404" s="9">
        <v>9605.6</v>
      </c>
      <c r="H1404" s="9">
        <v>0.81</v>
      </c>
      <c r="I1404" s="9">
        <v>0</v>
      </c>
      <c r="J1404" s="10">
        <v>45691</v>
      </c>
      <c r="K1404" s="9" t="s">
        <v>45</v>
      </c>
      <c r="L1404" s="9" t="s">
        <v>32</v>
      </c>
      <c r="M1404" s="9">
        <v>1611.59</v>
      </c>
    </row>
    <row r="1405" spans="1:13" x14ac:dyDescent="0.35">
      <c r="A1405" s="9">
        <v>3760</v>
      </c>
      <c r="B1405" s="9" t="s">
        <v>31</v>
      </c>
      <c r="C1405" s="9" t="s">
        <v>22</v>
      </c>
      <c r="D1405" s="9" t="s">
        <v>65</v>
      </c>
      <c r="E1405" s="9" t="s">
        <v>59</v>
      </c>
      <c r="F1405" s="9">
        <v>0</v>
      </c>
      <c r="G1405" s="9">
        <v>8313.84</v>
      </c>
      <c r="H1405" s="9">
        <v>0</v>
      </c>
      <c r="I1405" s="9">
        <v>0</v>
      </c>
      <c r="J1405" s="10">
        <v>45806</v>
      </c>
      <c r="K1405" s="9" t="s">
        <v>45</v>
      </c>
      <c r="L1405" s="9" t="s">
        <v>27</v>
      </c>
      <c r="M1405" s="9">
        <v>1735.58</v>
      </c>
    </row>
    <row r="1406" spans="1:13" x14ac:dyDescent="0.35">
      <c r="A1406" s="9">
        <v>3761</v>
      </c>
      <c r="B1406" s="9" t="s">
        <v>28</v>
      </c>
      <c r="C1406" s="9" t="s">
        <v>22</v>
      </c>
      <c r="D1406" s="9" t="s">
        <v>68</v>
      </c>
      <c r="E1406" s="9" t="s">
        <v>60</v>
      </c>
      <c r="F1406" s="9">
        <v>4</v>
      </c>
      <c r="G1406" s="9">
        <v>2972.38</v>
      </c>
      <c r="H1406" s="9">
        <v>0.14000000000000001</v>
      </c>
      <c r="I1406" s="9">
        <v>10224.99</v>
      </c>
      <c r="J1406" s="10">
        <v>45614</v>
      </c>
      <c r="K1406" s="9" t="s">
        <v>45</v>
      </c>
      <c r="L1406" s="9" t="s">
        <v>32</v>
      </c>
      <c r="M1406" s="9">
        <v>2569.7399999999998</v>
      </c>
    </row>
    <row r="1407" spans="1:13" x14ac:dyDescent="0.35">
      <c r="A1407" s="9">
        <v>3762</v>
      </c>
      <c r="B1407" s="9" t="s">
        <v>31</v>
      </c>
      <c r="C1407" s="9" t="s">
        <v>21</v>
      </c>
      <c r="D1407" s="9" t="s">
        <v>40</v>
      </c>
      <c r="E1407" s="9" t="s">
        <v>59</v>
      </c>
      <c r="F1407" s="9">
        <v>1</v>
      </c>
      <c r="G1407" s="9">
        <v>2725.1</v>
      </c>
      <c r="H1407" s="9">
        <v>0</v>
      </c>
      <c r="I1407" s="9">
        <v>0</v>
      </c>
      <c r="J1407" s="10">
        <v>45844</v>
      </c>
      <c r="K1407" s="9" t="s">
        <v>44</v>
      </c>
      <c r="L1407" s="9" t="s">
        <v>26</v>
      </c>
      <c r="M1407" s="9">
        <v>-997.11</v>
      </c>
    </row>
    <row r="1408" spans="1:13" x14ac:dyDescent="0.35">
      <c r="A1408" s="9">
        <v>3763</v>
      </c>
      <c r="B1408" s="9" t="s">
        <v>34</v>
      </c>
      <c r="C1408" s="9" t="s">
        <v>22</v>
      </c>
      <c r="D1408" s="9" t="s">
        <v>30</v>
      </c>
      <c r="E1408" s="9" t="s">
        <v>59</v>
      </c>
      <c r="F1408" s="9">
        <v>0</v>
      </c>
      <c r="G1408" s="9">
        <v>0</v>
      </c>
      <c r="H1408" s="9">
        <v>0</v>
      </c>
      <c r="I1408" s="9">
        <v>0</v>
      </c>
      <c r="J1408" s="10">
        <v>45720</v>
      </c>
      <c r="K1408" s="9" t="s">
        <v>44</v>
      </c>
      <c r="L1408" s="9" t="s">
        <v>32</v>
      </c>
      <c r="M1408" s="9">
        <v>3671.32</v>
      </c>
    </row>
    <row r="1409" spans="1:13" x14ac:dyDescent="0.35">
      <c r="A1409" s="9">
        <v>3764</v>
      </c>
      <c r="B1409" s="9" t="s">
        <v>31</v>
      </c>
      <c r="C1409" s="9" t="s">
        <v>21</v>
      </c>
      <c r="D1409" s="9" t="s">
        <v>36</v>
      </c>
      <c r="E1409" s="9" t="s">
        <v>59</v>
      </c>
      <c r="F1409" s="9">
        <v>2</v>
      </c>
      <c r="G1409" s="9">
        <v>3953.6</v>
      </c>
      <c r="H1409" s="9">
        <v>0</v>
      </c>
      <c r="I1409" s="9">
        <v>0</v>
      </c>
      <c r="J1409" s="10">
        <v>45344</v>
      </c>
      <c r="K1409" s="9" t="s">
        <v>45</v>
      </c>
      <c r="L1409" s="9" t="s">
        <v>27</v>
      </c>
      <c r="M1409" s="9">
        <v>528.86</v>
      </c>
    </row>
    <row r="1410" spans="1:13" x14ac:dyDescent="0.35">
      <c r="A1410" s="9">
        <v>3765</v>
      </c>
      <c r="B1410" s="9" t="s">
        <v>34</v>
      </c>
      <c r="C1410" s="9" t="s">
        <v>20</v>
      </c>
      <c r="D1410" s="9" t="s">
        <v>70</v>
      </c>
      <c r="E1410" s="9" t="s">
        <v>59</v>
      </c>
      <c r="F1410" s="9">
        <v>3</v>
      </c>
      <c r="G1410" s="9">
        <v>0</v>
      </c>
      <c r="H1410" s="9">
        <v>0.44</v>
      </c>
      <c r="I1410" s="9">
        <v>0</v>
      </c>
      <c r="J1410" s="10">
        <v>45537</v>
      </c>
      <c r="K1410" s="9" t="s">
        <v>45</v>
      </c>
      <c r="L1410" s="9" t="s">
        <v>32</v>
      </c>
      <c r="M1410" s="9">
        <v>3376.32</v>
      </c>
    </row>
    <row r="1411" spans="1:13" x14ac:dyDescent="0.35">
      <c r="A1411" s="9">
        <v>3768</v>
      </c>
      <c r="B1411" s="9" t="s">
        <v>31</v>
      </c>
      <c r="C1411" s="9" t="s">
        <v>19</v>
      </c>
      <c r="D1411" s="9" t="s">
        <v>42</v>
      </c>
      <c r="E1411" s="9" t="s">
        <v>62</v>
      </c>
      <c r="F1411" s="9">
        <v>0</v>
      </c>
      <c r="G1411" s="9">
        <v>0</v>
      </c>
      <c r="H1411" s="9">
        <v>1.1499999999999999</v>
      </c>
      <c r="I1411" s="9">
        <v>0</v>
      </c>
      <c r="J1411" s="10">
        <v>45568</v>
      </c>
      <c r="K1411" s="9" t="s">
        <v>44</v>
      </c>
      <c r="L1411" s="9" t="s">
        <v>32</v>
      </c>
      <c r="M1411" s="9">
        <v>647.72</v>
      </c>
    </row>
    <row r="1412" spans="1:13" x14ac:dyDescent="0.35">
      <c r="A1412" s="9">
        <v>3769</v>
      </c>
      <c r="B1412" s="9" t="s">
        <v>28</v>
      </c>
      <c r="C1412" s="9" t="s">
        <v>20</v>
      </c>
      <c r="D1412" s="9" t="s">
        <v>66</v>
      </c>
      <c r="E1412" s="9" t="s">
        <v>59</v>
      </c>
      <c r="F1412" s="9">
        <v>0</v>
      </c>
      <c r="G1412" s="9">
        <v>0</v>
      </c>
      <c r="H1412" s="9">
        <v>0.62</v>
      </c>
      <c r="I1412" s="9">
        <v>0</v>
      </c>
      <c r="J1412" s="10">
        <v>45733</v>
      </c>
      <c r="K1412" s="9" t="s">
        <v>44</v>
      </c>
      <c r="L1412" s="9" t="s">
        <v>25</v>
      </c>
      <c r="M1412" s="9">
        <v>799.21</v>
      </c>
    </row>
    <row r="1413" spans="1:13" x14ac:dyDescent="0.35">
      <c r="A1413" s="9">
        <v>3770</v>
      </c>
      <c r="B1413" s="9" t="s">
        <v>28</v>
      </c>
      <c r="C1413" s="9" t="s">
        <v>20</v>
      </c>
      <c r="D1413" s="9" t="s">
        <v>66</v>
      </c>
      <c r="E1413" s="9" t="s">
        <v>59</v>
      </c>
      <c r="F1413" s="9">
        <v>4</v>
      </c>
      <c r="G1413" s="9">
        <v>0</v>
      </c>
      <c r="H1413" s="9">
        <v>0.36</v>
      </c>
      <c r="I1413" s="9">
        <v>0</v>
      </c>
      <c r="J1413" s="10">
        <v>45325</v>
      </c>
      <c r="K1413" s="9" t="s">
        <v>44</v>
      </c>
      <c r="L1413" s="9" t="s">
        <v>26</v>
      </c>
      <c r="M1413" s="9">
        <v>3784.67</v>
      </c>
    </row>
    <row r="1414" spans="1:13" x14ac:dyDescent="0.35">
      <c r="A1414" s="9">
        <v>3771</v>
      </c>
      <c r="B1414" s="9" t="s">
        <v>34</v>
      </c>
      <c r="C1414" s="9" t="s">
        <v>22</v>
      </c>
      <c r="D1414" s="9" t="s">
        <v>67</v>
      </c>
      <c r="E1414" s="9" t="s">
        <v>62</v>
      </c>
      <c r="F1414" s="9">
        <v>-1</v>
      </c>
      <c r="G1414" s="9">
        <v>3388.26</v>
      </c>
      <c r="H1414" s="9">
        <v>0</v>
      </c>
      <c r="I1414" s="9">
        <v>0</v>
      </c>
      <c r="J1414" s="10">
        <v>45537</v>
      </c>
      <c r="K1414" s="9" t="s">
        <v>44</v>
      </c>
      <c r="L1414" s="9" t="s">
        <v>29</v>
      </c>
      <c r="M1414" s="9">
        <v>2376.36</v>
      </c>
    </row>
    <row r="1415" spans="1:13" x14ac:dyDescent="0.35">
      <c r="A1415" s="9">
        <v>3772</v>
      </c>
      <c r="B1415" s="9" t="s">
        <v>28</v>
      </c>
      <c r="C1415" s="9" t="s">
        <v>19</v>
      </c>
      <c r="D1415" s="9" t="s">
        <v>63</v>
      </c>
      <c r="E1415" s="9" t="s">
        <v>62</v>
      </c>
      <c r="F1415" s="9">
        <v>3</v>
      </c>
      <c r="G1415" s="9">
        <v>8140.47</v>
      </c>
      <c r="H1415" s="9">
        <v>0</v>
      </c>
      <c r="I1415" s="9">
        <v>0</v>
      </c>
      <c r="J1415" s="10">
        <v>45619</v>
      </c>
      <c r="K1415" s="9" t="s">
        <v>44</v>
      </c>
      <c r="L1415" s="9" t="s">
        <v>35</v>
      </c>
      <c r="M1415" s="9">
        <v>3115.97</v>
      </c>
    </row>
    <row r="1416" spans="1:13" x14ac:dyDescent="0.35">
      <c r="A1416" s="9">
        <v>3773</v>
      </c>
      <c r="B1416" s="9" t="s">
        <v>31</v>
      </c>
      <c r="C1416" s="9" t="s">
        <v>21</v>
      </c>
      <c r="D1416" s="9" t="s">
        <v>71</v>
      </c>
      <c r="E1416" s="9" t="s">
        <v>60</v>
      </c>
      <c r="F1416" s="9">
        <v>0</v>
      </c>
      <c r="G1416" s="9">
        <v>3633.25</v>
      </c>
      <c r="H1416" s="9">
        <v>0</v>
      </c>
      <c r="I1416" s="9">
        <v>0</v>
      </c>
      <c r="J1416" s="10">
        <v>45619</v>
      </c>
      <c r="K1416" s="9" t="s">
        <v>45</v>
      </c>
      <c r="L1416" s="9" t="s">
        <v>32</v>
      </c>
      <c r="M1416" s="9">
        <v>-816.85</v>
      </c>
    </row>
    <row r="1417" spans="1:13" x14ac:dyDescent="0.35">
      <c r="A1417" s="9">
        <v>3774</v>
      </c>
      <c r="B1417" s="9" t="s">
        <v>28</v>
      </c>
      <c r="C1417" s="9" t="s">
        <v>19</v>
      </c>
      <c r="D1417" s="9" t="s">
        <v>63</v>
      </c>
      <c r="E1417" s="9" t="s">
        <v>60</v>
      </c>
      <c r="F1417" s="9">
        <v>0</v>
      </c>
      <c r="G1417" s="9">
        <v>3126.57</v>
      </c>
      <c r="H1417" s="9">
        <v>0</v>
      </c>
      <c r="I1417" s="9">
        <v>0</v>
      </c>
      <c r="J1417" s="10">
        <v>45642</v>
      </c>
      <c r="K1417" s="9" t="s">
        <v>44</v>
      </c>
      <c r="L1417" s="9" t="s">
        <v>32</v>
      </c>
      <c r="M1417" s="9">
        <v>66.02</v>
      </c>
    </row>
    <row r="1418" spans="1:13" x14ac:dyDescent="0.35">
      <c r="A1418" s="9">
        <v>3776</v>
      </c>
      <c r="B1418" s="9" t="s">
        <v>31</v>
      </c>
      <c r="C1418" s="9" t="s">
        <v>19</v>
      </c>
      <c r="D1418" s="9" t="s">
        <v>42</v>
      </c>
      <c r="E1418" s="9" t="s">
        <v>60</v>
      </c>
      <c r="F1418" s="9">
        <v>0</v>
      </c>
      <c r="G1418" s="9">
        <v>0</v>
      </c>
      <c r="H1418" s="9">
        <v>1.22</v>
      </c>
      <c r="I1418" s="9">
        <v>0</v>
      </c>
      <c r="J1418" s="10">
        <v>45608</v>
      </c>
      <c r="K1418" s="9" t="s">
        <v>45</v>
      </c>
      <c r="L1418" s="9" t="s">
        <v>27</v>
      </c>
      <c r="M1418" s="9">
        <v>-1034.46</v>
      </c>
    </row>
    <row r="1419" spans="1:13" x14ac:dyDescent="0.35">
      <c r="A1419" s="9">
        <v>3777</v>
      </c>
      <c r="B1419" s="9" t="s">
        <v>31</v>
      </c>
      <c r="C1419" s="9" t="s">
        <v>18</v>
      </c>
      <c r="D1419" s="9" t="s">
        <v>37</v>
      </c>
      <c r="E1419" s="9" t="s">
        <v>62</v>
      </c>
      <c r="F1419" s="9">
        <v>-1</v>
      </c>
      <c r="G1419" s="9">
        <v>0</v>
      </c>
      <c r="H1419" s="9">
        <v>0</v>
      </c>
      <c r="I1419" s="9">
        <v>0</v>
      </c>
      <c r="J1419" s="10">
        <v>45813</v>
      </c>
      <c r="K1419" s="9" t="s">
        <v>44</v>
      </c>
      <c r="L1419" s="9" t="s">
        <v>32</v>
      </c>
      <c r="M1419" s="9">
        <v>2781.77</v>
      </c>
    </row>
    <row r="1420" spans="1:13" x14ac:dyDescent="0.35">
      <c r="A1420" s="9">
        <v>3778</v>
      </c>
      <c r="B1420" s="9" t="s">
        <v>34</v>
      </c>
      <c r="C1420" s="9" t="s">
        <v>21</v>
      </c>
      <c r="D1420" s="9" t="s">
        <v>64</v>
      </c>
      <c r="E1420" s="9" t="s">
        <v>59</v>
      </c>
      <c r="F1420" s="9">
        <v>0</v>
      </c>
      <c r="G1420" s="9">
        <v>7248.3</v>
      </c>
      <c r="H1420" s="9">
        <v>0</v>
      </c>
      <c r="I1420" s="9">
        <v>0</v>
      </c>
      <c r="J1420" s="10">
        <v>45783</v>
      </c>
      <c r="K1420" s="9" t="s">
        <v>45</v>
      </c>
      <c r="L1420" s="9" t="s">
        <v>27</v>
      </c>
      <c r="M1420" s="9">
        <v>-672.15</v>
      </c>
    </row>
    <row r="1421" spans="1:13" x14ac:dyDescent="0.35">
      <c r="A1421" s="9">
        <v>3779</v>
      </c>
      <c r="B1421" s="9" t="s">
        <v>28</v>
      </c>
      <c r="C1421" s="9" t="s">
        <v>19</v>
      </c>
      <c r="D1421" s="9" t="s">
        <v>42</v>
      </c>
      <c r="E1421" s="9" t="s">
        <v>59</v>
      </c>
      <c r="F1421" s="9">
        <v>0</v>
      </c>
      <c r="G1421" s="9">
        <v>0</v>
      </c>
      <c r="H1421" s="9">
        <v>1.08</v>
      </c>
      <c r="I1421" s="9">
        <v>0</v>
      </c>
      <c r="J1421" s="10">
        <v>45643</v>
      </c>
      <c r="K1421" s="9" t="s">
        <v>45</v>
      </c>
      <c r="L1421" s="9" t="s">
        <v>27</v>
      </c>
      <c r="M1421" s="9">
        <v>1073.22</v>
      </c>
    </row>
    <row r="1422" spans="1:13" x14ac:dyDescent="0.35">
      <c r="A1422" s="9">
        <v>3780</v>
      </c>
      <c r="B1422" s="9" t="s">
        <v>28</v>
      </c>
      <c r="C1422" s="9" t="s">
        <v>19</v>
      </c>
      <c r="D1422" s="9" t="s">
        <v>42</v>
      </c>
      <c r="E1422" s="9" t="s">
        <v>62</v>
      </c>
      <c r="F1422" s="9">
        <v>0</v>
      </c>
      <c r="G1422" s="9">
        <v>5054.63</v>
      </c>
      <c r="H1422" s="9">
        <v>0.21</v>
      </c>
      <c r="I1422" s="9">
        <v>0</v>
      </c>
      <c r="J1422" s="10">
        <v>45643</v>
      </c>
      <c r="K1422" s="9" t="s">
        <v>45</v>
      </c>
      <c r="L1422" s="9" t="s">
        <v>35</v>
      </c>
      <c r="M1422" s="9">
        <v>3818.72</v>
      </c>
    </row>
    <row r="1423" spans="1:13" x14ac:dyDescent="0.35">
      <c r="A1423" s="9">
        <v>3781</v>
      </c>
      <c r="B1423" s="9" t="s">
        <v>34</v>
      </c>
      <c r="C1423" s="9" t="s">
        <v>20</v>
      </c>
      <c r="D1423" s="9" t="s">
        <v>70</v>
      </c>
      <c r="E1423" s="9" t="s">
        <v>60</v>
      </c>
      <c r="F1423" s="9">
        <v>0</v>
      </c>
      <c r="G1423" s="9">
        <v>0</v>
      </c>
      <c r="H1423" s="9">
        <v>0.36</v>
      </c>
      <c r="I1423" s="9">
        <v>0</v>
      </c>
      <c r="J1423" s="10">
        <v>45343</v>
      </c>
      <c r="K1423" s="9" t="s">
        <v>44</v>
      </c>
      <c r="L1423" s="9" t="s">
        <v>26</v>
      </c>
      <c r="M1423" s="9">
        <v>642.29999999999995</v>
      </c>
    </row>
    <row r="1424" spans="1:13" x14ac:dyDescent="0.35">
      <c r="A1424" s="9">
        <v>3783</v>
      </c>
      <c r="B1424" s="9" t="s">
        <v>28</v>
      </c>
      <c r="C1424" s="9" t="s">
        <v>20</v>
      </c>
      <c r="D1424" s="9" t="s">
        <v>61</v>
      </c>
      <c r="E1424" s="9" t="s">
        <v>59</v>
      </c>
      <c r="F1424" s="9">
        <v>2</v>
      </c>
      <c r="G1424" s="9">
        <v>8500.65</v>
      </c>
      <c r="H1424" s="9">
        <v>0</v>
      </c>
      <c r="I1424" s="9">
        <v>0</v>
      </c>
      <c r="J1424" s="10">
        <v>45343</v>
      </c>
      <c r="K1424" s="9" t="s">
        <v>45</v>
      </c>
      <c r="L1424" s="9" t="s">
        <v>26</v>
      </c>
      <c r="M1424" s="9">
        <v>3344.47</v>
      </c>
    </row>
    <row r="1425" spans="1:13" x14ac:dyDescent="0.35">
      <c r="A1425" s="9">
        <v>3784</v>
      </c>
      <c r="B1425" s="9" t="s">
        <v>34</v>
      </c>
      <c r="C1425" s="9" t="s">
        <v>18</v>
      </c>
      <c r="D1425" s="9" t="s">
        <v>37</v>
      </c>
      <c r="E1425" s="9" t="s">
        <v>59</v>
      </c>
      <c r="F1425" s="9">
        <v>0</v>
      </c>
      <c r="G1425" s="9">
        <v>0</v>
      </c>
      <c r="H1425" s="9">
        <v>0</v>
      </c>
      <c r="I1425" s="9">
        <v>0</v>
      </c>
      <c r="J1425" s="10">
        <v>45845</v>
      </c>
      <c r="K1425" s="9" t="s">
        <v>44</v>
      </c>
      <c r="L1425" s="9" t="s">
        <v>35</v>
      </c>
      <c r="M1425" s="9">
        <v>2743.21</v>
      </c>
    </row>
    <row r="1426" spans="1:13" x14ac:dyDescent="0.35">
      <c r="A1426" s="9">
        <v>3785</v>
      </c>
      <c r="B1426" s="9" t="s">
        <v>34</v>
      </c>
      <c r="C1426" s="9" t="s">
        <v>21</v>
      </c>
      <c r="D1426" s="9" t="s">
        <v>36</v>
      </c>
      <c r="E1426" s="9" t="s">
        <v>62</v>
      </c>
      <c r="F1426" s="9">
        <v>3</v>
      </c>
      <c r="G1426" s="9">
        <v>6464</v>
      </c>
      <c r="H1426" s="9">
        <v>0.45</v>
      </c>
      <c r="I1426" s="9">
        <v>10665.6</v>
      </c>
      <c r="J1426" s="10">
        <v>45845</v>
      </c>
      <c r="K1426" s="9" t="s">
        <v>44</v>
      </c>
      <c r="L1426" s="9" t="s">
        <v>29</v>
      </c>
      <c r="M1426" s="9">
        <v>698.11</v>
      </c>
    </row>
    <row r="1427" spans="1:13" x14ac:dyDescent="0.35">
      <c r="A1427" s="9">
        <v>3786</v>
      </c>
      <c r="B1427" s="9" t="s">
        <v>31</v>
      </c>
      <c r="C1427" s="9" t="s">
        <v>21</v>
      </c>
      <c r="D1427" s="9" t="s">
        <v>40</v>
      </c>
      <c r="E1427" s="9" t="s">
        <v>59</v>
      </c>
      <c r="F1427" s="9">
        <v>0</v>
      </c>
      <c r="G1427" s="9">
        <v>0</v>
      </c>
      <c r="H1427" s="9">
        <v>0.76</v>
      </c>
      <c r="I1427" s="9">
        <v>0</v>
      </c>
      <c r="J1427" s="10">
        <v>45819</v>
      </c>
      <c r="K1427" s="9" t="s">
        <v>44</v>
      </c>
      <c r="L1427" s="9" t="s">
        <v>27</v>
      </c>
      <c r="M1427" s="9">
        <v>155.59</v>
      </c>
    </row>
    <row r="1428" spans="1:13" x14ac:dyDescent="0.35">
      <c r="A1428" s="9">
        <v>3788</v>
      </c>
      <c r="B1428" s="9" t="s">
        <v>34</v>
      </c>
      <c r="C1428" s="9" t="s">
        <v>19</v>
      </c>
      <c r="D1428" s="9" t="s">
        <v>42</v>
      </c>
      <c r="E1428" s="9" t="s">
        <v>60</v>
      </c>
      <c r="F1428" s="9">
        <v>0</v>
      </c>
      <c r="G1428" s="9">
        <v>0</v>
      </c>
      <c r="H1428" s="9">
        <v>0</v>
      </c>
      <c r="I1428" s="9">
        <v>0</v>
      </c>
      <c r="J1428" s="10">
        <v>45795</v>
      </c>
      <c r="K1428" s="9" t="s">
        <v>44</v>
      </c>
      <c r="L1428" s="9" t="s">
        <v>27</v>
      </c>
      <c r="M1428" s="9">
        <v>-302.19</v>
      </c>
    </row>
    <row r="1429" spans="1:13" x14ac:dyDescent="0.35">
      <c r="A1429" s="9">
        <v>3789</v>
      </c>
      <c r="B1429" s="9" t="s">
        <v>28</v>
      </c>
      <c r="C1429" s="9" t="s">
        <v>21</v>
      </c>
      <c r="D1429" s="9" t="s">
        <v>40</v>
      </c>
      <c r="E1429" s="9" t="s">
        <v>62</v>
      </c>
      <c r="F1429" s="9">
        <v>2</v>
      </c>
      <c r="G1429" s="9">
        <v>2738.79</v>
      </c>
      <c r="H1429" s="9">
        <v>0</v>
      </c>
      <c r="I1429" s="9">
        <v>0</v>
      </c>
      <c r="J1429" s="10">
        <v>45515</v>
      </c>
      <c r="K1429" s="9" t="s">
        <v>44</v>
      </c>
      <c r="L1429" s="9" t="s">
        <v>32</v>
      </c>
      <c r="M1429" s="9">
        <v>863.29</v>
      </c>
    </row>
    <row r="1430" spans="1:13" x14ac:dyDescent="0.35">
      <c r="A1430" s="9">
        <v>3791</v>
      </c>
      <c r="B1430" s="9" t="s">
        <v>34</v>
      </c>
      <c r="C1430" s="9" t="s">
        <v>22</v>
      </c>
      <c r="D1430" s="9" t="s">
        <v>67</v>
      </c>
      <c r="E1430" s="9" t="s">
        <v>60</v>
      </c>
      <c r="F1430" s="9">
        <v>0</v>
      </c>
      <c r="G1430" s="9">
        <v>0</v>
      </c>
      <c r="H1430" s="9">
        <v>0</v>
      </c>
      <c r="I1430" s="9">
        <v>0</v>
      </c>
      <c r="J1430" s="10">
        <v>45692</v>
      </c>
      <c r="K1430" s="9" t="s">
        <v>45</v>
      </c>
      <c r="L1430" s="9" t="s">
        <v>32</v>
      </c>
      <c r="M1430" s="9">
        <v>408.02</v>
      </c>
    </row>
    <row r="1431" spans="1:13" x14ac:dyDescent="0.35">
      <c r="A1431" s="9">
        <v>3792</v>
      </c>
      <c r="B1431" s="9" t="s">
        <v>31</v>
      </c>
      <c r="C1431" s="9" t="s">
        <v>20</v>
      </c>
      <c r="D1431" s="9" t="s">
        <v>66</v>
      </c>
      <c r="E1431" s="9" t="s">
        <v>60</v>
      </c>
      <c r="F1431" s="9">
        <v>0</v>
      </c>
      <c r="G1431" s="9">
        <v>0</v>
      </c>
      <c r="H1431" s="9">
        <v>1.23</v>
      </c>
      <c r="I1431" s="9">
        <v>0</v>
      </c>
      <c r="J1431" s="10">
        <v>45496</v>
      </c>
      <c r="K1431" s="9" t="s">
        <v>44</v>
      </c>
      <c r="L1431" s="9" t="s">
        <v>35</v>
      </c>
      <c r="M1431" s="9">
        <v>3737.69</v>
      </c>
    </row>
    <row r="1432" spans="1:13" x14ac:dyDescent="0.35">
      <c r="A1432" s="9">
        <v>3794</v>
      </c>
      <c r="B1432" s="9" t="s">
        <v>31</v>
      </c>
      <c r="C1432" s="9" t="s">
        <v>18</v>
      </c>
      <c r="D1432" s="9" t="s">
        <v>33</v>
      </c>
      <c r="E1432" s="9" t="s">
        <v>62</v>
      </c>
      <c r="F1432" s="9">
        <v>3</v>
      </c>
      <c r="G1432" s="9">
        <v>9360.8700000000008</v>
      </c>
      <c r="H1432" s="9">
        <v>0</v>
      </c>
      <c r="I1432" s="9">
        <v>0</v>
      </c>
      <c r="J1432" s="10">
        <v>45765</v>
      </c>
      <c r="K1432" s="9" t="s">
        <v>45</v>
      </c>
      <c r="L1432" s="9" t="s">
        <v>35</v>
      </c>
      <c r="M1432" s="9">
        <v>125.97</v>
      </c>
    </row>
    <row r="1433" spans="1:13" x14ac:dyDescent="0.35">
      <c r="A1433" s="9">
        <v>3795</v>
      </c>
      <c r="B1433" s="9" t="s">
        <v>31</v>
      </c>
      <c r="C1433" s="9" t="s">
        <v>19</v>
      </c>
      <c r="D1433" s="9" t="s">
        <v>69</v>
      </c>
      <c r="E1433" s="9" t="s">
        <v>59</v>
      </c>
      <c r="F1433" s="9">
        <v>4</v>
      </c>
      <c r="G1433" s="9">
        <v>0</v>
      </c>
      <c r="H1433" s="9">
        <v>1.03</v>
      </c>
      <c r="I1433" s="9">
        <v>0</v>
      </c>
      <c r="J1433" s="10">
        <v>45555</v>
      </c>
      <c r="K1433" s="9" t="s">
        <v>44</v>
      </c>
      <c r="L1433" s="9" t="s">
        <v>32</v>
      </c>
      <c r="M1433" s="9">
        <v>2418.5300000000002</v>
      </c>
    </row>
    <row r="1434" spans="1:13" x14ac:dyDescent="0.35">
      <c r="A1434" s="9">
        <v>3797</v>
      </c>
      <c r="B1434" s="9" t="s">
        <v>28</v>
      </c>
      <c r="C1434" s="9" t="s">
        <v>18</v>
      </c>
      <c r="D1434" s="9" t="s">
        <v>38</v>
      </c>
      <c r="E1434" s="9" t="s">
        <v>60</v>
      </c>
      <c r="F1434" s="9">
        <v>0</v>
      </c>
      <c r="G1434" s="9">
        <v>8735.51</v>
      </c>
      <c r="H1434" s="9">
        <v>0.13</v>
      </c>
      <c r="I1434" s="9">
        <v>0</v>
      </c>
      <c r="J1434" s="10">
        <v>45833</v>
      </c>
      <c r="K1434" s="9" t="s">
        <v>45</v>
      </c>
      <c r="L1434" s="9" t="s">
        <v>26</v>
      </c>
      <c r="M1434" s="9">
        <v>433.58</v>
      </c>
    </row>
    <row r="1435" spans="1:13" x14ac:dyDescent="0.35">
      <c r="A1435" s="9">
        <v>3798</v>
      </c>
      <c r="B1435" s="9" t="s">
        <v>28</v>
      </c>
      <c r="C1435" s="9" t="s">
        <v>18</v>
      </c>
      <c r="D1435" s="9" t="s">
        <v>37</v>
      </c>
      <c r="E1435" s="9" t="s">
        <v>60</v>
      </c>
      <c r="F1435" s="9">
        <v>0</v>
      </c>
      <c r="G1435" s="9">
        <v>3503.14</v>
      </c>
      <c r="H1435" s="9">
        <v>0</v>
      </c>
      <c r="I1435" s="9">
        <v>0</v>
      </c>
      <c r="J1435" s="10">
        <v>45801</v>
      </c>
      <c r="K1435" s="9" t="s">
        <v>44</v>
      </c>
      <c r="L1435" s="9" t="s">
        <v>35</v>
      </c>
      <c r="M1435" s="9">
        <v>957.97</v>
      </c>
    </row>
    <row r="1436" spans="1:13" x14ac:dyDescent="0.35">
      <c r="A1436" s="9">
        <v>3799</v>
      </c>
      <c r="B1436" s="9" t="s">
        <v>31</v>
      </c>
      <c r="C1436" s="9" t="s">
        <v>22</v>
      </c>
      <c r="D1436" s="9" t="s">
        <v>65</v>
      </c>
      <c r="E1436" s="9" t="s">
        <v>62</v>
      </c>
      <c r="F1436" s="9">
        <v>3</v>
      </c>
      <c r="G1436" s="9">
        <v>7881.86</v>
      </c>
      <c r="H1436" s="9">
        <v>0</v>
      </c>
      <c r="I1436" s="9">
        <v>0</v>
      </c>
      <c r="J1436" s="10">
        <v>45801</v>
      </c>
      <c r="K1436" s="9" t="s">
        <v>44</v>
      </c>
      <c r="L1436" s="9" t="s">
        <v>26</v>
      </c>
      <c r="M1436" s="9">
        <v>830.72</v>
      </c>
    </row>
    <row r="1437" spans="1:13" x14ac:dyDescent="0.35">
      <c r="A1437" s="9">
        <v>3800</v>
      </c>
      <c r="B1437" s="9" t="s">
        <v>31</v>
      </c>
      <c r="C1437" s="9" t="s">
        <v>21</v>
      </c>
      <c r="D1437" s="9" t="s">
        <v>71</v>
      </c>
      <c r="E1437" s="9" t="s">
        <v>59</v>
      </c>
      <c r="F1437" s="9">
        <v>0</v>
      </c>
      <c r="G1437" s="9">
        <v>0</v>
      </c>
      <c r="H1437" s="9">
        <v>0</v>
      </c>
      <c r="I1437" s="9">
        <v>0</v>
      </c>
      <c r="J1437" s="10">
        <v>45801</v>
      </c>
      <c r="K1437" s="9" t="s">
        <v>44</v>
      </c>
      <c r="L1437" s="9" t="s">
        <v>25</v>
      </c>
      <c r="M1437" s="9">
        <v>117.94</v>
      </c>
    </row>
    <row r="1438" spans="1:13" x14ac:dyDescent="0.35">
      <c r="A1438" s="9">
        <v>3801</v>
      </c>
      <c r="B1438" s="9" t="s">
        <v>28</v>
      </c>
      <c r="C1438" s="9" t="s">
        <v>18</v>
      </c>
      <c r="D1438" s="9" t="s">
        <v>38</v>
      </c>
      <c r="E1438" s="9" t="s">
        <v>62</v>
      </c>
      <c r="F1438" s="9">
        <v>0</v>
      </c>
      <c r="G1438" s="9">
        <v>0</v>
      </c>
      <c r="H1438" s="9">
        <v>0</v>
      </c>
      <c r="I1438" s="9">
        <v>0</v>
      </c>
      <c r="J1438" s="10">
        <v>45801</v>
      </c>
      <c r="K1438" s="9" t="s">
        <v>45</v>
      </c>
      <c r="L1438" s="9" t="s">
        <v>29</v>
      </c>
      <c r="M1438" s="9">
        <v>2638.1</v>
      </c>
    </row>
    <row r="1439" spans="1:13" x14ac:dyDescent="0.35">
      <c r="A1439" s="9">
        <v>3802</v>
      </c>
      <c r="B1439" s="9" t="s">
        <v>28</v>
      </c>
      <c r="C1439" s="9" t="s">
        <v>20</v>
      </c>
      <c r="D1439" s="9" t="s">
        <v>61</v>
      </c>
      <c r="E1439" s="9" t="s">
        <v>62</v>
      </c>
      <c r="F1439" s="9">
        <v>0</v>
      </c>
      <c r="G1439" s="9">
        <v>2391.13</v>
      </c>
      <c r="H1439" s="9">
        <v>0</v>
      </c>
      <c r="I1439" s="9">
        <v>0</v>
      </c>
      <c r="J1439" s="10">
        <v>45642</v>
      </c>
      <c r="K1439" s="9" t="s">
        <v>44</v>
      </c>
      <c r="L1439" s="9" t="s">
        <v>29</v>
      </c>
      <c r="M1439" s="9">
        <v>-489.64</v>
      </c>
    </row>
    <row r="1440" spans="1:13" x14ac:dyDescent="0.35">
      <c r="A1440" s="9">
        <v>3804</v>
      </c>
      <c r="B1440" s="9" t="s">
        <v>28</v>
      </c>
      <c r="C1440" s="9" t="s">
        <v>22</v>
      </c>
      <c r="D1440" s="9" t="s">
        <v>67</v>
      </c>
      <c r="E1440" s="9" t="s">
        <v>62</v>
      </c>
      <c r="F1440" s="9">
        <v>2</v>
      </c>
      <c r="G1440" s="9">
        <v>0</v>
      </c>
      <c r="H1440" s="9">
        <v>0</v>
      </c>
      <c r="I1440" s="9">
        <v>0</v>
      </c>
      <c r="J1440" s="10">
        <v>45642</v>
      </c>
      <c r="K1440" s="9" t="s">
        <v>44</v>
      </c>
      <c r="L1440" s="9" t="s">
        <v>32</v>
      </c>
      <c r="M1440" s="9">
        <v>2486.4499999999998</v>
      </c>
    </row>
    <row r="1441" spans="1:13" x14ac:dyDescent="0.35">
      <c r="A1441" s="9">
        <v>3805</v>
      </c>
      <c r="B1441" s="9" t="s">
        <v>28</v>
      </c>
      <c r="C1441" s="9" t="s">
        <v>21</v>
      </c>
      <c r="D1441" s="9" t="s">
        <v>71</v>
      </c>
      <c r="E1441" s="9" t="s">
        <v>59</v>
      </c>
      <c r="F1441" s="9">
        <v>0</v>
      </c>
      <c r="G1441" s="9">
        <v>0</v>
      </c>
      <c r="H1441" s="9">
        <v>0.75</v>
      </c>
      <c r="I1441" s="9">
        <v>0</v>
      </c>
      <c r="J1441" s="10">
        <v>45515</v>
      </c>
      <c r="K1441" s="9" t="s">
        <v>44</v>
      </c>
      <c r="L1441" s="9" t="s">
        <v>25</v>
      </c>
      <c r="M1441" s="9">
        <v>2727.66</v>
      </c>
    </row>
    <row r="1442" spans="1:13" x14ac:dyDescent="0.35">
      <c r="A1442" s="9">
        <v>3806</v>
      </c>
      <c r="B1442" s="9" t="s">
        <v>28</v>
      </c>
      <c r="C1442" s="9" t="s">
        <v>20</v>
      </c>
      <c r="D1442" s="9" t="s">
        <v>66</v>
      </c>
      <c r="E1442" s="9" t="s">
        <v>59</v>
      </c>
      <c r="F1442" s="9">
        <v>0</v>
      </c>
      <c r="G1442" s="9">
        <v>0</v>
      </c>
      <c r="H1442" s="9">
        <v>0.28000000000000003</v>
      </c>
      <c r="I1442" s="9">
        <v>0</v>
      </c>
      <c r="J1442" s="10">
        <v>45294</v>
      </c>
      <c r="K1442" s="9" t="s">
        <v>44</v>
      </c>
      <c r="L1442" s="9" t="s">
        <v>25</v>
      </c>
      <c r="M1442" s="9">
        <v>416.94</v>
      </c>
    </row>
    <row r="1443" spans="1:13" x14ac:dyDescent="0.35">
      <c r="A1443" s="9">
        <v>3808</v>
      </c>
      <c r="B1443" s="9" t="s">
        <v>34</v>
      </c>
      <c r="C1443" s="9" t="s">
        <v>20</v>
      </c>
      <c r="D1443" s="9" t="s">
        <v>66</v>
      </c>
      <c r="E1443" s="9" t="s">
        <v>59</v>
      </c>
      <c r="F1443" s="9">
        <v>0</v>
      </c>
      <c r="G1443" s="9">
        <v>0</v>
      </c>
      <c r="H1443" s="9">
        <v>0.93</v>
      </c>
      <c r="I1443" s="9">
        <v>0</v>
      </c>
      <c r="J1443" s="10">
        <v>45294</v>
      </c>
      <c r="K1443" s="9" t="s">
        <v>45</v>
      </c>
      <c r="L1443" s="9" t="s">
        <v>27</v>
      </c>
      <c r="M1443" s="9">
        <v>1363.94</v>
      </c>
    </row>
    <row r="1444" spans="1:13" x14ac:dyDescent="0.35">
      <c r="A1444" s="9">
        <v>3809</v>
      </c>
      <c r="B1444" s="9" t="s">
        <v>28</v>
      </c>
      <c r="C1444" s="9" t="s">
        <v>20</v>
      </c>
      <c r="D1444" s="9" t="s">
        <v>43</v>
      </c>
      <c r="E1444" s="9" t="s">
        <v>59</v>
      </c>
      <c r="F1444" s="9">
        <v>-1</v>
      </c>
      <c r="G1444" s="9">
        <v>0</v>
      </c>
      <c r="H1444" s="9">
        <v>0</v>
      </c>
      <c r="I1444" s="9">
        <v>0</v>
      </c>
      <c r="J1444" s="10">
        <v>45335</v>
      </c>
      <c r="K1444" s="9" t="s">
        <v>44</v>
      </c>
      <c r="L1444" s="9" t="s">
        <v>27</v>
      </c>
      <c r="M1444" s="9">
        <v>3564.78</v>
      </c>
    </row>
    <row r="1445" spans="1:13" x14ac:dyDescent="0.35">
      <c r="A1445" s="9">
        <v>3810</v>
      </c>
      <c r="B1445" s="9" t="s">
        <v>34</v>
      </c>
      <c r="C1445" s="9" t="s">
        <v>19</v>
      </c>
      <c r="D1445" s="9" t="s">
        <v>69</v>
      </c>
      <c r="E1445" s="9" t="s">
        <v>59</v>
      </c>
      <c r="F1445" s="9">
        <v>0</v>
      </c>
      <c r="G1445" s="9">
        <v>7556.37</v>
      </c>
      <c r="H1445" s="9">
        <v>0</v>
      </c>
      <c r="I1445" s="9">
        <v>0</v>
      </c>
      <c r="J1445" s="10">
        <v>45335</v>
      </c>
      <c r="K1445" s="9" t="s">
        <v>45</v>
      </c>
      <c r="L1445" s="9" t="s">
        <v>35</v>
      </c>
      <c r="M1445" s="9">
        <v>2530.62</v>
      </c>
    </row>
    <row r="1446" spans="1:13" x14ac:dyDescent="0.35">
      <c r="A1446" s="9">
        <v>3811</v>
      </c>
      <c r="B1446" s="9" t="s">
        <v>28</v>
      </c>
      <c r="C1446" s="9" t="s">
        <v>20</v>
      </c>
      <c r="D1446" s="9" t="s">
        <v>61</v>
      </c>
      <c r="E1446" s="9" t="s">
        <v>62</v>
      </c>
      <c r="F1446" s="9">
        <v>0</v>
      </c>
      <c r="G1446" s="9">
        <v>5706.6</v>
      </c>
      <c r="H1446" s="9">
        <v>0</v>
      </c>
      <c r="I1446" s="9">
        <v>0</v>
      </c>
      <c r="J1446" s="10">
        <v>45563</v>
      </c>
      <c r="K1446" s="9" t="s">
        <v>45</v>
      </c>
      <c r="L1446" s="9" t="s">
        <v>25</v>
      </c>
      <c r="M1446" s="9">
        <v>1397.86</v>
      </c>
    </row>
    <row r="1447" spans="1:13" x14ac:dyDescent="0.35">
      <c r="A1447" s="9">
        <v>3812</v>
      </c>
      <c r="B1447" s="9" t="s">
        <v>34</v>
      </c>
      <c r="C1447" s="9" t="s">
        <v>18</v>
      </c>
      <c r="D1447" s="9" t="s">
        <v>38</v>
      </c>
      <c r="E1447" s="9" t="s">
        <v>60</v>
      </c>
      <c r="F1447" s="9">
        <v>0</v>
      </c>
      <c r="G1447" s="9">
        <v>9321.19</v>
      </c>
      <c r="H1447" s="9">
        <v>0</v>
      </c>
      <c r="I1447" s="9">
        <v>0</v>
      </c>
      <c r="J1447" s="10">
        <v>45597</v>
      </c>
      <c r="K1447" s="9" t="s">
        <v>45</v>
      </c>
      <c r="L1447" s="9" t="s">
        <v>27</v>
      </c>
      <c r="M1447" s="9">
        <v>818.49</v>
      </c>
    </row>
    <row r="1448" spans="1:13" x14ac:dyDescent="0.35">
      <c r="A1448" s="9">
        <v>3813</v>
      </c>
      <c r="B1448" s="9" t="s">
        <v>31</v>
      </c>
      <c r="C1448" s="9" t="s">
        <v>21</v>
      </c>
      <c r="D1448" s="9" t="s">
        <v>64</v>
      </c>
      <c r="E1448" s="9" t="s">
        <v>59</v>
      </c>
      <c r="F1448" s="9">
        <v>3</v>
      </c>
      <c r="G1448" s="9">
        <v>0</v>
      </c>
      <c r="H1448" s="9">
        <v>0</v>
      </c>
      <c r="I1448" s="9">
        <v>0</v>
      </c>
      <c r="J1448" s="10">
        <v>45786</v>
      </c>
      <c r="K1448" s="9" t="s">
        <v>45</v>
      </c>
      <c r="L1448" s="9" t="s">
        <v>26</v>
      </c>
      <c r="M1448" s="9">
        <v>-921.98</v>
      </c>
    </row>
    <row r="1449" spans="1:13" x14ac:dyDescent="0.35">
      <c r="A1449" s="9">
        <v>3814</v>
      </c>
      <c r="B1449" s="9" t="s">
        <v>34</v>
      </c>
      <c r="C1449" s="9" t="s">
        <v>21</v>
      </c>
      <c r="D1449" s="9" t="s">
        <v>71</v>
      </c>
      <c r="E1449" s="9" t="s">
        <v>59</v>
      </c>
      <c r="F1449" s="9">
        <v>-1</v>
      </c>
      <c r="G1449" s="9">
        <v>9668.4699999999993</v>
      </c>
      <c r="H1449" s="9">
        <v>0</v>
      </c>
      <c r="I1449" s="9">
        <v>0</v>
      </c>
      <c r="J1449" s="10">
        <v>45651</v>
      </c>
      <c r="K1449" s="9" t="s">
        <v>44</v>
      </c>
      <c r="L1449" s="9" t="s">
        <v>27</v>
      </c>
      <c r="M1449" s="9">
        <v>3718.8</v>
      </c>
    </row>
    <row r="1450" spans="1:13" x14ac:dyDescent="0.35">
      <c r="A1450" s="9">
        <v>3815</v>
      </c>
      <c r="B1450" s="9" t="s">
        <v>28</v>
      </c>
      <c r="C1450" s="9" t="s">
        <v>18</v>
      </c>
      <c r="D1450" s="9" t="s">
        <v>33</v>
      </c>
      <c r="E1450" s="9" t="s">
        <v>59</v>
      </c>
      <c r="F1450" s="9">
        <v>3</v>
      </c>
      <c r="G1450" s="9">
        <v>0</v>
      </c>
      <c r="H1450" s="9">
        <v>0</v>
      </c>
      <c r="I1450" s="9">
        <v>0</v>
      </c>
      <c r="J1450" s="10">
        <v>45763</v>
      </c>
      <c r="K1450" s="9" t="s">
        <v>45</v>
      </c>
      <c r="L1450" s="9" t="s">
        <v>27</v>
      </c>
      <c r="M1450" s="9">
        <v>1224.44</v>
      </c>
    </row>
    <row r="1451" spans="1:13" x14ac:dyDescent="0.35">
      <c r="A1451" s="9">
        <v>3816</v>
      </c>
      <c r="B1451" s="9" t="s">
        <v>31</v>
      </c>
      <c r="C1451" s="9" t="s">
        <v>19</v>
      </c>
      <c r="D1451" s="9" t="s">
        <v>39</v>
      </c>
      <c r="E1451" s="9" t="s">
        <v>59</v>
      </c>
      <c r="F1451" s="9">
        <v>0</v>
      </c>
      <c r="G1451" s="9">
        <v>7264.55</v>
      </c>
      <c r="H1451" s="9">
        <v>0</v>
      </c>
      <c r="I1451" s="9">
        <v>0</v>
      </c>
      <c r="J1451" s="10">
        <v>45763</v>
      </c>
      <c r="K1451" s="9" t="s">
        <v>45</v>
      </c>
      <c r="L1451" s="9" t="s">
        <v>25</v>
      </c>
      <c r="M1451" s="9">
        <v>-406.85</v>
      </c>
    </row>
    <row r="1452" spans="1:13" x14ac:dyDescent="0.35">
      <c r="A1452" s="9">
        <v>3817</v>
      </c>
      <c r="B1452" s="9" t="s">
        <v>34</v>
      </c>
      <c r="C1452" s="9" t="s">
        <v>22</v>
      </c>
      <c r="D1452" s="9" t="s">
        <v>67</v>
      </c>
      <c r="E1452" s="9" t="s">
        <v>62</v>
      </c>
      <c r="F1452" s="9">
        <v>-1</v>
      </c>
      <c r="G1452" s="9">
        <v>0</v>
      </c>
      <c r="H1452" s="9">
        <v>0.61</v>
      </c>
      <c r="I1452" s="9">
        <v>0</v>
      </c>
      <c r="J1452" s="10">
        <v>45595</v>
      </c>
      <c r="K1452" s="9" t="s">
        <v>44</v>
      </c>
      <c r="L1452" s="9" t="s">
        <v>26</v>
      </c>
      <c r="M1452" s="9">
        <v>623.82000000000005</v>
      </c>
    </row>
    <row r="1453" spans="1:13" x14ac:dyDescent="0.35">
      <c r="A1453" s="9">
        <v>3818</v>
      </c>
      <c r="B1453" s="9" t="s">
        <v>28</v>
      </c>
      <c r="C1453" s="9" t="s">
        <v>22</v>
      </c>
      <c r="D1453" s="9" t="s">
        <v>30</v>
      </c>
      <c r="E1453" s="9" t="s">
        <v>60</v>
      </c>
      <c r="F1453" s="9">
        <v>1</v>
      </c>
      <c r="G1453" s="9">
        <v>0</v>
      </c>
      <c r="H1453" s="9">
        <v>1.08</v>
      </c>
      <c r="I1453" s="9">
        <v>0</v>
      </c>
      <c r="J1453" s="10">
        <v>45595</v>
      </c>
      <c r="K1453" s="9" t="s">
        <v>44</v>
      </c>
      <c r="L1453" s="9" t="s">
        <v>35</v>
      </c>
      <c r="M1453" s="9">
        <v>1201.4100000000001</v>
      </c>
    </row>
    <row r="1454" spans="1:13" x14ac:dyDescent="0.35">
      <c r="A1454" s="9">
        <v>3819</v>
      </c>
      <c r="B1454" s="9" t="s">
        <v>34</v>
      </c>
      <c r="C1454" s="9" t="s">
        <v>22</v>
      </c>
      <c r="D1454" s="9" t="s">
        <v>68</v>
      </c>
      <c r="E1454" s="9" t="s">
        <v>59</v>
      </c>
      <c r="F1454" s="9">
        <v>3</v>
      </c>
      <c r="G1454" s="9">
        <v>7171.03</v>
      </c>
      <c r="H1454" s="9">
        <v>0</v>
      </c>
      <c r="I1454" s="9">
        <v>0</v>
      </c>
      <c r="J1454" s="10">
        <v>45804</v>
      </c>
      <c r="K1454" s="9" t="s">
        <v>44</v>
      </c>
      <c r="L1454" s="9" t="s">
        <v>27</v>
      </c>
      <c r="M1454" s="9">
        <v>2723</v>
      </c>
    </row>
    <row r="1455" spans="1:13" x14ac:dyDescent="0.35">
      <c r="A1455" s="9">
        <v>3820</v>
      </c>
      <c r="B1455" s="9" t="s">
        <v>31</v>
      </c>
      <c r="C1455" s="9" t="s">
        <v>18</v>
      </c>
      <c r="D1455" s="9" t="s">
        <v>33</v>
      </c>
      <c r="E1455" s="9" t="s">
        <v>62</v>
      </c>
      <c r="F1455" s="9">
        <v>0</v>
      </c>
      <c r="G1455" s="9">
        <v>0</v>
      </c>
      <c r="H1455" s="9">
        <v>0</v>
      </c>
      <c r="I1455" s="9">
        <v>0</v>
      </c>
      <c r="J1455" s="10">
        <v>45692</v>
      </c>
      <c r="K1455" s="9" t="s">
        <v>44</v>
      </c>
      <c r="L1455" s="9" t="s">
        <v>26</v>
      </c>
      <c r="M1455" s="9">
        <v>3505.71</v>
      </c>
    </row>
    <row r="1456" spans="1:13" x14ac:dyDescent="0.35">
      <c r="A1456" s="9">
        <v>3821</v>
      </c>
      <c r="B1456" s="9" t="s">
        <v>28</v>
      </c>
      <c r="C1456" s="9" t="s">
        <v>21</v>
      </c>
      <c r="D1456" s="9" t="s">
        <v>40</v>
      </c>
      <c r="E1456" s="9" t="s">
        <v>60</v>
      </c>
      <c r="F1456" s="9">
        <v>-1</v>
      </c>
      <c r="G1456" s="9">
        <v>7539.55</v>
      </c>
      <c r="H1456" s="9">
        <v>0</v>
      </c>
      <c r="I1456" s="9">
        <v>0</v>
      </c>
      <c r="J1456" s="10">
        <v>45584</v>
      </c>
      <c r="K1456" s="9" t="s">
        <v>44</v>
      </c>
      <c r="L1456" s="9" t="s">
        <v>27</v>
      </c>
      <c r="M1456" s="9">
        <v>-17.8</v>
      </c>
    </row>
    <row r="1457" spans="1:13" x14ac:dyDescent="0.35">
      <c r="A1457" s="9">
        <v>3822</v>
      </c>
      <c r="B1457" s="9" t="s">
        <v>34</v>
      </c>
      <c r="C1457" s="9" t="s">
        <v>22</v>
      </c>
      <c r="D1457" s="9" t="s">
        <v>30</v>
      </c>
      <c r="E1457" s="9" t="s">
        <v>59</v>
      </c>
      <c r="F1457" s="9">
        <v>0</v>
      </c>
      <c r="G1457" s="9">
        <v>4017.71</v>
      </c>
      <c r="H1457" s="9">
        <v>0</v>
      </c>
      <c r="I1457" s="9">
        <v>0</v>
      </c>
      <c r="J1457" s="10">
        <v>45584</v>
      </c>
      <c r="K1457" s="9" t="s">
        <v>45</v>
      </c>
      <c r="L1457" s="9" t="s">
        <v>35</v>
      </c>
      <c r="M1457" s="9">
        <v>368.32</v>
      </c>
    </row>
    <row r="1458" spans="1:13" x14ac:dyDescent="0.35">
      <c r="A1458" s="9">
        <v>3823</v>
      </c>
      <c r="B1458" s="9" t="s">
        <v>31</v>
      </c>
      <c r="C1458" s="9" t="s">
        <v>20</v>
      </c>
      <c r="D1458" s="9" t="s">
        <v>43</v>
      </c>
      <c r="E1458" s="9" t="s">
        <v>60</v>
      </c>
      <c r="F1458" s="9">
        <v>-1</v>
      </c>
      <c r="G1458" s="9">
        <v>0</v>
      </c>
      <c r="H1458" s="9">
        <v>0.14000000000000001</v>
      </c>
      <c r="I1458" s="9">
        <v>0</v>
      </c>
      <c r="J1458" s="10">
        <v>45584</v>
      </c>
      <c r="K1458" s="9" t="s">
        <v>45</v>
      </c>
      <c r="L1458" s="9" t="s">
        <v>25</v>
      </c>
      <c r="M1458" s="9">
        <v>531.92999999999995</v>
      </c>
    </row>
    <row r="1459" spans="1:13" x14ac:dyDescent="0.35">
      <c r="A1459" s="9">
        <v>3824</v>
      </c>
      <c r="B1459" s="9" t="s">
        <v>34</v>
      </c>
      <c r="C1459" s="9" t="s">
        <v>20</v>
      </c>
      <c r="D1459" s="9" t="s">
        <v>66</v>
      </c>
      <c r="E1459" s="9" t="s">
        <v>59</v>
      </c>
      <c r="F1459" s="9">
        <v>0</v>
      </c>
      <c r="G1459" s="9">
        <v>0</v>
      </c>
      <c r="H1459" s="9">
        <v>0</v>
      </c>
      <c r="I1459" s="9">
        <v>0</v>
      </c>
      <c r="J1459" s="10">
        <v>45619</v>
      </c>
      <c r="K1459" s="9" t="s">
        <v>44</v>
      </c>
      <c r="L1459" s="9" t="s">
        <v>32</v>
      </c>
      <c r="M1459" s="9">
        <v>3501.41</v>
      </c>
    </row>
    <row r="1460" spans="1:13" x14ac:dyDescent="0.35">
      <c r="A1460" s="9">
        <v>3826</v>
      </c>
      <c r="B1460" s="9" t="s">
        <v>31</v>
      </c>
      <c r="C1460" s="9" t="s">
        <v>21</v>
      </c>
      <c r="D1460" s="9" t="s">
        <v>64</v>
      </c>
      <c r="E1460" s="9" t="s">
        <v>62</v>
      </c>
      <c r="F1460" s="9">
        <v>0</v>
      </c>
      <c r="G1460" s="9">
        <v>6598.54</v>
      </c>
      <c r="H1460" s="9">
        <v>0</v>
      </c>
      <c r="I1460" s="9">
        <v>0</v>
      </c>
      <c r="J1460" s="10">
        <v>45573</v>
      </c>
      <c r="K1460" s="9" t="s">
        <v>44</v>
      </c>
      <c r="L1460" s="9" t="s">
        <v>26</v>
      </c>
      <c r="M1460" s="9">
        <v>314.89999999999998</v>
      </c>
    </row>
    <row r="1461" spans="1:13" x14ac:dyDescent="0.35">
      <c r="A1461" s="9">
        <v>3827</v>
      </c>
      <c r="B1461" s="9" t="s">
        <v>34</v>
      </c>
      <c r="C1461" s="9" t="s">
        <v>19</v>
      </c>
      <c r="D1461" s="9" t="s">
        <v>69</v>
      </c>
      <c r="E1461" s="9" t="s">
        <v>59</v>
      </c>
      <c r="F1461" s="9">
        <v>2</v>
      </c>
      <c r="G1461" s="9">
        <v>0</v>
      </c>
      <c r="H1461" s="9">
        <v>0</v>
      </c>
      <c r="I1461" s="9">
        <v>0</v>
      </c>
      <c r="J1461" s="10">
        <v>45573</v>
      </c>
      <c r="K1461" s="9" t="s">
        <v>45</v>
      </c>
      <c r="L1461" s="9" t="s">
        <v>29</v>
      </c>
      <c r="M1461" s="9">
        <v>-356.71</v>
      </c>
    </row>
    <row r="1462" spans="1:13" x14ac:dyDescent="0.35">
      <c r="A1462" s="9">
        <v>3828</v>
      </c>
      <c r="B1462" s="9" t="s">
        <v>31</v>
      </c>
      <c r="C1462" s="9" t="s">
        <v>22</v>
      </c>
      <c r="D1462" s="9" t="s">
        <v>65</v>
      </c>
      <c r="E1462" s="9" t="s">
        <v>62</v>
      </c>
      <c r="F1462" s="9">
        <v>0</v>
      </c>
      <c r="G1462" s="9">
        <v>3208.18</v>
      </c>
      <c r="H1462" s="9">
        <v>0</v>
      </c>
      <c r="I1462" s="9">
        <v>0</v>
      </c>
      <c r="J1462" s="10">
        <v>45646</v>
      </c>
      <c r="K1462" s="9" t="s">
        <v>44</v>
      </c>
      <c r="L1462" s="9" t="s">
        <v>32</v>
      </c>
      <c r="M1462" s="9">
        <v>103.08</v>
      </c>
    </row>
    <row r="1463" spans="1:13" x14ac:dyDescent="0.35">
      <c r="A1463" s="9">
        <v>3829</v>
      </c>
      <c r="B1463" s="9" t="s">
        <v>34</v>
      </c>
      <c r="C1463" s="9" t="s">
        <v>20</v>
      </c>
      <c r="D1463" s="9" t="s">
        <v>43</v>
      </c>
      <c r="E1463" s="9" t="s">
        <v>60</v>
      </c>
      <c r="F1463" s="9">
        <v>0</v>
      </c>
      <c r="G1463" s="9">
        <v>5000.96</v>
      </c>
      <c r="H1463" s="9">
        <v>0</v>
      </c>
      <c r="I1463" s="9">
        <v>0</v>
      </c>
      <c r="J1463" s="10">
        <v>45832</v>
      </c>
      <c r="K1463" s="9" t="s">
        <v>45</v>
      </c>
      <c r="L1463" s="9" t="s">
        <v>26</v>
      </c>
      <c r="M1463" s="9">
        <v>2507.54</v>
      </c>
    </row>
    <row r="1464" spans="1:13" x14ac:dyDescent="0.35">
      <c r="A1464" s="9">
        <v>3830</v>
      </c>
      <c r="B1464" s="9" t="s">
        <v>34</v>
      </c>
      <c r="C1464" s="9" t="s">
        <v>19</v>
      </c>
      <c r="D1464" s="9" t="s">
        <v>69</v>
      </c>
      <c r="E1464" s="9" t="s">
        <v>60</v>
      </c>
      <c r="F1464" s="9">
        <v>2</v>
      </c>
      <c r="G1464" s="9">
        <v>3664.1</v>
      </c>
      <c r="H1464" s="9">
        <v>0</v>
      </c>
      <c r="I1464" s="9">
        <v>0</v>
      </c>
      <c r="J1464" s="10">
        <v>45539</v>
      </c>
      <c r="K1464" s="9" t="s">
        <v>44</v>
      </c>
      <c r="L1464" s="9" t="s">
        <v>32</v>
      </c>
      <c r="M1464" s="9">
        <v>3188.23</v>
      </c>
    </row>
    <row r="1465" spans="1:13" x14ac:dyDescent="0.35">
      <c r="A1465" s="9">
        <v>3831</v>
      </c>
      <c r="B1465" s="9" t="s">
        <v>31</v>
      </c>
      <c r="C1465" s="9" t="s">
        <v>20</v>
      </c>
      <c r="D1465" s="9" t="s">
        <v>43</v>
      </c>
      <c r="E1465" s="9" t="s">
        <v>60</v>
      </c>
      <c r="F1465" s="9">
        <v>0</v>
      </c>
      <c r="G1465" s="9">
        <v>3231.05</v>
      </c>
      <c r="H1465" s="9">
        <v>0</v>
      </c>
      <c r="I1465" s="9">
        <v>0</v>
      </c>
      <c r="J1465" s="10">
        <v>45773</v>
      </c>
      <c r="K1465" s="9" t="s">
        <v>45</v>
      </c>
      <c r="L1465" s="9" t="s">
        <v>25</v>
      </c>
      <c r="M1465" s="9">
        <v>504.5</v>
      </c>
    </row>
    <row r="1466" spans="1:13" x14ac:dyDescent="0.35">
      <c r="A1466" s="9">
        <v>3832</v>
      </c>
      <c r="B1466" s="9" t="s">
        <v>31</v>
      </c>
      <c r="C1466" s="9" t="s">
        <v>22</v>
      </c>
      <c r="D1466" s="9" t="s">
        <v>67</v>
      </c>
      <c r="E1466" s="9" t="s">
        <v>60</v>
      </c>
      <c r="F1466" s="9">
        <v>0</v>
      </c>
      <c r="G1466" s="9">
        <v>3928.02</v>
      </c>
      <c r="H1466" s="9">
        <v>0</v>
      </c>
      <c r="I1466" s="9">
        <v>0</v>
      </c>
      <c r="J1466" s="10">
        <v>45805</v>
      </c>
      <c r="K1466" s="9" t="s">
        <v>44</v>
      </c>
      <c r="L1466" s="9" t="s">
        <v>27</v>
      </c>
      <c r="M1466" s="9">
        <v>3445.25</v>
      </c>
    </row>
    <row r="1467" spans="1:13" x14ac:dyDescent="0.35">
      <c r="A1467" s="9">
        <v>3834</v>
      </c>
      <c r="B1467" s="9" t="s">
        <v>34</v>
      </c>
      <c r="C1467" s="9" t="s">
        <v>21</v>
      </c>
      <c r="D1467" s="9" t="s">
        <v>71</v>
      </c>
      <c r="E1467" s="9" t="s">
        <v>62</v>
      </c>
      <c r="F1467" s="9">
        <v>0</v>
      </c>
      <c r="G1467" s="9">
        <v>9190.5499999999993</v>
      </c>
      <c r="H1467" s="9">
        <v>1.07</v>
      </c>
      <c r="I1467" s="9">
        <v>0</v>
      </c>
      <c r="J1467" s="10">
        <v>45739</v>
      </c>
      <c r="K1467" s="9" t="s">
        <v>44</v>
      </c>
      <c r="L1467" s="9" t="s">
        <v>29</v>
      </c>
      <c r="M1467" s="9">
        <v>3199.75</v>
      </c>
    </row>
    <row r="1468" spans="1:13" x14ac:dyDescent="0.35">
      <c r="A1468" s="9">
        <v>3835</v>
      </c>
      <c r="B1468" s="9" t="s">
        <v>31</v>
      </c>
      <c r="C1468" s="9" t="s">
        <v>20</v>
      </c>
      <c r="D1468" s="9" t="s">
        <v>66</v>
      </c>
      <c r="E1468" s="9" t="s">
        <v>59</v>
      </c>
      <c r="F1468" s="9">
        <v>1</v>
      </c>
      <c r="G1468" s="9">
        <v>0</v>
      </c>
      <c r="H1468" s="9">
        <v>0</v>
      </c>
      <c r="I1468" s="9">
        <v>0</v>
      </c>
      <c r="J1468" s="10">
        <v>45739</v>
      </c>
      <c r="K1468" s="9" t="s">
        <v>44</v>
      </c>
      <c r="L1468" s="9" t="s">
        <v>35</v>
      </c>
      <c r="M1468" s="9">
        <v>2281.4699999999998</v>
      </c>
    </row>
    <row r="1469" spans="1:13" x14ac:dyDescent="0.35">
      <c r="A1469" s="9">
        <v>2028</v>
      </c>
      <c r="B1469" s="9" t="s">
        <v>28</v>
      </c>
      <c r="C1469" s="9" t="s">
        <v>20</v>
      </c>
      <c r="D1469" s="9" t="s">
        <v>70</v>
      </c>
      <c r="E1469" s="9" t="s">
        <v>59</v>
      </c>
      <c r="F1469" s="9">
        <v>0</v>
      </c>
      <c r="G1469" s="9">
        <v>0</v>
      </c>
      <c r="H1469" s="9">
        <v>1.02</v>
      </c>
      <c r="I1469" s="9">
        <v>0</v>
      </c>
      <c r="J1469" s="10">
        <v>45708</v>
      </c>
      <c r="K1469" s="9" t="s">
        <v>45</v>
      </c>
      <c r="L1469" s="9" t="s">
        <v>29</v>
      </c>
      <c r="M1469" s="9">
        <v>-417.11</v>
      </c>
    </row>
    <row r="1470" spans="1:13" x14ac:dyDescent="0.35">
      <c r="A1470" s="9">
        <v>3837</v>
      </c>
      <c r="B1470" s="9" t="s">
        <v>28</v>
      </c>
      <c r="C1470" s="9" t="s">
        <v>19</v>
      </c>
      <c r="D1470" s="9" t="s">
        <v>42</v>
      </c>
      <c r="E1470" s="9" t="s">
        <v>59</v>
      </c>
      <c r="F1470" s="9">
        <v>0</v>
      </c>
      <c r="G1470" s="9">
        <v>7490.57</v>
      </c>
      <c r="H1470" s="9">
        <v>0.99</v>
      </c>
      <c r="I1470" s="9">
        <v>0</v>
      </c>
      <c r="J1470" s="10">
        <v>45499</v>
      </c>
      <c r="K1470" s="9" t="s">
        <v>44</v>
      </c>
      <c r="L1470" s="9" t="s">
        <v>25</v>
      </c>
      <c r="M1470" s="9">
        <v>1006.53</v>
      </c>
    </row>
    <row r="1471" spans="1:13" x14ac:dyDescent="0.35">
      <c r="A1471" s="9">
        <v>3838</v>
      </c>
      <c r="B1471" s="9" t="s">
        <v>28</v>
      </c>
      <c r="C1471" s="9" t="s">
        <v>19</v>
      </c>
      <c r="D1471" s="9" t="s">
        <v>63</v>
      </c>
      <c r="E1471" s="9" t="s">
        <v>62</v>
      </c>
      <c r="F1471" s="9">
        <v>0</v>
      </c>
      <c r="G1471" s="9">
        <v>4262.63</v>
      </c>
      <c r="H1471" s="9">
        <v>0.52</v>
      </c>
      <c r="I1471" s="9">
        <v>0</v>
      </c>
      <c r="J1471" s="10">
        <v>45752</v>
      </c>
      <c r="K1471" s="9" t="s">
        <v>44</v>
      </c>
      <c r="L1471" s="9" t="s">
        <v>29</v>
      </c>
      <c r="M1471" s="9">
        <v>373.65</v>
      </c>
    </row>
    <row r="1472" spans="1:13" x14ac:dyDescent="0.35">
      <c r="A1472" s="9">
        <v>3839</v>
      </c>
      <c r="B1472" s="9" t="s">
        <v>28</v>
      </c>
      <c r="C1472" s="9" t="s">
        <v>21</v>
      </c>
      <c r="D1472" s="9" t="s">
        <v>40</v>
      </c>
      <c r="E1472" s="9" t="s">
        <v>60</v>
      </c>
      <c r="F1472" s="9">
        <v>0</v>
      </c>
      <c r="G1472" s="9">
        <v>3907.78</v>
      </c>
      <c r="H1472" s="9">
        <v>0.34</v>
      </c>
      <c r="I1472" s="9">
        <v>0</v>
      </c>
      <c r="J1472" s="10">
        <v>45752</v>
      </c>
      <c r="K1472" s="9" t="s">
        <v>45</v>
      </c>
      <c r="L1472" s="9" t="s">
        <v>29</v>
      </c>
      <c r="M1472" s="9">
        <v>-870.71</v>
      </c>
    </row>
    <row r="1473" spans="1:13" x14ac:dyDescent="0.35">
      <c r="A1473" s="9">
        <v>3840</v>
      </c>
      <c r="B1473" s="9" t="s">
        <v>31</v>
      </c>
      <c r="C1473" s="9" t="s">
        <v>19</v>
      </c>
      <c r="D1473" s="9" t="s">
        <v>69</v>
      </c>
      <c r="E1473" s="9" t="s">
        <v>59</v>
      </c>
      <c r="F1473" s="9">
        <v>0</v>
      </c>
      <c r="G1473" s="9">
        <v>0</v>
      </c>
      <c r="H1473" s="9">
        <v>0</v>
      </c>
      <c r="I1473" s="9">
        <v>0</v>
      </c>
      <c r="J1473" s="10">
        <v>45736</v>
      </c>
      <c r="K1473" s="9" t="s">
        <v>44</v>
      </c>
      <c r="L1473" s="9" t="s">
        <v>35</v>
      </c>
      <c r="M1473" s="9">
        <v>-313.26</v>
      </c>
    </row>
    <row r="1474" spans="1:13" x14ac:dyDescent="0.35">
      <c r="A1474" s="9">
        <v>3842</v>
      </c>
      <c r="B1474" s="9" t="s">
        <v>31</v>
      </c>
      <c r="C1474" s="9" t="s">
        <v>19</v>
      </c>
      <c r="D1474" s="9" t="s">
        <v>42</v>
      </c>
      <c r="E1474" s="9" t="s">
        <v>59</v>
      </c>
      <c r="F1474" s="9">
        <v>-1</v>
      </c>
      <c r="G1474" s="9">
        <v>0</v>
      </c>
      <c r="H1474" s="9">
        <v>1.22</v>
      </c>
      <c r="I1474" s="9">
        <v>0</v>
      </c>
      <c r="J1474" s="10">
        <v>45549</v>
      </c>
      <c r="K1474" s="9" t="s">
        <v>44</v>
      </c>
      <c r="L1474" s="9" t="s">
        <v>26</v>
      </c>
      <c r="M1474" s="9">
        <v>3506.47</v>
      </c>
    </row>
    <row r="1475" spans="1:13" x14ac:dyDescent="0.35">
      <c r="A1475" s="9">
        <v>3843</v>
      </c>
      <c r="B1475" s="9" t="s">
        <v>28</v>
      </c>
      <c r="C1475" s="9" t="s">
        <v>18</v>
      </c>
      <c r="D1475" s="9" t="s">
        <v>37</v>
      </c>
      <c r="E1475" s="9" t="s">
        <v>59</v>
      </c>
      <c r="F1475" s="9">
        <v>2</v>
      </c>
      <c r="G1475" s="9">
        <v>0</v>
      </c>
      <c r="H1475" s="9">
        <v>0</v>
      </c>
      <c r="I1475" s="9">
        <v>0</v>
      </c>
      <c r="J1475" s="10">
        <v>45549</v>
      </c>
      <c r="K1475" s="9" t="s">
        <v>45</v>
      </c>
      <c r="L1475" s="9" t="s">
        <v>32</v>
      </c>
      <c r="M1475" s="9">
        <v>2882.29</v>
      </c>
    </row>
    <row r="1476" spans="1:13" x14ac:dyDescent="0.35">
      <c r="A1476" s="9">
        <v>3844</v>
      </c>
      <c r="B1476" s="9" t="s">
        <v>28</v>
      </c>
      <c r="C1476" s="9" t="s">
        <v>18</v>
      </c>
      <c r="D1476" s="9" t="s">
        <v>41</v>
      </c>
      <c r="E1476" s="9" t="s">
        <v>59</v>
      </c>
      <c r="F1476" s="9">
        <v>1</v>
      </c>
      <c r="G1476" s="9">
        <v>0</v>
      </c>
      <c r="H1476" s="9">
        <v>0.32</v>
      </c>
      <c r="I1476" s="9">
        <v>0</v>
      </c>
      <c r="J1476" s="10">
        <v>45533</v>
      </c>
      <c r="K1476" s="9" t="s">
        <v>45</v>
      </c>
      <c r="L1476" s="9" t="s">
        <v>26</v>
      </c>
      <c r="M1476" s="9">
        <v>1073.8</v>
      </c>
    </row>
    <row r="1477" spans="1:13" x14ac:dyDescent="0.35">
      <c r="A1477" s="9">
        <v>3845</v>
      </c>
      <c r="B1477" s="9" t="s">
        <v>34</v>
      </c>
      <c r="C1477" s="9" t="s">
        <v>21</v>
      </c>
      <c r="D1477" s="9" t="s">
        <v>64</v>
      </c>
      <c r="E1477" s="9" t="s">
        <v>59</v>
      </c>
      <c r="F1477" s="9">
        <v>0</v>
      </c>
      <c r="G1477" s="9">
        <v>0</v>
      </c>
      <c r="H1477" s="9">
        <v>0</v>
      </c>
      <c r="I1477" s="9">
        <v>0</v>
      </c>
      <c r="J1477" s="10">
        <v>45533</v>
      </c>
      <c r="K1477" s="9" t="s">
        <v>45</v>
      </c>
      <c r="L1477" s="9" t="s">
        <v>35</v>
      </c>
      <c r="M1477" s="9">
        <v>968.97</v>
      </c>
    </row>
    <row r="1478" spans="1:13" x14ac:dyDescent="0.35">
      <c r="A1478" s="9">
        <v>3846</v>
      </c>
      <c r="B1478" s="9" t="s">
        <v>28</v>
      </c>
      <c r="C1478" s="9" t="s">
        <v>21</v>
      </c>
      <c r="D1478" s="9" t="s">
        <v>40</v>
      </c>
      <c r="E1478" s="9" t="s">
        <v>59</v>
      </c>
      <c r="F1478" s="9">
        <v>0</v>
      </c>
      <c r="G1478" s="9">
        <v>8357.9599999999991</v>
      </c>
      <c r="H1478" s="9">
        <v>0.28000000000000003</v>
      </c>
      <c r="I1478" s="9">
        <v>0</v>
      </c>
      <c r="J1478" s="10">
        <v>45535</v>
      </c>
      <c r="K1478" s="9" t="s">
        <v>44</v>
      </c>
      <c r="L1478" s="9" t="s">
        <v>25</v>
      </c>
      <c r="M1478" s="9">
        <v>-306.33</v>
      </c>
    </row>
    <row r="1479" spans="1:13" x14ac:dyDescent="0.35">
      <c r="A1479" s="9">
        <v>3847</v>
      </c>
      <c r="B1479" s="9" t="s">
        <v>31</v>
      </c>
      <c r="C1479" s="9" t="s">
        <v>22</v>
      </c>
      <c r="D1479" s="9" t="s">
        <v>67</v>
      </c>
      <c r="E1479" s="9" t="s">
        <v>59</v>
      </c>
      <c r="F1479" s="9">
        <v>0</v>
      </c>
      <c r="G1479" s="9">
        <v>5605.99</v>
      </c>
      <c r="H1479" s="9">
        <v>0</v>
      </c>
      <c r="I1479" s="9">
        <v>0</v>
      </c>
      <c r="J1479" s="10">
        <v>45574</v>
      </c>
      <c r="K1479" s="9" t="s">
        <v>44</v>
      </c>
      <c r="L1479" s="9" t="s">
        <v>29</v>
      </c>
      <c r="M1479" s="9">
        <v>2415.33</v>
      </c>
    </row>
    <row r="1480" spans="1:13" x14ac:dyDescent="0.35">
      <c r="A1480" s="9">
        <v>3848</v>
      </c>
      <c r="B1480" s="9" t="s">
        <v>34</v>
      </c>
      <c r="C1480" s="9" t="s">
        <v>22</v>
      </c>
      <c r="D1480" s="9" t="s">
        <v>65</v>
      </c>
      <c r="E1480" s="9" t="s">
        <v>60</v>
      </c>
      <c r="F1480" s="9">
        <v>0</v>
      </c>
      <c r="G1480" s="9">
        <v>9250.25</v>
      </c>
      <c r="H1480" s="9">
        <v>1.1399999999999999</v>
      </c>
      <c r="I1480" s="9">
        <v>0</v>
      </c>
      <c r="J1480" s="10">
        <v>45849</v>
      </c>
      <c r="K1480" s="9" t="s">
        <v>45</v>
      </c>
      <c r="L1480" s="9" t="s">
        <v>25</v>
      </c>
      <c r="M1480" s="9">
        <v>-945.78</v>
      </c>
    </row>
    <row r="1481" spans="1:13" x14ac:dyDescent="0.35">
      <c r="A1481" s="9">
        <v>3849</v>
      </c>
      <c r="B1481" s="9" t="s">
        <v>31</v>
      </c>
      <c r="C1481" s="9" t="s">
        <v>18</v>
      </c>
      <c r="D1481" s="9" t="s">
        <v>41</v>
      </c>
      <c r="E1481" s="9" t="s">
        <v>62</v>
      </c>
      <c r="F1481" s="9">
        <v>1</v>
      </c>
      <c r="G1481" s="9">
        <v>0</v>
      </c>
      <c r="H1481" s="9">
        <v>0</v>
      </c>
      <c r="I1481" s="9">
        <v>0</v>
      </c>
      <c r="J1481" s="10">
        <v>45849</v>
      </c>
      <c r="K1481" s="9" t="s">
        <v>45</v>
      </c>
      <c r="L1481" s="9" t="s">
        <v>35</v>
      </c>
      <c r="M1481" s="9">
        <v>-671.09</v>
      </c>
    </row>
    <row r="1482" spans="1:13" x14ac:dyDescent="0.35">
      <c r="A1482" s="9">
        <v>2045</v>
      </c>
      <c r="B1482" s="9" t="s">
        <v>34</v>
      </c>
      <c r="C1482" s="9" t="s">
        <v>20</v>
      </c>
      <c r="D1482" s="9" t="s">
        <v>70</v>
      </c>
      <c r="E1482" s="9" t="s">
        <v>60</v>
      </c>
      <c r="F1482" s="9">
        <v>1</v>
      </c>
      <c r="G1482" s="9">
        <v>4891.0200000000004</v>
      </c>
      <c r="H1482" s="9">
        <v>0</v>
      </c>
      <c r="I1482" s="9">
        <v>0</v>
      </c>
      <c r="J1482" s="10">
        <v>45849</v>
      </c>
      <c r="K1482" s="9" t="s">
        <v>45</v>
      </c>
      <c r="L1482" s="9" t="s">
        <v>27</v>
      </c>
      <c r="M1482" s="9">
        <v>-473.08</v>
      </c>
    </row>
    <row r="1483" spans="1:13" x14ac:dyDescent="0.35">
      <c r="A1483" s="9">
        <v>3853</v>
      </c>
      <c r="B1483" s="9" t="s">
        <v>28</v>
      </c>
      <c r="C1483" s="9" t="s">
        <v>18</v>
      </c>
      <c r="D1483" s="9" t="s">
        <v>33</v>
      </c>
      <c r="E1483" s="9" t="s">
        <v>60</v>
      </c>
      <c r="F1483" s="9">
        <v>1</v>
      </c>
      <c r="G1483" s="9">
        <v>7753.56</v>
      </c>
      <c r="H1483" s="9">
        <v>0</v>
      </c>
      <c r="I1483" s="9">
        <v>0</v>
      </c>
      <c r="J1483" s="10">
        <v>45849</v>
      </c>
      <c r="K1483" s="9" t="s">
        <v>45</v>
      </c>
      <c r="L1483" s="9" t="s">
        <v>27</v>
      </c>
      <c r="M1483" s="9">
        <v>2754.32</v>
      </c>
    </row>
    <row r="1484" spans="1:13" x14ac:dyDescent="0.35">
      <c r="A1484" s="9">
        <v>3854</v>
      </c>
      <c r="B1484" s="9" t="s">
        <v>28</v>
      </c>
      <c r="C1484" s="9" t="s">
        <v>18</v>
      </c>
      <c r="D1484" s="9" t="s">
        <v>33</v>
      </c>
      <c r="E1484" s="9" t="s">
        <v>60</v>
      </c>
      <c r="F1484" s="9">
        <v>3</v>
      </c>
      <c r="G1484" s="9">
        <v>9569.02</v>
      </c>
      <c r="H1484" s="9">
        <v>0</v>
      </c>
      <c r="I1484" s="9">
        <v>0</v>
      </c>
      <c r="J1484" s="10">
        <v>45849</v>
      </c>
      <c r="K1484" s="9" t="s">
        <v>45</v>
      </c>
      <c r="L1484" s="9" t="s">
        <v>25</v>
      </c>
      <c r="M1484" s="9">
        <v>3535.19</v>
      </c>
    </row>
    <row r="1485" spans="1:13" x14ac:dyDescent="0.35">
      <c r="A1485" s="9">
        <v>3855</v>
      </c>
      <c r="B1485" s="9" t="s">
        <v>34</v>
      </c>
      <c r="C1485" s="9" t="s">
        <v>22</v>
      </c>
      <c r="D1485" s="9" t="s">
        <v>30</v>
      </c>
      <c r="E1485" s="9" t="s">
        <v>59</v>
      </c>
      <c r="F1485" s="9">
        <v>0</v>
      </c>
      <c r="G1485" s="9">
        <v>7104.38</v>
      </c>
      <c r="H1485" s="9">
        <v>0.05</v>
      </c>
      <c r="I1485" s="9">
        <v>0</v>
      </c>
      <c r="J1485" s="10">
        <v>45688</v>
      </c>
      <c r="K1485" s="9" t="s">
        <v>44</v>
      </c>
      <c r="L1485" s="9" t="s">
        <v>29</v>
      </c>
      <c r="M1485" s="9">
        <v>-407.89</v>
      </c>
    </row>
    <row r="1486" spans="1:13" x14ac:dyDescent="0.35">
      <c r="A1486" s="9">
        <v>3856</v>
      </c>
      <c r="B1486" s="9" t="s">
        <v>34</v>
      </c>
      <c r="C1486" s="9" t="s">
        <v>20</v>
      </c>
      <c r="D1486" s="9" t="s">
        <v>61</v>
      </c>
      <c r="E1486" s="9" t="s">
        <v>59</v>
      </c>
      <c r="F1486" s="9">
        <v>0</v>
      </c>
      <c r="G1486" s="9">
        <v>6943.86</v>
      </c>
      <c r="H1486" s="9">
        <v>0</v>
      </c>
      <c r="I1486" s="9">
        <v>0</v>
      </c>
      <c r="J1486" s="10">
        <v>45688</v>
      </c>
      <c r="K1486" s="9" t="s">
        <v>44</v>
      </c>
      <c r="L1486" s="9" t="s">
        <v>27</v>
      </c>
      <c r="M1486" s="9">
        <v>2612.88</v>
      </c>
    </row>
    <row r="1487" spans="1:13" x14ac:dyDescent="0.35">
      <c r="A1487" s="9">
        <v>3858</v>
      </c>
      <c r="B1487" s="9" t="s">
        <v>34</v>
      </c>
      <c r="C1487" s="9" t="s">
        <v>21</v>
      </c>
      <c r="D1487" s="9" t="s">
        <v>64</v>
      </c>
      <c r="E1487" s="9" t="s">
        <v>60</v>
      </c>
      <c r="F1487" s="9">
        <v>2</v>
      </c>
      <c r="G1487" s="9">
        <v>0</v>
      </c>
      <c r="H1487" s="9">
        <v>0.87</v>
      </c>
      <c r="I1487" s="9">
        <v>0</v>
      </c>
      <c r="J1487" s="10">
        <v>45542</v>
      </c>
      <c r="K1487" s="9" t="s">
        <v>45</v>
      </c>
      <c r="L1487" s="9" t="s">
        <v>25</v>
      </c>
      <c r="M1487" s="9">
        <v>-485.83</v>
      </c>
    </row>
    <row r="1488" spans="1:13" x14ac:dyDescent="0.35">
      <c r="A1488" s="9">
        <v>3859</v>
      </c>
      <c r="B1488" s="9" t="s">
        <v>34</v>
      </c>
      <c r="C1488" s="9" t="s">
        <v>21</v>
      </c>
      <c r="D1488" s="9" t="s">
        <v>36</v>
      </c>
      <c r="E1488" s="9" t="s">
        <v>59</v>
      </c>
      <c r="F1488" s="9">
        <v>3</v>
      </c>
      <c r="G1488" s="9">
        <v>0</v>
      </c>
      <c r="H1488" s="9">
        <v>0</v>
      </c>
      <c r="I1488" s="9">
        <v>0</v>
      </c>
      <c r="J1488" s="10">
        <v>45616</v>
      </c>
      <c r="K1488" s="9" t="s">
        <v>44</v>
      </c>
      <c r="L1488" s="9" t="s">
        <v>26</v>
      </c>
      <c r="M1488" s="9">
        <v>2907.33</v>
      </c>
    </row>
    <row r="1489" spans="1:13" x14ac:dyDescent="0.35">
      <c r="A1489" s="9">
        <v>3860</v>
      </c>
      <c r="B1489" s="9" t="s">
        <v>31</v>
      </c>
      <c r="C1489" s="9" t="s">
        <v>22</v>
      </c>
      <c r="D1489" s="9" t="s">
        <v>30</v>
      </c>
      <c r="E1489" s="9" t="s">
        <v>59</v>
      </c>
      <c r="F1489" s="9">
        <v>3</v>
      </c>
      <c r="G1489" s="9">
        <v>0</v>
      </c>
      <c r="H1489" s="9">
        <v>0</v>
      </c>
      <c r="I1489" s="9">
        <v>0</v>
      </c>
      <c r="J1489" s="10">
        <v>45751</v>
      </c>
      <c r="K1489" s="9" t="s">
        <v>45</v>
      </c>
      <c r="L1489" s="9" t="s">
        <v>26</v>
      </c>
      <c r="M1489" s="9">
        <v>3441.46</v>
      </c>
    </row>
    <row r="1490" spans="1:13" x14ac:dyDescent="0.35">
      <c r="A1490" s="9">
        <v>3861</v>
      </c>
      <c r="B1490" s="9" t="s">
        <v>31</v>
      </c>
      <c r="C1490" s="9" t="s">
        <v>22</v>
      </c>
      <c r="D1490" s="9" t="s">
        <v>65</v>
      </c>
      <c r="E1490" s="9" t="s">
        <v>59</v>
      </c>
      <c r="F1490" s="9">
        <v>4</v>
      </c>
      <c r="G1490" s="9">
        <v>0</v>
      </c>
      <c r="H1490" s="9">
        <v>0.46</v>
      </c>
      <c r="I1490" s="9">
        <v>0</v>
      </c>
      <c r="J1490" s="10">
        <v>45751</v>
      </c>
      <c r="K1490" s="9" t="s">
        <v>44</v>
      </c>
      <c r="L1490" s="9" t="s">
        <v>32</v>
      </c>
      <c r="M1490" s="9">
        <v>419.79</v>
      </c>
    </row>
    <row r="1491" spans="1:13" x14ac:dyDescent="0.35">
      <c r="A1491" s="9">
        <v>3862</v>
      </c>
      <c r="B1491" s="9" t="s">
        <v>34</v>
      </c>
      <c r="C1491" s="9" t="s">
        <v>21</v>
      </c>
      <c r="D1491" s="9" t="s">
        <v>71</v>
      </c>
      <c r="E1491" s="9" t="s">
        <v>60</v>
      </c>
      <c r="F1491" s="9">
        <v>1</v>
      </c>
      <c r="G1491" s="9">
        <v>0</v>
      </c>
      <c r="H1491" s="9">
        <v>0.61</v>
      </c>
      <c r="I1491" s="9">
        <v>0</v>
      </c>
      <c r="J1491" s="10">
        <v>45247</v>
      </c>
      <c r="K1491" s="9" t="s">
        <v>45</v>
      </c>
      <c r="L1491" s="9" t="s">
        <v>29</v>
      </c>
      <c r="M1491" s="9">
        <v>3454.42</v>
      </c>
    </row>
    <row r="1492" spans="1:13" x14ac:dyDescent="0.35">
      <c r="A1492" s="9">
        <v>3863</v>
      </c>
      <c r="B1492" s="9" t="s">
        <v>28</v>
      </c>
      <c r="C1492" s="9" t="s">
        <v>18</v>
      </c>
      <c r="D1492" s="9" t="s">
        <v>33</v>
      </c>
      <c r="E1492" s="9" t="s">
        <v>62</v>
      </c>
      <c r="F1492" s="9">
        <v>0</v>
      </c>
      <c r="G1492" s="9">
        <v>6358.33</v>
      </c>
      <c r="H1492" s="9">
        <v>0</v>
      </c>
      <c r="I1492" s="9">
        <v>0</v>
      </c>
      <c r="J1492" s="10">
        <v>45836</v>
      </c>
      <c r="K1492" s="9" t="s">
        <v>44</v>
      </c>
      <c r="L1492" s="9" t="s">
        <v>32</v>
      </c>
      <c r="M1492" s="9">
        <v>290.35000000000002</v>
      </c>
    </row>
    <row r="1493" spans="1:13" x14ac:dyDescent="0.35">
      <c r="A1493" s="9">
        <v>3864</v>
      </c>
      <c r="B1493" s="9" t="s">
        <v>28</v>
      </c>
      <c r="C1493" s="9" t="s">
        <v>18</v>
      </c>
      <c r="D1493" s="9" t="s">
        <v>37</v>
      </c>
      <c r="E1493" s="9" t="s">
        <v>59</v>
      </c>
      <c r="F1493" s="9">
        <v>0</v>
      </c>
      <c r="G1493" s="9">
        <v>0</v>
      </c>
      <c r="H1493" s="9">
        <v>0</v>
      </c>
      <c r="I1493" s="9">
        <v>0</v>
      </c>
      <c r="J1493" s="10">
        <v>45778</v>
      </c>
      <c r="K1493" s="9" t="s">
        <v>44</v>
      </c>
      <c r="L1493" s="9" t="s">
        <v>29</v>
      </c>
      <c r="M1493" s="9">
        <v>2972.96</v>
      </c>
    </row>
    <row r="1494" spans="1:13" x14ac:dyDescent="0.35">
      <c r="A1494" s="9">
        <v>3865</v>
      </c>
      <c r="B1494" s="9" t="s">
        <v>31</v>
      </c>
      <c r="C1494" s="9" t="s">
        <v>18</v>
      </c>
      <c r="D1494" s="9" t="s">
        <v>38</v>
      </c>
      <c r="E1494" s="9" t="s">
        <v>60</v>
      </c>
      <c r="F1494" s="9">
        <v>2</v>
      </c>
      <c r="G1494" s="9">
        <v>7356.92</v>
      </c>
      <c r="H1494" s="9">
        <v>0</v>
      </c>
      <c r="I1494" s="9">
        <v>0</v>
      </c>
      <c r="J1494" s="10">
        <v>45778</v>
      </c>
      <c r="K1494" s="9" t="s">
        <v>45</v>
      </c>
      <c r="L1494" s="9" t="s">
        <v>32</v>
      </c>
      <c r="M1494" s="9">
        <v>-1144.1600000000001</v>
      </c>
    </row>
    <row r="1495" spans="1:13" x14ac:dyDescent="0.35">
      <c r="A1495" s="9">
        <v>3867</v>
      </c>
      <c r="B1495" s="9" t="s">
        <v>34</v>
      </c>
      <c r="C1495" s="9" t="s">
        <v>21</v>
      </c>
      <c r="D1495" s="9" t="s">
        <v>64</v>
      </c>
      <c r="E1495" s="9" t="s">
        <v>62</v>
      </c>
      <c r="F1495" s="9">
        <v>0</v>
      </c>
      <c r="G1495" s="9">
        <v>0</v>
      </c>
      <c r="H1495" s="9">
        <v>0</v>
      </c>
      <c r="I1495" s="9">
        <v>0</v>
      </c>
      <c r="J1495" s="10">
        <v>45569</v>
      </c>
      <c r="K1495" s="9" t="s">
        <v>45</v>
      </c>
      <c r="L1495" s="9" t="s">
        <v>25</v>
      </c>
      <c r="M1495" s="9">
        <v>3405.94</v>
      </c>
    </row>
    <row r="1496" spans="1:13" x14ac:dyDescent="0.35">
      <c r="A1496" s="9">
        <v>3868</v>
      </c>
      <c r="B1496" s="9" t="s">
        <v>28</v>
      </c>
      <c r="C1496" s="9" t="s">
        <v>20</v>
      </c>
      <c r="D1496" s="9" t="s">
        <v>66</v>
      </c>
      <c r="E1496" s="9" t="s">
        <v>59</v>
      </c>
      <c r="F1496" s="9">
        <v>0</v>
      </c>
      <c r="G1496" s="9">
        <v>3554.76</v>
      </c>
      <c r="H1496" s="9">
        <v>0.51</v>
      </c>
      <c r="I1496" s="9">
        <v>0</v>
      </c>
      <c r="J1496" s="10">
        <v>45774</v>
      </c>
      <c r="K1496" s="9" t="s">
        <v>45</v>
      </c>
      <c r="L1496" s="9" t="s">
        <v>25</v>
      </c>
      <c r="M1496" s="9">
        <v>-593.5</v>
      </c>
    </row>
    <row r="1497" spans="1:13" x14ac:dyDescent="0.35">
      <c r="A1497" s="9">
        <v>3869</v>
      </c>
      <c r="B1497" s="9" t="s">
        <v>28</v>
      </c>
      <c r="C1497" s="9" t="s">
        <v>22</v>
      </c>
      <c r="D1497" s="9" t="s">
        <v>30</v>
      </c>
      <c r="E1497" s="9" t="s">
        <v>60</v>
      </c>
      <c r="F1497" s="9">
        <v>3</v>
      </c>
      <c r="G1497" s="9">
        <v>7599.38</v>
      </c>
      <c r="H1497" s="9">
        <v>1.17</v>
      </c>
      <c r="I1497" s="9">
        <v>-3875.68</v>
      </c>
      <c r="J1497" s="10">
        <v>45774</v>
      </c>
      <c r="K1497" s="9" t="s">
        <v>44</v>
      </c>
      <c r="L1497" s="9" t="s">
        <v>29</v>
      </c>
      <c r="M1497" s="9">
        <v>-633.80999999999995</v>
      </c>
    </row>
    <row r="1498" spans="1:13" x14ac:dyDescent="0.35">
      <c r="A1498" s="9">
        <v>3870</v>
      </c>
      <c r="B1498" s="9" t="s">
        <v>28</v>
      </c>
      <c r="C1498" s="9" t="s">
        <v>18</v>
      </c>
      <c r="D1498" s="9" t="s">
        <v>38</v>
      </c>
      <c r="E1498" s="9" t="s">
        <v>59</v>
      </c>
      <c r="F1498" s="9">
        <v>0</v>
      </c>
      <c r="G1498" s="9">
        <v>6944.2</v>
      </c>
      <c r="H1498" s="9">
        <v>0</v>
      </c>
      <c r="I1498" s="9">
        <v>0</v>
      </c>
      <c r="J1498" s="10">
        <v>45794</v>
      </c>
      <c r="K1498" s="9" t="s">
        <v>45</v>
      </c>
      <c r="L1498" s="9" t="s">
        <v>32</v>
      </c>
      <c r="M1498" s="9">
        <v>764.21</v>
      </c>
    </row>
    <row r="1499" spans="1:13" x14ac:dyDescent="0.35">
      <c r="A1499" s="9">
        <v>3871</v>
      </c>
      <c r="B1499" s="9" t="s">
        <v>28</v>
      </c>
      <c r="C1499" s="9" t="s">
        <v>18</v>
      </c>
      <c r="D1499" s="9" t="s">
        <v>37</v>
      </c>
      <c r="E1499" s="9" t="s">
        <v>62</v>
      </c>
      <c r="F1499" s="9">
        <v>3</v>
      </c>
      <c r="G1499" s="9">
        <v>0</v>
      </c>
      <c r="H1499" s="9">
        <v>0</v>
      </c>
      <c r="I1499" s="9">
        <v>0</v>
      </c>
      <c r="J1499" s="10">
        <v>45552</v>
      </c>
      <c r="K1499" s="9" t="s">
        <v>44</v>
      </c>
      <c r="L1499" s="9" t="s">
        <v>29</v>
      </c>
      <c r="M1499" s="9">
        <v>1773.99</v>
      </c>
    </row>
    <row r="1500" spans="1:13" x14ac:dyDescent="0.35">
      <c r="A1500" s="9">
        <v>3873</v>
      </c>
      <c r="B1500" s="9" t="s">
        <v>31</v>
      </c>
      <c r="C1500" s="9" t="s">
        <v>19</v>
      </c>
      <c r="D1500" s="9" t="s">
        <v>42</v>
      </c>
      <c r="E1500" s="9" t="s">
        <v>59</v>
      </c>
      <c r="F1500" s="9">
        <v>3</v>
      </c>
      <c r="G1500" s="9">
        <v>0</v>
      </c>
      <c r="H1500" s="9">
        <v>0</v>
      </c>
      <c r="I1500" s="9">
        <v>0</v>
      </c>
      <c r="J1500" s="10">
        <v>45552</v>
      </c>
      <c r="K1500" s="9" t="s">
        <v>45</v>
      </c>
      <c r="L1500" s="9" t="s">
        <v>25</v>
      </c>
      <c r="M1500" s="9">
        <v>996.15</v>
      </c>
    </row>
    <row r="1501" spans="1:13" x14ac:dyDescent="0.35">
      <c r="A1501" s="9">
        <v>3874</v>
      </c>
      <c r="B1501" s="9" t="s">
        <v>28</v>
      </c>
      <c r="C1501" s="9" t="s">
        <v>22</v>
      </c>
      <c r="D1501" s="9" t="s">
        <v>30</v>
      </c>
      <c r="E1501" s="9" t="s">
        <v>62</v>
      </c>
      <c r="F1501" s="9">
        <v>4</v>
      </c>
      <c r="G1501" s="9">
        <v>3305.6</v>
      </c>
      <c r="H1501" s="9">
        <v>0.7</v>
      </c>
      <c r="I1501" s="9">
        <v>3966.72</v>
      </c>
      <c r="J1501" s="10">
        <v>45531</v>
      </c>
      <c r="K1501" s="9" t="s">
        <v>45</v>
      </c>
      <c r="L1501" s="9" t="s">
        <v>27</v>
      </c>
      <c r="M1501" s="9">
        <v>1605.13</v>
      </c>
    </row>
    <row r="1502" spans="1:13" x14ac:dyDescent="0.35">
      <c r="A1502" s="9">
        <v>3875</v>
      </c>
      <c r="B1502" s="9" t="s">
        <v>28</v>
      </c>
      <c r="C1502" s="9" t="s">
        <v>22</v>
      </c>
      <c r="D1502" s="9" t="s">
        <v>30</v>
      </c>
      <c r="E1502" s="9" t="s">
        <v>60</v>
      </c>
      <c r="F1502" s="9">
        <v>0</v>
      </c>
      <c r="G1502" s="9">
        <v>3304.18</v>
      </c>
      <c r="H1502" s="9">
        <v>0.9</v>
      </c>
      <c r="I1502" s="9">
        <v>0</v>
      </c>
      <c r="J1502" s="10">
        <v>45531</v>
      </c>
      <c r="K1502" s="9" t="s">
        <v>44</v>
      </c>
      <c r="L1502" s="9" t="s">
        <v>35</v>
      </c>
      <c r="M1502" s="9">
        <v>3345.28</v>
      </c>
    </row>
    <row r="1503" spans="1:13" x14ac:dyDescent="0.35">
      <c r="A1503" s="9">
        <v>3876</v>
      </c>
      <c r="B1503" s="9" t="s">
        <v>31</v>
      </c>
      <c r="C1503" s="9" t="s">
        <v>19</v>
      </c>
      <c r="D1503" s="9" t="s">
        <v>69</v>
      </c>
      <c r="E1503" s="9" t="s">
        <v>62</v>
      </c>
      <c r="F1503" s="9">
        <v>-1</v>
      </c>
      <c r="G1503" s="9">
        <v>4310.8999999999996</v>
      </c>
      <c r="H1503" s="9">
        <v>0</v>
      </c>
      <c r="I1503" s="9">
        <v>0</v>
      </c>
      <c r="J1503" s="10">
        <v>45650</v>
      </c>
      <c r="K1503" s="9" t="s">
        <v>44</v>
      </c>
      <c r="L1503" s="9" t="s">
        <v>32</v>
      </c>
      <c r="M1503" s="9">
        <v>3835.88</v>
      </c>
    </row>
    <row r="1504" spans="1:13" x14ac:dyDescent="0.35">
      <c r="A1504" s="9">
        <v>3878</v>
      </c>
      <c r="B1504" s="9" t="s">
        <v>31</v>
      </c>
      <c r="C1504" s="9" t="s">
        <v>20</v>
      </c>
      <c r="D1504" s="9" t="s">
        <v>43</v>
      </c>
      <c r="E1504" s="9" t="s">
        <v>62</v>
      </c>
      <c r="F1504" s="9">
        <v>0</v>
      </c>
      <c r="G1504" s="9">
        <v>3224.56</v>
      </c>
      <c r="H1504" s="9">
        <v>0</v>
      </c>
      <c r="I1504" s="9">
        <v>0</v>
      </c>
      <c r="J1504" s="10">
        <v>45517</v>
      </c>
      <c r="K1504" s="9" t="s">
        <v>44</v>
      </c>
      <c r="L1504" s="9" t="s">
        <v>27</v>
      </c>
      <c r="M1504" s="9">
        <v>2178.2199999999998</v>
      </c>
    </row>
    <row r="1505" spans="1:13" x14ac:dyDescent="0.35">
      <c r="A1505" s="9">
        <v>3879</v>
      </c>
      <c r="B1505" s="9" t="s">
        <v>31</v>
      </c>
      <c r="C1505" s="9" t="s">
        <v>18</v>
      </c>
      <c r="D1505" s="9" t="s">
        <v>33</v>
      </c>
      <c r="E1505" s="9" t="s">
        <v>59</v>
      </c>
      <c r="F1505" s="9">
        <v>0</v>
      </c>
      <c r="G1505" s="9">
        <v>6473.43</v>
      </c>
      <c r="H1505" s="9">
        <v>0.1</v>
      </c>
      <c r="I1505" s="9">
        <v>0</v>
      </c>
      <c r="J1505" s="10">
        <v>45517</v>
      </c>
      <c r="K1505" s="9" t="s">
        <v>44</v>
      </c>
      <c r="L1505" s="9" t="s">
        <v>35</v>
      </c>
      <c r="M1505" s="9">
        <v>2954.36</v>
      </c>
    </row>
    <row r="1506" spans="1:13" x14ac:dyDescent="0.35">
      <c r="A1506" s="9">
        <v>3882</v>
      </c>
      <c r="B1506" s="9" t="s">
        <v>31</v>
      </c>
      <c r="C1506" s="9" t="s">
        <v>19</v>
      </c>
      <c r="D1506" s="9" t="s">
        <v>42</v>
      </c>
      <c r="E1506" s="9" t="s">
        <v>59</v>
      </c>
      <c r="F1506" s="9">
        <v>0</v>
      </c>
      <c r="G1506" s="9">
        <v>7237.49</v>
      </c>
      <c r="H1506" s="9">
        <v>0</v>
      </c>
      <c r="I1506" s="9">
        <v>0</v>
      </c>
      <c r="J1506" s="10">
        <v>45517</v>
      </c>
      <c r="K1506" s="9" t="s">
        <v>45</v>
      </c>
      <c r="L1506" s="9" t="s">
        <v>25</v>
      </c>
      <c r="M1506" s="9">
        <v>-376.24</v>
      </c>
    </row>
    <row r="1507" spans="1:13" x14ac:dyDescent="0.35">
      <c r="A1507" s="9">
        <v>3883</v>
      </c>
      <c r="B1507" s="9" t="s">
        <v>34</v>
      </c>
      <c r="C1507" s="9" t="s">
        <v>19</v>
      </c>
      <c r="D1507" s="9" t="s">
        <v>39</v>
      </c>
      <c r="E1507" s="9" t="s">
        <v>59</v>
      </c>
      <c r="F1507" s="9">
        <v>0</v>
      </c>
      <c r="G1507" s="9">
        <v>8737.43</v>
      </c>
      <c r="H1507" s="9">
        <v>0</v>
      </c>
      <c r="I1507" s="9">
        <v>0</v>
      </c>
      <c r="J1507" s="10">
        <v>45787</v>
      </c>
      <c r="K1507" s="9" t="s">
        <v>44</v>
      </c>
      <c r="L1507" s="9" t="s">
        <v>29</v>
      </c>
      <c r="M1507" s="9">
        <v>-1174.75</v>
      </c>
    </row>
    <row r="1508" spans="1:13" x14ac:dyDescent="0.35">
      <c r="A1508" s="9">
        <v>2012</v>
      </c>
      <c r="B1508" s="9" t="s">
        <v>31</v>
      </c>
      <c r="C1508" s="9" t="s">
        <v>22</v>
      </c>
      <c r="D1508" s="9" t="s">
        <v>65</v>
      </c>
      <c r="E1508" s="9" t="s">
        <v>62</v>
      </c>
      <c r="F1508" s="9">
        <v>0</v>
      </c>
      <c r="G1508" s="9">
        <v>0</v>
      </c>
      <c r="H1508" s="9">
        <v>0</v>
      </c>
      <c r="I1508" s="9">
        <v>0</v>
      </c>
      <c r="J1508" s="10">
        <v>45746</v>
      </c>
      <c r="K1508" s="9" t="s">
        <v>44</v>
      </c>
      <c r="L1508" s="9" t="s">
        <v>25</v>
      </c>
      <c r="M1508" s="9">
        <v>-685.96</v>
      </c>
    </row>
    <row r="1509" spans="1:13" x14ac:dyDescent="0.35">
      <c r="A1509" s="9">
        <v>3885</v>
      </c>
      <c r="B1509" s="9" t="s">
        <v>31</v>
      </c>
      <c r="C1509" s="9" t="s">
        <v>18</v>
      </c>
      <c r="D1509" s="9" t="s">
        <v>41</v>
      </c>
      <c r="E1509" s="9" t="s">
        <v>62</v>
      </c>
      <c r="F1509" s="9">
        <v>2</v>
      </c>
      <c r="G1509" s="9">
        <v>0</v>
      </c>
      <c r="H1509" s="9">
        <v>0</v>
      </c>
      <c r="I1509" s="9">
        <v>0</v>
      </c>
      <c r="J1509" s="10">
        <v>45606</v>
      </c>
      <c r="K1509" s="9" t="s">
        <v>45</v>
      </c>
      <c r="L1509" s="9" t="s">
        <v>25</v>
      </c>
      <c r="M1509" s="9">
        <v>-512.97</v>
      </c>
    </row>
    <row r="1510" spans="1:13" x14ac:dyDescent="0.35">
      <c r="A1510" s="9">
        <v>3886</v>
      </c>
      <c r="B1510" s="9" t="s">
        <v>34</v>
      </c>
      <c r="C1510" s="9" t="s">
        <v>22</v>
      </c>
      <c r="D1510" s="9" t="s">
        <v>67</v>
      </c>
      <c r="E1510" s="9" t="s">
        <v>59</v>
      </c>
      <c r="F1510" s="9">
        <v>0</v>
      </c>
      <c r="G1510" s="9">
        <v>4967.6899999999996</v>
      </c>
      <c r="H1510" s="9">
        <v>0</v>
      </c>
      <c r="I1510" s="9">
        <v>0</v>
      </c>
      <c r="J1510" s="10">
        <v>45673</v>
      </c>
      <c r="K1510" s="9" t="s">
        <v>44</v>
      </c>
      <c r="L1510" s="9" t="s">
        <v>29</v>
      </c>
      <c r="M1510" s="9">
        <v>-136.16</v>
      </c>
    </row>
    <row r="1511" spans="1:13" x14ac:dyDescent="0.35">
      <c r="A1511" s="9">
        <v>3887</v>
      </c>
      <c r="B1511" s="9" t="s">
        <v>28</v>
      </c>
      <c r="C1511" s="9" t="s">
        <v>22</v>
      </c>
      <c r="D1511" s="9" t="s">
        <v>68</v>
      </c>
      <c r="E1511" s="9" t="s">
        <v>59</v>
      </c>
      <c r="F1511" s="9">
        <v>4</v>
      </c>
      <c r="G1511" s="9">
        <v>0</v>
      </c>
      <c r="H1511" s="9">
        <v>0</v>
      </c>
      <c r="I1511" s="9">
        <v>0</v>
      </c>
      <c r="J1511" s="10">
        <v>45815</v>
      </c>
      <c r="K1511" s="9" t="s">
        <v>45</v>
      </c>
      <c r="L1511" s="9" t="s">
        <v>26</v>
      </c>
      <c r="M1511" s="9">
        <v>3824.51</v>
      </c>
    </row>
    <row r="1512" spans="1:13" x14ac:dyDescent="0.35">
      <c r="A1512" s="9">
        <v>3890</v>
      </c>
      <c r="B1512" s="9" t="s">
        <v>28</v>
      </c>
      <c r="C1512" s="9" t="s">
        <v>18</v>
      </c>
      <c r="D1512" s="9" t="s">
        <v>38</v>
      </c>
      <c r="E1512" s="9" t="s">
        <v>62</v>
      </c>
      <c r="F1512" s="9">
        <v>0</v>
      </c>
      <c r="G1512" s="9">
        <v>4392.78</v>
      </c>
      <c r="H1512" s="9">
        <v>0</v>
      </c>
      <c r="I1512" s="9">
        <v>0</v>
      </c>
      <c r="J1512" s="10">
        <v>45667</v>
      </c>
      <c r="K1512" s="9" t="s">
        <v>45</v>
      </c>
      <c r="L1512" s="9" t="s">
        <v>29</v>
      </c>
      <c r="M1512" s="9">
        <v>676.44</v>
      </c>
    </row>
    <row r="1513" spans="1:13" x14ac:dyDescent="0.35">
      <c r="A1513" s="9">
        <v>3891</v>
      </c>
      <c r="B1513" s="9" t="s">
        <v>31</v>
      </c>
      <c r="C1513" s="9" t="s">
        <v>18</v>
      </c>
      <c r="D1513" s="9" t="s">
        <v>38</v>
      </c>
      <c r="E1513" s="9" t="s">
        <v>60</v>
      </c>
      <c r="F1513" s="9">
        <v>0</v>
      </c>
      <c r="G1513" s="9">
        <v>9453.17</v>
      </c>
      <c r="H1513" s="9">
        <v>0</v>
      </c>
      <c r="I1513" s="9">
        <v>0</v>
      </c>
      <c r="J1513" s="10">
        <v>45701</v>
      </c>
      <c r="K1513" s="9" t="s">
        <v>44</v>
      </c>
      <c r="L1513" s="9" t="s">
        <v>25</v>
      </c>
      <c r="M1513" s="9">
        <v>3832.99</v>
      </c>
    </row>
    <row r="1514" spans="1:13" x14ac:dyDescent="0.35">
      <c r="A1514" s="9">
        <v>3892</v>
      </c>
      <c r="B1514" s="9" t="s">
        <v>34</v>
      </c>
      <c r="C1514" s="9" t="s">
        <v>18</v>
      </c>
      <c r="D1514" s="9" t="s">
        <v>33</v>
      </c>
      <c r="E1514" s="9" t="s">
        <v>59</v>
      </c>
      <c r="F1514" s="9">
        <v>0</v>
      </c>
      <c r="G1514" s="9">
        <v>0</v>
      </c>
      <c r="H1514" s="9">
        <v>0</v>
      </c>
      <c r="I1514" s="9">
        <v>0</v>
      </c>
      <c r="J1514" s="10">
        <v>45701</v>
      </c>
      <c r="K1514" s="9" t="s">
        <v>45</v>
      </c>
      <c r="L1514" s="9" t="s">
        <v>29</v>
      </c>
      <c r="M1514" s="9">
        <v>2262.3000000000002</v>
      </c>
    </row>
    <row r="1515" spans="1:13" x14ac:dyDescent="0.35">
      <c r="A1515" s="9">
        <v>3894</v>
      </c>
      <c r="B1515" s="9" t="s">
        <v>28</v>
      </c>
      <c r="C1515" s="9" t="s">
        <v>19</v>
      </c>
      <c r="D1515" s="9" t="s">
        <v>39</v>
      </c>
      <c r="E1515" s="9" t="s">
        <v>59</v>
      </c>
      <c r="F1515" s="9">
        <v>-1</v>
      </c>
      <c r="G1515" s="9">
        <v>5255.98</v>
      </c>
      <c r="H1515" s="9">
        <v>1.03</v>
      </c>
      <c r="I1515" s="9">
        <v>157.68</v>
      </c>
      <c r="J1515" s="10">
        <v>45451</v>
      </c>
      <c r="K1515" s="9" t="s">
        <v>45</v>
      </c>
      <c r="L1515" s="9" t="s">
        <v>35</v>
      </c>
      <c r="M1515" s="9">
        <v>-1067.96</v>
      </c>
    </row>
    <row r="1516" spans="1:13" x14ac:dyDescent="0.35">
      <c r="A1516" s="9">
        <v>3895</v>
      </c>
      <c r="B1516" s="9" t="s">
        <v>31</v>
      </c>
      <c r="C1516" s="9" t="s">
        <v>19</v>
      </c>
      <c r="D1516" s="9" t="s">
        <v>42</v>
      </c>
      <c r="E1516" s="9" t="s">
        <v>62</v>
      </c>
      <c r="F1516" s="9">
        <v>-1</v>
      </c>
      <c r="G1516" s="9">
        <v>0</v>
      </c>
      <c r="H1516" s="9">
        <v>0</v>
      </c>
      <c r="I1516" s="9">
        <v>0</v>
      </c>
      <c r="J1516" s="10">
        <v>45703</v>
      </c>
      <c r="K1516" s="9" t="s">
        <v>45</v>
      </c>
      <c r="L1516" s="9" t="s">
        <v>32</v>
      </c>
      <c r="M1516" s="9">
        <v>366.35</v>
      </c>
    </row>
    <row r="1517" spans="1:13" x14ac:dyDescent="0.35">
      <c r="A1517" s="9">
        <v>3897</v>
      </c>
      <c r="B1517" s="9" t="s">
        <v>28</v>
      </c>
      <c r="C1517" s="9" t="s">
        <v>19</v>
      </c>
      <c r="D1517" s="9" t="s">
        <v>42</v>
      </c>
      <c r="E1517" s="9" t="s">
        <v>59</v>
      </c>
      <c r="F1517" s="9">
        <v>2</v>
      </c>
      <c r="G1517" s="9">
        <v>6050.27</v>
      </c>
      <c r="H1517" s="9">
        <v>0.69</v>
      </c>
      <c r="I1517" s="9">
        <v>3751.17</v>
      </c>
      <c r="J1517" s="10">
        <v>45703</v>
      </c>
      <c r="K1517" s="9" t="s">
        <v>44</v>
      </c>
      <c r="L1517" s="9" t="s">
        <v>29</v>
      </c>
      <c r="M1517" s="9">
        <v>3332.49</v>
      </c>
    </row>
    <row r="1518" spans="1:13" x14ac:dyDescent="0.35">
      <c r="A1518" s="9">
        <v>3898</v>
      </c>
      <c r="B1518" s="9" t="s">
        <v>31</v>
      </c>
      <c r="C1518" s="9" t="s">
        <v>22</v>
      </c>
      <c r="D1518" s="9" t="s">
        <v>30</v>
      </c>
      <c r="E1518" s="9" t="s">
        <v>60</v>
      </c>
      <c r="F1518" s="9">
        <v>1</v>
      </c>
      <c r="G1518" s="9">
        <v>0</v>
      </c>
      <c r="H1518" s="9">
        <v>7.0000000000000007E-2</v>
      </c>
      <c r="I1518" s="9">
        <v>0</v>
      </c>
      <c r="J1518" s="10">
        <v>45715</v>
      </c>
      <c r="K1518" s="9" t="s">
        <v>44</v>
      </c>
      <c r="L1518" s="9" t="s">
        <v>32</v>
      </c>
      <c r="M1518" s="9">
        <v>1353.92</v>
      </c>
    </row>
    <row r="1519" spans="1:13" x14ac:dyDescent="0.35">
      <c r="A1519" s="9">
        <v>3899</v>
      </c>
      <c r="B1519" s="9" t="s">
        <v>31</v>
      </c>
      <c r="C1519" s="9" t="s">
        <v>22</v>
      </c>
      <c r="D1519" s="9" t="s">
        <v>68</v>
      </c>
      <c r="E1519" s="9" t="s">
        <v>60</v>
      </c>
      <c r="F1519" s="9">
        <v>1</v>
      </c>
      <c r="G1519" s="9">
        <v>0</v>
      </c>
      <c r="H1519" s="9">
        <v>0.75</v>
      </c>
      <c r="I1519" s="9">
        <v>0</v>
      </c>
      <c r="J1519" s="10">
        <v>45715</v>
      </c>
      <c r="K1519" s="9" t="s">
        <v>44</v>
      </c>
      <c r="L1519" s="9" t="s">
        <v>35</v>
      </c>
      <c r="M1519" s="9">
        <v>-579.76</v>
      </c>
    </row>
    <row r="1520" spans="1:13" x14ac:dyDescent="0.35">
      <c r="A1520" s="9">
        <v>3900</v>
      </c>
      <c r="B1520" s="9" t="s">
        <v>31</v>
      </c>
      <c r="C1520" s="9" t="s">
        <v>22</v>
      </c>
      <c r="D1520" s="9" t="s">
        <v>68</v>
      </c>
      <c r="E1520" s="9" t="s">
        <v>59</v>
      </c>
      <c r="F1520" s="9">
        <v>3</v>
      </c>
      <c r="G1520" s="9">
        <v>9599.44</v>
      </c>
      <c r="H1520" s="9">
        <v>0</v>
      </c>
      <c r="I1520" s="9">
        <v>0</v>
      </c>
      <c r="J1520" s="10">
        <v>45597</v>
      </c>
      <c r="K1520" s="9" t="s">
        <v>44</v>
      </c>
      <c r="L1520" s="9" t="s">
        <v>29</v>
      </c>
      <c r="M1520" s="9">
        <v>-553.29999999999995</v>
      </c>
    </row>
    <row r="1521" spans="1:13" x14ac:dyDescent="0.35">
      <c r="A1521" s="9">
        <v>3901</v>
      </c>
      <c r="B1521" s="9" t="s">
        <v>31</v>
      </c>
      <c r="C1521" s="9" t="s">
        <v>20</v>
      </c>
      <c r="D1521" s="9" t="s">
        <v>43</v>
      </c>
      <c r="E1521" s="9" t="s">
        <v>62</v>
      </c>
      <c r="F1521" s="9">
        <v>0</v>
      </c>
      <c r="G1521" s="9">
        <v>0</v>
      </c>
      <c r="H1521" s="9">
        <v>0.12</v>
      </c>
      <c r="I1521" s="9">
        <v>0</v>
      </c>
      <c r="J1521" s="10">
        <v>45777</v>
      </c>
      <c r="K1521" s="9" t="s">
        <v>44</v>
      </c>
      <c r="L1521" s="9" t="s">
        <v>26</v>
      </c>
      <c r="M1521" s="9">
        <v>1461.25</v>
      </c>
    </row>
    <row r="1522" spans="1:13" x14ac:dyDescent="0.35">
      <c r="A1522" s="9">
        <v>3902</v>
      </c>
      <c r="B1522" s="9" t="s">
        <v>31</v>
      </c>
      <c r="C1522" s="9" t="s">
        <v>20</v>
      </c>
      <c r="D1522" s="9" t="s">
        <v>70</v>
      </c>
      <c r="E1522" s="9" t="s">
        <v>62</v>
      </c>
      <c r="F1522" s="9">
        <v>0</v>
      </c>
      <c r="G1522" s="9">
        <v>0</v>
      </c>
      <c r="H1522" s="9">
        <v>0.85</v>
      </c>
      <c r="I1522" s="9">
        <v>0</v>
      </c>
      <c r="J1522" s="10">
        <v>45659</v>
      </c>
      <c r="K1522" s="9" t="s">
        <v>45</v>
      </c>
      <c r="L1522" s="9" t="s">
        <v>27</v>
      </c>
      <c r="M1522" s="9">
        <v>3175.54</v>
      </c>
    </row>
    <row r="1523" spans="1:13" x14ac:dyDescent="0.35">
      <c r="A1523" s="9">
        <v>3903</v>
      </c>
      <c r="B1523" s="9" t="s">
        <v>34</v>
      </c>
      <c r="C1523" s="9" t="s">
        <v>20</v>
      </c>
      <c r="D1523" s="9" t="s">
        <v>61</v>
      </c>
      <c r="E1523" s="9" t="s">
        <v>59</v>
      </c>
      <c r="F1523" s="9">
        <v>0</v>
      </c>
      <c r="G1523" s="9">
        <v>0</v>
      </c>
      <c r="H1523" s="9">
        <v>0</v>
      </c>
      <c r="I1523" s="9">
        <v>0</v>
      </c>
      <c r="J1523" s="10">
        <v>45659</v>
      </c>
      <c r="K1523" s="9" t="s">
        <v>45</v>
      </c>
      <c r="L1523" s="9" t="s">
        <v>35</v>
      </c>
      <c r="M1523" s="9">
        <v>-101.29</v>
      </c>
    </row>
    <row r="1524" spans="1:13" x14ac:dyDescent="0.35">
      <c r="A1524" s="9">
        <v>3904</v>
      </c>
      <c r="B1524" s="9" t="s">
        <v>34</v>
      </c>
      <c r="C1524" s="9" t="s">
        <v>19</v>
      </c>
      <c r="D1524" s="9" t="s">
        <v>69</v>
      </c>
      <c r="E1524" s="9" t="s">
        <v>60</v>
      </c>
      <c r="F1524" s="9">
        <v>2</v>
      </c>
      <c r="G1524" s="9">
        <v>7775.87</v>
      </c>
      <c r="H1524" s="9">
        <v>0</v>
      </c>
      <c r="I1524" s="9">
        <v>0</v>
      </c>
      <c r="J1524" s="10">
        <v>45805</v>
      </c>
      <c r="K1524" s="9" t="s">
        <v>44</v>
      </c>
      <c r="L1524" s="9" t="s">
        <v>25</v>
      </c>
      <c r="M1524" s="9">
        <v>1143.1099999999999</v>
      </c>
    </row>
    <row r="1525" spans="1:13" x14ac:dyDescent="0.35">
      <c r="A1525" s="9">
        <v>3905</v>
      </c>
      <c r="B1525" s="9" t="s">
        <v>28</v>
      </c>
      <c r="C1525" s="9" t="s">
        <v>19</v>
      </c>
      <c r="D1525" s="9" t="s">
        <v>42</v>
      </c>
      <c r="E1525" s="9" t="s">
        <v>59</v>
      </c>
      <c r="F1525" s="9">
        <v>0</v>
      </c>
      <c r="G1525" s="9">
        <v>0</v>
      </c>
      <c r="H1525" s="9">
        <v>0</v>
      </c>
      <c r="I1525" s="9">
        <v>0</v>
      </c>
      <c r="J1525" s="10">
        <v>45636</v>
      </c>
      <c r="K1525" s="9" t="s">
        <v>44</v>
      </c>
      <c r="L1525" s="9" t="s">
        <v>27</v>
      </c>
      <c r="M1525" s="9">
        <v>3926.59</v>
      </c>
    </row>
    <row r="1526" spans="1:13" x14ac:dyDescent="0.35">
      <c r="A1526" s="9">
        <v>3906</v>
      </c>
      <c r="B1526" s="9" t="s">
        <v>31</v>
      </c>
      <c r="C1526" s="9" t="s">
        <v>21</v>
      </c>
      <c r="D1526" s="9" t="s">
        <v>71</v>
      </c>
      <c r="E1526" s="9" t="s">
        <v>62</v>
      </c>
      <c r="F1526" s="9">
        <v>4</v>
      </c>
      <c r="G1526" s="9">
        <v>7588.77</v>
      </c>
      <c r="H1526" s="9">
        <v>0.14000000000000001</v>
      </c>
      <c r="I1526" s="9">
        <v>26105.37</v>
      </c>
      <c r="J1526" s="10">
        <v>45539</v>
      </c>
      <c r="K1526" s="9" t="s">
        <v>45</v>
      </c>
      <c r="L1526" s="9" t="s">
        <v>32</v>
      </c>
      <c r="M1526" s="9">
        <v>3435.73</v>
      </c>
    </row>
    <row r="1527" spans="1:13" x14ac:dyDescent="0.35">
      <c r="A1527" s="9">
        <v>3907</v>
      </c>
      <c r="B1527" s="9" t="s">
        <v>28</v>
      </c>
      <c r="C1527" s="9" t="s">
        <v>20</v>
      </c>
      <c r="D1527" s="9" t="s">
        <v>61</v>
      </c>
      <c r="E1527" s="9" t="s">
        <v>60</v>
      </c>
      <c r="F1527" s="9">
        <v>3</v>
      </c>
      <c r="G1527" s="9">
        <v>0</v>
      </c>
      <c r="H1527" s="9">
        <v>0</v>
      </c>
      <c r="I1527" s="9">
        <v>0</v>
      </c>
      <c r="J1527" s="10">
        <v>45539</v>
      </c>
      <c r="K1527" s="9" t="s">
        <v>44</v>
      </c>
      <c r="L1527" s="9" t="s">
        <v>29</v>
      </c>
      <c r="M1527" s="9">
        <v>3362.1</v>
      </c>
    </row>
    <row r="1528" spans="1:13" x14ac:dyDescent="0.35">
      <c r="A1528" s="9">
        <v>3909</v>
      </c>
      <c r="B1528" s="9" t="s">
        <v>28</v>
      </c>
      <c r="C1528" s="9" t="s">
        <v>19</v>
      </c>
      <c r="D1528" s="9" t="s">
        <v>39</v>
      </c>
      <c r="E1528" s="9" t="s">
        <v>60</v>
      </c>
      <c r="F1528" s="9">
        <v>0</v>
      </c>
      <c r="G1528" s="9">
        <v>0</v>
      </c>
      <c r="H1528" s="9">
        <v>0</v>
      </c>
      <c r="I1528" s="9">
        <v>0</v>
      </c>
      <c r="J1528" s="10">
        <v>45539</v>
      </c>
      <c r="K1528" s="9" t="s">
        <v>44</v>
      </c>
      <c r="L1528" s="9" t="s">
        <v>29</v>
      </c>
      <c r="M1528" s="9">
        <v>-286.57</v>
      </c>
    </row>
    <row r="1529" spans="1:13" x14ac:dyDescent="0.35">
      <c r="A1529" s="9">
        <v>3910</v>
      </c>
      <c r="B1529" s="9" t="s">
        <v>31</v>
      </c>
      <c r="C1529" s="9" t="s">
        <v>22</v>
      </c>
      <c r="D1529" s="9" t="s">
        <v>68</v>
      </c>
      <c r="E1529" s="9" t="s">
        <v>62</v>
      </c>
      <c r="F1529" s="9">
        <v>0</v>
      </c>
      <c r="G1529" s="9">
        <v>2913.15</v>
      </c>
      <c r="H1529" s="9">
        <v>0</v>
      </c>
      <c r="I1529" s="9">
        <v>0</v>
      </c>
      <c r="J1529" s="10">
        <v>45729</v>
      </c>
      <c r="K1529" s="9" t="s">
        <v>45</v>
      </c>
      <c r="L1529" s="9" t="s">
        <v>35</v>
      </c>
      <c r="M1529" s="9">
        <v>1834.09</v>
      </c>
    </row>
    <row r="1530" spans="1:13" x14ac:dyDescent="0.35">
      <c r="A1530" s="9">
        <v>3911</v>
      </c>
      <c r="B1530" s="9" t="s">
        <v>31</v>
      </c>
      <c r="C1530" s="9" t="s">
        <v>19</v>
      </c>
      <c r="D1530" s="9" t="s">
        <v>39</v>
      </c>
      <c r="E1530" s="9" t="s">
        <v>59</v>
      </c>
      <c r="F1530" s="9">
        <v>1</v>
      </c>
      <c r="G1530" s="9">
        <v>5598.98</v>
      </c>
      <c r="H1530" s="9">
        <v>0</v>
      </c>
      <c r="I1530" s="9">
        <v>0</v>
      </c>
      <c r="J1530" s="10">
        <v>45784</v>
      </c>
      <c r="K1530" s="9" t="s">
        <v>44</v>
      </c>
      <c r="L1530" s="9" t="s">
        <v>26</v>
      </c>
      <c r="M1530" s="9">
        <v>3070.67</v>
      </c>
    </row>
    <row r="1531" spans="1:13" x14ac:dyDescent="0.35">
      <c r="A1531" s="9">
        <v>3912</v>
      </c>
      <c r="B1531" s="9" t="s">
        <v>34</v>
      </c>
      <c r="C1531" s="9" t="s">
        <v>22</v>
      </c>
      <c r="D1531" s="9" t="s">
        <v>30</v>
      </c>
      <c r="E1531" s="9" t="s">
        <v>60</v>
      </c>
      <c r="F1531" s="9">
        <v>-1</v>
      </c>
      <c r="G1531" s="9">
        <v>6977.03</v>
      </c>
      <c r="H1531" s="9">
        <v>0</v>
      </c>
      <c r="I1531" s="9">
        <v>0</v>
      </c>
      <c r="J1531" s="10">
        <v>45808</v>
      </c>
      <c r="K1531" s="9" t="s">
        <v>45</v>
      </c>
      <c r="L1531" s="9" t="s">
        <v>35</v>
      </c>
      <c r="M1531" s="9">
        <v>-670.41</v>
      </c>
    </row>
    <row r="1532" spans="1:13" x14ac:dyDescent="0.35">
      <c r="A1532" s="9">
        <v>3913</v>
      </c>
      <c r="B1532" s="9" t="s">
        <v>34</v>
      </c>
      <c r="C1532" s="9" t="s">
        <v>18</v>
      </c>
      <c r="D1532" s="9" t="s">
        <v>38</v>
      </c>
      <c r="E1532" s="9" t="s">
        <v>62</v>
      </c>
      <c r="F1532" s="9">
        <v>1</v>
      </c>
      <c r="G1532" s="9">
        <v>5255.09</v>
      </c>
      <c r="H1532" s="9">
        <v>0</v>
      </c>
      <c r="I1532" s="9">
        <v>0</v>
      </c>
      <c r="J1532" s="10">
        <v>45455</v>
      </c>
      <c r="K1532" s="9" t="s">
        <v>44</v>
      </c>
      <c r="L1532" s="9" t="s">
        <v>29</v>
      </c>
      <c r="M1532" s="9">
        <v>2941.84</v>
      </c>
    </row>
    <row r="1533" spans="1:13" x14ac:dyDescent="0.35">
      <c r="A1533" s="9">
        <v>3914</v>
      </c>
      <c r="B1533" s="9" t="s">
        <v>34</v>
      </c>
      <c r="C1533" s="9" t="s">
        <v>19</v>
      </c>
      <c r="D1533" s="9" t="s">
        <v>42</v>
      </c>
      <c r="E1533" s="9" t="s">
        <v>62</v>
      </c>
      <c r="F1533" s="9">
        <v>2</v>
      </c>
      <c r="G1533" s="9">
        <v>0</v>
      </c>
      <c r="H1533" s="9">
        <v>0</v>
      </c>
      <c r="I1533" s="9">
        <v>0</v>
      </c>
      <c r="J1533" s="10">
        <v>45594</v>
      </c>
      <c r="K1533" s="9" t="s">
        <v>44</v>
      </c>
      <c r="L1533" s="9" t="s">
        <v>29</v>
      </c>
      <c r="M1533" s="9">
        <v>1253.02</v>
      </c>
    </row>
    <row r="1534" spans="1:13" x14ac:dyDescent="0.35">
      <c r="A1534" s="9">
        <v>3915</v>
      </c>
      <c r="B1534" s="9" t="s">
        <v>31</v>
      </c>
      <c r="C1534" s="9" t="s">
        <v>20</v>
      </c>
      <c r="D1534" s="9" t="s">
        <v>66</v>
      </c>
      <c r="E1534" s="9" t="s">
        <v>59</v>
      </c>
      <c r="F1534" s="9">
        <v>2</v>
      </c>
      <c r="G1534" s="9">
        <v>7962.36</v>
      </c>
      <c r="H1534" s="9">
        <v>0</v>
      </c>
      <c r="I1534" s="9">
        <v>0</v>
      </c>
      <c r="J1534" s="10">
        <v>45728</v>
      </c>
      <c r="K1534" s="9" t="s">
        <v>45</v>
      </c>
      <c r="L1534" s="9" t="s">
        <v>35</v>
      </c>
      <c r="M1534" s="9">
        <v>3067.47</v>
      </c>
    </row>
    <row r="1535" spans="1:13" x14ac:dyDescent="0.35">
      <c r="A1535" s="9">
        <v>3916</v>
      </c>
      <c r="B1535" s="9" t="s">
        <v>28</v>
      </c>
      <c r="C1535" s="9" t="s">
        <v>19</v>
      </c>
      <c r="D1535" s="9" t="s">
        <v>39</v>
      </c>
      <c r="E1535" s="9" t="s">
        <v>60</v>
      </c>
      <c r="F1535" s="9">
        <v>3</v>
      </c>
      <c r="G1535" s="9">
        <v>0</v>
      </c>
      <c r="H1535" s="9">
        <v>0</v>
      </c>
      <c r="I1535" s="9">
        <v>0</v>
      </c>
      <c r="J1535" s="10">
        <v>45728</v>
      </c>
      <c r="K1535" s="9" t="s">
        <v>44</v>
      </c>
      <c r="L1535" s="9" t="s">
        <v>27</v>
      </c>
      <c r="M1535" s="9">
        <v>1315.69</v>
      </c>
    </row>
    <row r="1536" spans="1:13" x14ac:dyDescent="0.35">
      <c r="A1536" s="9">
        <v>3917</v>
      </c>
      <c r="B1536" s="9" t="s">
        <v>28</v>
      </c>
      <c r="C1536" s="9" t="s">
        <v>20</v>
      </c>
      <c r="D1536" s="9" t="s">
        <v>61</v>
      </c>
      <c r="E1536" s="9" t="s">
        <v>60</v>
      </c>
      <c r="F1536" s="9">
        <v>0</v>
      </c>
      <c r="G1536" s="9">
        <v>4726.33</v>
      </c>
      <c r="H1536" s="9">
        <v>0</v>
      </c>
      <c r="I1536" s="9">
        <v>0</v>
      </c>
      <c r="J1536" s="10">
        <v>45567</v>
      </c>
      <c r="K1536" s="9" t="s">
        <v>45</v>
      </c>
      <c r="L1536" s="9" t="s">
        <v>35</v>
      </c>
      <c r="M1536" s="9">
        <v>3551.31</v>
      </c>
    </row>
    <row r="1537" spans="1:13" x14ac:dyDescent="0.35">
      <c r="A1537" s="9">
        <v>3918</v>
      </c>
      <c r="B1537" s="9" t="s">
        <v>31</v>
      </c>
      <c r="C1537" s="9" t="s">
        <v>20</v>
      </c>
      <c r="D1537" s="9" t="s">
        <v>70</v>
      </c>
      <c r="E1537" s="9" t="s">
        <v>59</v>
      </c>
      <c r="F1537" s="9">
        <v>0</v>
      </c>
      <c r="G1537" s="9">
        <v>0</v>
      </c>
      <c r="H1537" s="9">
        <v>0.85</v>
      </c>
      <c r="I1537" s="9">
        <v>0</v>
      </c>
      <c r="J1537" s="10">
        <v>45567</v>
      </c>
      <c r="K1537" s="9" t="s">
        <v>45</v>
      </c>
      <c r="L1537" s="9" t="s">
        <v>25</v>
      </c>
      <c r="M1537" s="9">
        <v>1173.8</v>
      </c>
    </row>
    <row r="1538" spans="1:13" x14ac:dyDescent="0.35">
      <c r="A1538" s="9">
        <v>2032</v>
      </c>
      <c r="B1538" s="9" t="s">
        <v>34</v>
      </c>
      <c r="C1538" s="9" t="s">
        <v>21</v>
      </c>
      <c r="D1538" s="9" t="s">
        <v>64</v>
      </c>
      <c r="E1538" s="9" t="s">
        <v>59</v>
      </c>
      <c r="F1538" s="9">
        <v>-1</v>
      </c>
      <c r="G1538" s="9">
        <v>0</v>
      </c>
      <c r="H1538" s="9">
        <v>0</v>
      </c>
      <c r="I1538" s="9">
        <v>0</v>
      </c>
      <c r="J1538" s="10">
        <v>45724</v>
      </c>
      <c r="K1538" s="9" t="s">
        <v>44</v>
      </c>
      <c r="L1538" s="9" t="s">
        <v>25</v>
      </c>
      <c r="M1538" s="9">
        <v>2281.5</v>
      </c>
    </row>
    <row r="1539" spans="1:13" x14ac:dyDescent="0.35">
      <c r="A1539" s="9">
        <v>3920</v>
      </c>
      <c r="B1539" s="9" t="s">
        <v>28</v>
      </c>
      <c r="C1539" s="9" t="s">
        <v>20</v>
      </c>
      <c r="D1539" s="9" t="s">
        <v>43</v>
      </c>
      <c r="E1539" s="9" t="s">
        <v>60</v>
      </c>
      <c r="F1539" s="9">
        <v>0</v>
      </c>
      <c r="G1539" s="9">
        <v>5540.68</v>
      </c>
      <c r="H1539" s="9">
        <v>0</v>
      </c>
      <c r="I1539" s="9">
        <v>0</v>
      </c>
      <c r="J1539" s="10">
        <v>45817</v>
      </c>
      <c r="K1539" s="9" t="s">
        <v>45</v>
      </c>
      <c r="L1539" s="9" t="s">
        <v>35</v>
      </c>
      <c r="M1539" s="9">
        <v>1252.1199999999999</v>
      </c>
    </row>
    <row r="1540" spans="1:13" x14ac:dyDescent="0.35">
      <c r="A1540" s="9">
        <v>3921</v>
      </c>
      <c r="B1540" s="9" t="s">
        <v>34</v>
      </c>
      <c r="C1540" s="9" t="s">
        <v>21</v>
      </c>
      <c r="D1540" s="9" t="s">
        <v>36</v>
      </c>
      <c r="E1540" s="9" t="s">
        <v>60</v>
      </c>
      <c r="F1540" s="9">
        <v>0</v>
      </c>
      <c r="G1540" s="9">
        <v>0</v>
      </c>
      <c r="H1540" s="9">
        <v>0</v>
      </c>
      <c r="I1540" s="9">
        <v>0</v>
      </c>
      <c r="J1540" s="10">
        <v>45800</v>
      </c>
      <c r="K1540" s="9" t="s">
        <v>44</v>
      </c>
      <c r="L1540" s="9" t="s">
        <v>32</v>
      </c>
      <c r="M1540" s="9">
        <v>3939.3</v>
      </c>
    </row>
    <row r="1541" spans="1:13" x14ac:dyDescent="0.35">
      <c r="A1541" s="9">
        <v>3922</v>
      </c>
      <c r="B1541" s="9" t="s">
        <v>34</v>
      </c>
      <c r="C1541" s="9" t="s">
        <v>19</v>
      </c>
      <c r="D1541" s="9" t="s">
        <v>69</v>
      </c>
      <c r="E1541" s="9" t="s">
        <v>60</v>
      </c>
      <c r="F1541" s="9">
        <v>0</v>
      </c>
      <c r="G1541" s="9">
        <v>0</v>
      </c>
      <c r="H1541" s="9">
        <v>0</v>
      </c>
      <c r="I1541" s="9">
        <v>0</v>
      </c>
      <c r="J1541" s="10">
        <v>45800</v>
      </c>
      <c r="K1541" s="9" t="s">
        <v>44</v>
      </c>
      <c r="L1541" s="9" t="s">
        <v>25</v>
      </c>
      <c r="M1541" s="9">
        <v>1876.21</v>
      </c>
    </row>
    <row r="1542" spans="1:13" x14ac:dyDescent="0.35">
      <c r="A1542" s="9">
        <v>3923</v>
      </c>
      <c r="B1542" s="9" t="s">
        <v>31</v>
      </c>
      <c r="C1542" s="9" t="s">
        <v>22</v>
      </c>
      <c r="D1542" s="9" t="s">
        <v>30</v>
      </c>
      <c r="E1542" s="9" t="s">
        <v>62</v>
      </c>
      <c r="F1542" s="9">
        <v>0</v>
      </c>
      <c r="G1542" s="9">
        <v>2187.0100000000002</v>
      </c>
      <c r="H1542" s="9">
        <v>0</v>
      </c>
      <c r="I1542" s="9">
        <v>0</v>
      </c>
      <c r="J1542" s="10">
        <v>45678</v>
      </c>
      <c r="K1542" s="9" t="s">
        <v>45</v>
      </c>
      <c r="L1542" s="9" t="s">
        <v>27</v>
      </c>
      <c r="M1542" s="9">
        <v>-197.46</v>
      </c>
    </row>
    <row r="1543" spans="1:13" x14ac:dyDescent="0.35">
      <c r="A1543" s="9">
        <v>3924</v>
      </c>
      <c r="B1543" s="9" t="s">
        <v>28</v>
      </c>
      <c r="C1543" s="9" t="s">
        <v>20</v>
      </c>
      <c r="D1543" s="9" t="s">
        <v>70</v>
      </c>
      <c r="E1543" s="9" t="s">
        <v>60</v>
      </c>
      <c r="F1543" s="9">
        <v>0</v>
      </c>
      <c r="G1543" s="9">
        <v>4809.5</v>
      </c>
      <c r="H1543" s="9">
        <v>0</v>
      </c>
      <c r="I1543" s="9">
        <v>0</v>
      </c>
      <c r="J1543" s="10">
        <v>45377</v>
      </c>
      <c r="K1543" s="9" t="s">
        <v>45</v>
      </c>
      <c r="L1543" s="9" t="s">
        <v>27</v>
      </c>
      <c r="M1543" s="9">
        <v>3090.67</v>
      </c>
    </row>
    <row r="1544" spans="1:13" x14ac:dyDescent="0.35">
      <c r="A1544" s="9">
        <v>3925</v>
      </c>
      <c r="B1544" s="9" t="s">
        <v>34</v>
      </c>
      <c r="C1544" s="9" t="s">
        <v>22</v>
      </c>
      <c r="D1544" s="9" t="s">
        <v>30</v>
      </c>
      <c r="E1544" s="9" t="s">
        <v>59</v>
      </c>
      <c r="F1544" s="9">
        <v>2</v>
      </c>
      <c r="G1544" s="9">
        <v>0</v>
      </c>
      <c r="H1544" s="9">
        <v>0.23</v>
      </c>
      <c r="I1544" s="9">
        <v>0</v>
      </c>
      <c r="J1544" s="10">
        <v>45766</v>
      </c>
      <c r="K1544" s="9" t="s">
        <v>44</v>
      </c>
      <c r="L1544" s="9" t="s">
        <v>32</v>
      </c>
      <c r="M1544" s="9">
        <v>36.04</v>
      </c>
    </row>
    <row r="1545" spans="1:13" x14ac:dyDescent="0.35">
      <c r="A1545" s="9">
        <v>3926</v>
      </c>
      <c r="B1545" s="9" t="s">
        <v>31</v>
      </c>
      <c r="C1545" s="9" t="s">
        <v>21</v>
      </c>
      <c r="D1545" s="9" t="s">
        <v>71</v>
      </c>
      <c r="E1545" s="9" t="s">
        <v>62</v>
      </c>
      <c r="F1545" s="9">
        <v>2</v>
      </c>
      <c r="G1545" s="9">
        <v>4791.8599999999997</v>
      </c>
      <c r="H1545" s="9">
        <v>0</v>
      </c>
      <c r="I1545" s="9">
        <v>0</v>
      </c>
      <c r="J1545" s="10">
        <v>45604</v>
      </c>
      <c r="K1545" s="9" t="s">
        <v>45</v>
      </c>
      <c r="L1545" s="9" t="s">
        <v>26</v>
      </c>
      <c r="M1545" s="9">
        <v>2972.86</v>
      </c>
    </row>
    <row r="1546" spans="1:13" x14ac:dyDescent="0.35">
      <c r="A1546" s="9">
        <v>3927</v>
      </c>
      <c r="B1546" s="9" t="s">
        <v>28</v>
      </c>
      <c r="C1546" s="9" t="s">
        <v>19</v>
      </c>
      <c r="D1546" s="9" t="s">
        <v>39</v>
      </c>
      <c r="E1546" s="9" t="s">
        <v>60</v>
      </c>
      <c r="F1546" s="9">
        <v>0</v>
      </c>
      <c r="G1546" s="9">
        <v>0</v>
      </c>
      <c r="H1546" s="9">
        <v>0</v>
      </c>
      <c r="I1546" s="9">
        <v>0</v>
      </c>
      <c r="J1546" s="10">
        <v>45757</v>
      </c>
      <c r="K1546" s="9" t="s">
        <v>44</v>
      </c>
      <c r="L1546" s="9" t="s">
        <v>25</v>
      </c>
      <c r="M1546" s="9">
        <v>999.67</v>
      </c>
    </row>
    <row r="1547" spans="1:13" x14ac:dyDescent="0.35">
      <c r="A1547" s="9">
        <v>3930</v>
      </c>
      <c r="B1547" s="9" t="s">
        <v>31</v>
      </c>
      <c r="C1547" s="9" t="s">
        <v>19</v>
      </c>
      <c r="D1547" s="9" t="s">
        <v>69</v>
      </c>
      <c r="E1547" s="9" t="s">
        <v>59</v>
      </c>
      <c r="F1547" s="9">
        <v>0</v>
      </c>
      <c r="G1547" s="9">
        <v>3606.77</v>
      </c>
      <c r="H1547" s="9">
        <v>0</v>
      </c>
      <c r="I1547" s="9">
        <v>0</v>
      </c>
      <c r="J1547" s="10">
        <v>45696</v>
      </c>
      <c r="K1547" s="9" t="s">
        <v>44</v>
      </c>
      <c r="L1547" s="9" t="s">
        <v>26</v>
      </c>
      <c r="M1547" s="9">
        <v>3624.68</v>
      </c>
    </row>
    <row r="1548" spans="1:13" x14ac:dyDescent="0.35">
      <c r="A1548" s="9">
        <v>3931</v>
      </c>
      <c r="B1548" s="9" t="s">
        <v>31</v>
      </c>
      <c r="C1548" s="9" t="s">
        <v>21</v>
      </c>
      <c r="D1548" s="9" t="s">
        <v>71</v>
      </c>
      <c r="E1548" s="9" t="s">
        <v>62</v>
      </c>
      <c r="F1548" s="9">
        <v>0</v>
      </c>
      <c r="G1548" s="9">
        <v>9904.73</v>
      </c>
      <c r="H1548" s="9">
        <v>0.66</v>
      </c>
      <c r="I1548" s="9">
        <v>0</v>
      </c>
      <c r="J1548" s="10">
        <v>45696</v>
      </c>
      <c r="K1548" s="9" t="s">
        <v>45</v>
      </c>
      <c r="L1548" s="9" t="s">
        <v>32</v>
      </c>
      <c r="M1548" s="9">
        <v>-115.24</v>
      </c>
    </row>
    <row r="1549" spans="1:13" x14ac:dyDescent="0.35">
      <c r="A1549" s="9">
        <v>3932</v>
      </c>
      <c r="B1549" s="9" t="s">
        <v>34</v>
      </c>
      <c r="C1549" s="9" t="s">
        <v>18</v>
      </c>
      <c r="D1549" s="9" t="s">
        <v>37</v>
      </c>
      <c r="E1549" s="9" t="s">
        <v>60</v>
      </c>
      <c r="F1549" s="9">
        <v>4</v>
      </c>
      <c r="G1549" s="9">
        <v>4520.97</v>
      </c>
      <c r="H1549" s="9">
        <v>0.54</v>
      </c>
      <c r="I1549" s="9">
        <v>8318.58</v>
      </c>
      <c r="J1549" s="10">
        <v>45818</v>
      </c>
      <c r="K1549" s="9" t="s">
        <v>44</v>
      </c>
      <c r="L1549" s="9" t="s">
        <v>25</v>
      </c>
      <c r="M1549" s="9">
        <v>1289.3599999999999</v>
      </c>
    </row>
    <row r="1550" spans="1:13" x14ac:dyDescent="0.35">
      <c r="A1550" s="9">
        <v>3933</v>
      </c>
      <c r="B1550" s="9" t="s">
        <v>31</v>
      </c>
      <c r="C1550" s="9" t="s">
        <v>18</v>
      </c>
      <c r="D1550" s="9" t="s">
        <v>37</v>
      </c>
      <c r="E1550" s="9" t="s">
        <v>62</v>
      </c>
      <c r="F1550" s="9">
        <v>4</v>
      </c>
      <c r="G1550" s="9">
        <v>0</v>
      </c>
      <c r="H1550" s="9">
        <v>0</v>
      </c>
      <c r="I1550" s="9">
        <v>0</v>
      </c>
      <c r="J1550" s="10">
        <v>45682</v>
      </c>
      <c r="K1550" s="9" t="s">
        <v>45</v>
      </c>
      <c r="L1550" s="9" t="s">
        <v>35</v>
      </c>
      <c r="M1550" s="9">
        <v>1348.54</v>
      </c>
    </row>
    <row r="1551" spans="1:13" x14ac:dyDescent="0.35">
      <c r="A1551" s="9">
        <v>3935</v>
      </c>
      <c r="B1551" s="9" t="s">
        <v>28</v>
      </c>
      <c r="C1551" s="9" t="s">
        <v>20</v>
      </c>
      <c r="D1551" s="9" t="s">
        <v>61</v>
      </c>
      <c r="E1551" s="9" t="s">
        <v>59</v>
      </c>
      <c r="F1551" s="9">
        <v>0</v>
      </c>
      <c r="G1551" s="9">
        <v>0</v>
      </c>
      <c r="H1551" s="9">
        <v>0</v>
      </c>
      <c r="I1551" s="9">
        <v>0</v>
      </c>
      <c r="J1551" s="10">
        <v>45860</v>
      </c>
      <c r="K1551" s="9" t="s">
        <v>44</v>
      </c>
      <c r="L1551" s="9" t="s">
        <v>35</v>
      </c>
      <c r="M1551" s="9">
        <v>-833.94</v>
      </c>
    </row>
    <row r="1552" spans="1:13" x14ac:dyDescent="0.35">
      <c r="A1552" s="9">
        <v>3936</v>
      </c>
      <c r="B1552" s="9" t="s">
        <v>34</v>
      </c>
      <c r="C1552" s="9" t="s">
        <v>21</v>
      </c>
      <c r="D1552" s="9" t="s">
        <v>36</v>
      </c>
      <c r="E1552" s="9" t="s">
        <v>59</v>
      </c>
      <c r="F1552" s="9">
        <v>3</v>
      </c>
      <c r="G1552" s="9">
        <v>3544.33</v>
      </c>
      <c r="H1552" s="9">
        <v>0</v>
      </c>
      <c r="I1552" s="9">
        <v>0</v>
      </c>
      <c r="J1552" s="10">
        <v>45135</v>
      </c>
      <c r="K1552" s="9" t="s">
        <v>44</v>
      </c>
      <c r="L1552" s="9" t="s">
        <v>35</v>
      </c>
      <c r="M1552" s="9">
        <v>1983.5</v>
      </c>
    </row>
    <row r="1553" spans="1:13" x14ac:dyDescent="0.35">
      <c r="A1553" s="9">
        <v>3937</v>
      </c>
      <c r="B1553" s="9" t="s">
        <v>28</v>
      </c>
      <c r="C1553" s="9" t="s">
        <v>20</v>
      </c>
      <c r="D1553" s="9" t="s">
        <v>61</v>
      </c>
      <c r="E1553" s="9" t="s">
        <v>59</v>
      </c>
      <c r="F1553" s="9">
        <v>0</v>
      </c>
      <c r="G1553" s="9">
        <v>9550.19</v>
      </c>
      <c r="H1553" s="9">
        <v>0</v>
      </c>
      <c r="I1553" s="9">
        <v>0</v>
      </c>
      <c r="J1553" s="10">
        <v>45633</v>
      </c>
      <c r="K1553" s="9" t="s">
        <v>45</v>
      </c>
      <c r="L1553" s="9" t="s">
        <v>32</v>
      </c>
      <c r="M1553" s="9">
        <v>-638.36</v>
      </c>
    </row>
    <row r="1554" spans="1:13" x14ac:dyDescent="0.35">
      <c r="A1554" s="9">
        <v>3938</v>
      </c>
      <c r="B1554" s="9" t="s">
        <v>34</v>
      </c>
      <c r="C1554" s="9" t="s">
        <v>18</v>
      </c>
      <c r="D1554" s="9" t="s">
        <v>37</v>
      </c>
      <c r="E1554" s="9" t="s">
        <v>59</v>
      </c>
      <c r="F1554" s="9">
        <v>1</v>
      </c>
      <c r="G1554" s="9">
        <v>2823.65</v>
      </c>
      <c r="H1554" s="9">
        <v>0</v>
      </c>
      <c r="I1554" s="9">
        <v>0</v>
      </c>
      <c r="J1554" s="10">
        <v>45633</v>
      </c>
      <c r="K1554" s="9" t="s">
        <v>45</v>
      </c>
      <c r="L1554" s="9" t="s">
        <v>27</v>
      </c>
      <c r="M1554" s="9">
        <v>1933.98</v>
      </c>
    </row>
    <row r="1555" spans="1:13" x14ac:dyDescent="0.35">
      <c r="A1555" s="9">
        <v>3939</v>
      </c>
      <c r="B1555" s="9" t="s">
        <v>28</v>
      </c>
      <c r="C1555" s="9" t="s">
        <v>18</v>
      </c>
      <c r="D1555" s="9" t="s">
        <v>38</v>
      </c>
      <c r="E1555" s="9" t="s">
        <v>59</v>
      </c>
      <c r="F1555" s="9">
        <v>0</v>
      </c>
      <c r="G1555" s="9">
        <v>0</v>
      </c>
      <c r="H1555" s="9">
        <v>0</v>
      </c>
      <c r="I1555" s="9">
        <v>0</v>
      </c>
      <c r="J1555" s="10">
        <v>45679</v>
      </c>
      <c r="K1555" s="9" t="s">
        <v>45</v>
      </c>
      <c r="L1555" s="9" t="s">
        <v>25</v>
      </c>
      <c r="M1555" s="9">
        <v>2219.59</v>
      </c>
    </row>
    <row r="1556" spans="1:13" x14ac:dyDescent="0.35">
      <c r="A1556" s="9">
        <v>3940</v>
      </c>
      <c r="B1556" s="9" t="s">
        <v>34</v>
      </c>
      <c r="C1556" s="9" t="s">
        <v>20</v>
      </c>
      <c r="D1556" s="9" t="s">
        <v>61</v>
      </c>
      <c r="E1556" s="9" t="s">
        <v>59</v>
      </c>
      <c r="F1556" s="9">
        <v>0</v>
      </c>
      <c r="G1556" s="9">
        <v>0</v>
      </c>
      <c r="H1556" s="9">
        <v>0</v>
      </c>
      <c r="I1556" s="9">
        <v>0</v>
      </c>
      <c r="J1556" s="10">
        <v>45656</v>
      </c>
      <c r="K1556" s="9" t="s">
        <v>45</v>
      </c>
      <c r="L1556" s="9" t="s">
        <v>32</v>
      </c>
      <c r="M1556" s="9">
        <v>491.15</v>
      </c>
    </row>
    <row r="1557" spans="1:13" x14ac:dyDescent="0.35">
      <c r="A1557" s="9">
        <v>3942</v>
      </c>
      <c r="B1557" s="9" t="s">
        <v>31</v>
      </c>
      <c r="C1557" s="9" t="s">
        <v>21</v>
      </c>
      <c r="D1557" s="9" t="s">
        <v>36</v>
      </c>
      <c r="E1557" s="9" t="s">
        <v>59</v>
      </c>
      <c r="F1557" s="9">
        <v>1</v>
      </c>
      <c r="G1557" s="9">
        <v>3283.25</v>
      </c>
      <c r="H1557" s="9">
        <v>0</v>
      </c>
      <c r="I1557" s="9">
        <v>0</v>
      </c>
      <c r="J1557" s="10">
        <v>45409</v>
      </c>
      <c r="K1557" s="9" t="s">
        <v>45</v>
      </c>
      <c r="L1557" s="9" t="s">
        <v>29</v>
      </c>
      <c r="M1557" s="9">
        <v>-938.81</v>
      </c>
    </row>
    <row r="1558" spans="1:13" x14ac:dyDescent="0.35">
      <c r="A1558" s="9">
        <v>2002</v>
      </c>
      <c r="B1558" s="9" t="s">
        <v>34</v>
      </c>
      <c r="C1558" s="9" t="s">
        <v>19</v>
      </c>
      <c r="D1558" s="9" t="s">
        <v>69</v>
      </c>
      <c r="E1558" s="9" t="s">
        <v>62</v>
      </c>
      <c r="F1558" s="9">
        <v>0</v>
      </c>
      <c r="G1558" s="9">
        <v>0</v>
      </c>
      <c r="H1558" s="9">
        <v>0</v>
      </c>
      <c r="I1558" s="9">
        <v>0</v>
      </c>
      <c r="J1558" s="10">
        <v>45793</v>
      </c>
      <c r="K1558" s="9" t="s">
        <v>45</v>
      </c>
      <c r="L1558" s="9" t="s">
        <v>29</v>
      </c>
      <c r="M1558" s="9">
        <v>-789.24</v>
      </c>
    </row>
    <row r="1559" spans="1:13" x14ac:dyDescent="0.35">
      <c r="A1559" s="9">
        <v>3948</v>
      </c>
      <c r="B1559" s="9" t="s">
        <v>28</v>
      </c>
      <c r="C1559" s="9" t="s">
        <v>22</v>
      </c>
      <c r="D1559" s="9" t="s">
        <v>30</v>
      </c>
      <c r="E1559" s="9" t="s">
        <v>60</v>
      </c>
      <c r="F1559" s="9">
        <v>0</v>
      </c>
      <c r="G1559" s="9">
        <v>0</v>
      </c>
      <c r="H1559" s="9">
        <v>0.64</v>
      </c>
      <c r="I1559" s="9">
        <v>0</v>
      </c>
      <c r="J1559" s="10">
        <v>45793</v>
      </c>
      <c r="K1559" s="9" t="s">
        <v>45</v>
      </c>
      <c r="L1559" s="9" t="s">
        <v>29</v>
      </c>
      <c r="M1559" s="9">
        <v>3470.77</v>
      </c>
    </row>
    <row r="1560" spans="1:13" x14ac:dyDescent="0.35">
      <c r="A1560" s="9">
        <v>3950</v>
      </c>
      <c r="B1560" s="9" t="s">
        <v>34</v>
      </c>
      <c r="C1560" s="9" t="s">
        <v>20</v>
      </c>
      <c r="D1560" s="9" t="s">
        <v>61</v>
      </c>
      <c r="E1560" s="9" t="s">
        <v>62</v>
      </c>
      <c r="F1560" s="9">
        <v>0</v>
      </c>
      <c r="G1560" s="9">
        <v>3474.66</v>
      </c>
      <c r="H1560" s="9">
        <v>0</v>
      </c>
      <c r="I1560" s="9">
        <v>0</v>
      </c>
      <c r="J1560" s="10">
        <v>45840</v>
      </c>
      <c r="K1560" s="9" t="s">
        <v>45</v>
      </c>
      <c r="L1560" s="9" t="s">
        <v>27</v>
      </c>
      <c r="M1560" s="9">
        <v>474.81</v>
      </c>
    </row>
    <row r="1561" spans="1:13" x14ac:dyDescent="0.35">
      <c r="A1561" s="9">
        <v>3952</v>
      </c>
      <c r="B1561" s="9" t="s">
        <v>28</v>
      </c>
      <c r="C1561" s="9" t="s">
        <v>19</v>
      </c>
      <c r="D1561" s="9" t="s">
        <v>63</v>
      </c>
      <c r="E1561" s="9" t="s">
        <v>59</v>
      </c>
      <c r="F1561" s="9">
        <v>0</v>
      </c>
      <c r="G1561" s="9">
        <v>0</v>
      </c>
      <c r="H1561" s="9">
        <v>0.83</v>
      </c>
      <c r="I1561" s="9">
        <v>0</v>
      </c>
      <c r="J1561" s="10">
        <v>45837</v>
      </c>
      <c r="K1561" s="9" t="s">
        <v>45</v>
      </c>
      <c r="L1561" s="9" t="s">
        <v>26</v>
      </c>
      <c r="M1561" s="9">
        <v>3142.6</v>
      </c>
    </row>
    <row r="1562" spans="1:13" x14ac:dyDescent="0.35">
      <c r="A1562" s="9">
        <v>3953</v>
      </c>
      <c r="B1562" s="9" t="s">
        <v>28</v>
      </c>
      <c r="C1562" s="9" t="s">
        <v>22</v>
      </c>
      <c r="D1562" s="9" t="s">
        <v>65</v>
      </c>
      <c r="E1562" s="9" t="s">
        <v>62</v>
      </c>
      <c r="F1562" s="9">
        <v>0</v>
      </c>
      <c r="G1562" s="9">
        <v>0</v>
      </c>
      <c r="H1562" s="9">
        <v>0</v>
      </c>
      <c r="I1562" s="9">
        <v>0</v>
      </c>
      <c r="J1562" s="10">
        <v>45671</v>
      </c>
      <c r="K1562" s="9" t="s">
        <v>44</v>
      </c>
      <c r="L1562" s="9" t="s">
        <v>29</v>
      </c>
      <c r="M1562" s="9">
        <v>2004.93</v>
      </c>
    </row>
    <row r="1563" spans="1:13" x14ac:dyDescent="0.35">
      <c r="A1563" s="9">
        <v>2042</v>
      </c>
      <c r="B1563" s="9" t="s">
        <v>34</v>
      </c>
      <c r="C1563" s="9" t="s">
        <v>19</v>
      </c>
      <c r="D1563" s="9" t="s">
        <v>42</v>
      </c>
      <c r="E1563" s="9" t="s">
        <v>60</v>
      </c>
      <c r="F1563" s="9">
        <v>4</v>
      </c>
      <c r="G1563" s="9">
        <v>8290.9699999999993</v>
      </c>
      <c r="H1563" s="9">
        <v>0</v>
      </c>
      <c r="I1563" s="9">
        <v>0</v>
      </c>
      <c r="J1563" s="10">
        <v>45656</v>
      </c>
      <c r="K1563" s="9" t="s">
        <v>45</v>
      </c>
      <c r="L1563" s="9" t="s">
        <v>29</v>
      </c>
      <c r="M1563" s="9">
        <v>-84.8</v>
      </c>
    </row>
    <row r="1564" spans="1:13" x14ac:dyDescent="0.35">
      <c r="A1564" s="9">
        <v>3955</v>
      </c>
      <c r="B1564" s="9" t="s">
        <v>34</v>
      </c>
      <c r="C1564" s="9" t="s">
        <v>18</v>
      </c>
      <c r="D1564" s="9" t="s">
        <v>37</v>
      </c>
      <c r="E1564" s="9" t="s">
        <v>62</v>
      </c>
      <c r="F1564" s="9">
        <v>3</v>
      </c>
      <c r="G1564" s="9">
        <v>0</v>
      </c>
      <c r="H1564" s="9">
        <v>0</v>
      </c>
      <c r="I1564" s="9">
        <v>0</v>
      </c>
      <c r="J1564" s="10">
        <v>45673</v>
      </c>
      <c r="K1564" s="9" t="s">
        <v>44</v>
      </c>
      <c r="L1564" s="9" t="s">
        <v>35</v>
      </c>
      <c r="M1564" s="9">
        <v>1798.76</v>
      </c>
    </row>
    <row r="1565" spans="1:13" x14ac:dyDescent="0.35">
      <c r="A1565" s="9">
        <v>3957</v>
      </c>
      <c r="B1565" s="9" t="s">
        <v>31</v>
      </c>
      <c r="C1565" s="9" t="s">
        <v>21</v>
      </c>
      <c r="D1565" s="9" t="s">
        <v>64</v>
      </c>
      <c r="E1565" s="9" t="s">
        <v>62</v>
      </c>
      <c r="F1565" s="9">
        <v>0</v>
      </c>
      <c r="G1565" s="9">
        <v>2113.0100000000002</v>
      </c>
      <c r="H1565" s="9">
        <v>1.1399999999999999</v>
      </c>
      <c r="I1565" s="9">
        <v>0</v>
      </c>
      <c r="J1565" s="10">
        <v>45834</v>
      </c>
      <c r="K1565" s="9" t="s">
        <v>45</v>
      </c>
      <c r="L1565" s="9" t="s">
        <v>32</v>
      </c>
      <c r="M1565" s="9">
        <v>2404.92</v>
      </c>
    </row>
    <row r="1566" spans="1:13" x14ac:dyDescent="0.35">
      <c r="A1566" s="9">
        <v>3959</v>
      </c>
      <c r="B1566" s="9" t="s">
        <v>34</v>
      </c>
      <c r="C1566" s="9" t="s">
        <v>21</v>
      </c>
      <c r="D1566" s="9" t="s">
        <v>71</v>
      </c>
      <c r="E1566" s="9" t="s">
        <v>59</v>
      </c>
      <c r="F1566" s="9">
        <v>4</v>
      </c>
      <c r="G1566" s="9">
        <v>6091.98</v>
      </c>
      <c r="H1566" s="9">
        <v>0</v>
      </c>
      <c r="I1566" s="9">
        <v>0</v>
      </c>
      <c r="J1566" s="10">
        <v>45669</v>
      </c>
      <c r="K1566" s="9" t="s">
        <v>44</v>
      </c>
      <c r="L1566" s="9" t="s">
        <v>26</v>
      </c>
      <c r="M1566" s="9">
        <v>2494.96</v>
      </c>
    </row>
    <row r="1567" spans="1:13" x14ac:dyDescent="0.35">
      <c r="A1567" s="9">
        <v>3960</v>
      </c>
      <c r="B1567" s="9" t="s">
        <v>28</v>
      </c>
      <c r="C1567" s="9" t="s">
        <v>21</v>
      </c>
      <c r="D1567" s="9" t="s">
        <v>71</v>
      </c>
      <c r="E1567" s="9" t="s">
        <v>59</v>
      </c>
      <c r="F1567" s="9">
        <v>0</v>
      </c>
      <c r="G1567" s="9">
        <v>2451.4699999999998</v>
      </c>
      <c r="H1567" s="9">
        <v>0</v>
      </c>
      <c r="I1567" s="9">
        <v>0</v>
      </c>
      <c r="J1567" s="10">
        <v>45830</v>
      </c>
      <c r="K1567" s="9" t="s">
        <v>44</v>
      </c>
      <c r="L1567" s="9" t="s">
        <v>26</v>
      </c>
      <c r="M1567" s="9">
        <v>1850.9</v>
      </c>
    </row>
    <row r="1568" spans="1:13" x14ac:dyDescent="0.35">
      <c r="A1568" s="9">
        <v>2041</v>
      </c>
      <c r="B1568" s="9" t="s">
        <v>34</v>
      </c>
      <c r="C1568" s="9" t="s">
        <v>19</v>
      </c>
      <c r="D1568" s="9" t="s">
        <v>42</v>
      </c>
      <c r="E1568" s="9" t="s">
        <v>59</v>
      </c>
      <c r="F1568" s="9">
        <v>-1</v>
      </c>
      <c r="G1568" s="9">
        <v>4414.63</v>
      </c>
      <c r="H1568" s="9">
        <v>0</v>
      </c>
      <c r="I1568" s="9">
        <v>0</v>
      </c>
      <c r="J1568" s="10">
        <v>45715</v>
      </c>
      <c r="K1568" s="9" t="s">
        <v>45</v>
      </c>
      <c r="L1568" s="9" t="s">
        <v>25</v>
      </c>
      <c r="M1568" s="9">
        <v>1709.18</v>
      </c>
    </row>
    <row r="1569" spans="1:13" x14ac:dyDescent="0.35">
      <c r="A1569" s="9">
        <v>3963</v>
      </c>
      <c r="B1569" s="9" t="s">
        <v>31</v>
      </c>
      <c r="C1569" s="9" t="s">
        <v>19</v>
      </c>
      <c r="D1569" s="9" t="s">
        <v>63</v>
      </c>
      <c r="E1569" s="9" t="s">
        <v>62</v>
      </c>
      <c r="F1569" s="9">
        <v>1</v>
      </c>
      <c r="G1569" s="9">
        <v>6698.41</v>
      </c>
      <c r="H1569" s="9">
        <v>0</v>
      </c>
      <c r="I1569" s="9">
        <v>0</v>
      </c>
      <c r="J1569" s="10">
        <v>45715</v>
      </c>
      <c r="K1569" s="9" t="s">
        <v>44</v>
      </c>
      <c r="L1569" s="9" t="s">
        <v>26</v>
      </c>
      <c r="M1569" s="9">
        <v>-245.76</v>
      </c>
    </row>
    <row r="1570" spans="1:13" x14ac:dyDescent="0.35">
      <c r="A1570" s="9">
        <v>3964</v>
      </c>
      <c r="B1570" s="9" t="s">
        <v>28</v>
      </c>
      <c r="C1570" s="9" t="s">
        <v>18</v>
      </c>
      <c r="D1570" s="9" t="s">
        <v>38</v>
      </c>
      <c r="E1570" s="9" t="s">
        <v>62</v>
      </c>
      <c r="F1570" s="9">
        <v>-1</v>
      </c>
      <c r="G1570" s="9">
        <v>0</v>
      </c>
      <c r="H1570" s="9">
        <v>0</v>
      </c>
      <c r="I1570" s="9">
        <v>0</v>
      </c>
      <c r="J1570" s="10">
        <v>45660</v>
      </c>
      <c r="K1570" s="9" t="s">
        <v>44</v>
      </c>
      <c r="L1570" s="9" t="s">
        <v>27</v>
      </c>
      <c r="M1570" s="9">
        <v>117.6</v>
      </c>
    </row>
    <row r="1571" spans="1:13" x14ac:dyDescent="0.35">
      <c r="A1571" s="9">
        <v>3965</v>
      </c>
      <c r="B1571" s="9" t="s">
        <v>34</v>
      </c>
      <c r="C1571" s="9" t="s">
        <v>19</v>
      </c>
      <c r="D1571" s="9" t="s">
        <v>63</v>
      </c>
      <c r="E1571" s="9" t="s">
        <v>59</v>
      </c>
      <c r="F1571" s="9">
        <v>0</v>
      </c>
      <c r="G1571" s="9">
        <v>0</v>
      </c>
      <c r="H1571" s="9">
        <v>0.05</v>
      </c>
      <c r="I1571" s="9">
        <v>0</v>
      </c>
      <c r="J1571" s="10">
        <v>45660</v>
      </c>
      <c r="K1571" s="9" t="s">
        <v>45</v>
      </c>
      <c r="L1571" s="9" t="s">
        <v>32</v>
      </c>
      <c r="M1571" s="9">
        <v>1194.67</v>
      </c>
    </row>
    <row r="1572" spans="1:13" x14ac:dyDescent="0.35">
      <c r="A1572" s="9">
        <v>3966</v>
      </c>
      <c r="B1572" s="9" t="s">
        <v>34</v>
      </c>
      <c r="C1572" s="9" t="s">
        <v>18</v>
      </c>
      <c r="D1572" s="9" t="s">
        <v>41</v>
      </c>
      <c r="E1572" s="9" t="s">
        <v>59</v>
      </c>
      <c r="F1572" s="9">
        <v>0</v>
      </c>
      <c r="G1572" s="9">
        <v>0</v>
      </c>
      <c r="H1572" s="9">
        <v>0</v>
      </c>
      <c r="I1572" s="9">
        <v>0</v>
      </c>
      <c r="J1572" s="10">
        <v>45660</v>
      </c>
      <c r="K1572" s="9" t="s">
        <v>44</v>
      </c>
      <c r="L1572" s="9" t="s">
        <v>26</v>
      </c>
      <c r="M1572" s="9">
        <v>2072.67</v>
      </c>
    </row>
    <row r="1573" spans="1:13" x14ac:dyDescent="0.35">
      <c r="A1573" s="9">
        <v>3968</v>
      </c>
      <c r="B1573" s="9" t="s">
        <v>34</v>
      </c>
      <c r="C1573" s="9" t="s">
        <v>21</v>
      </c>
      <c r="D1573" s="9" t="s">
        <v>64</v>
      </c>
      <c r="E1573" s="9" t="s">
        <v>59</v>
      </c>
      <c r="F1573" s="9">
        <v>0</v>
      </c>
      <c r="G1573" s="9">
        <v>8141.77</v>
      </c>
      <c r="H1573" s="9">
        <v>0</v>
      </c>
      <c r="I1573" s="9">
        <v>0</v>
      </c>
      <c r="J1573" s="10">
        <v>45631</v>
      </c>
      <c r="K1573" s="9" t="s">
        <v>44</v>
      </c>
      <c r="L1573" s="9" t="s">
        <v>25</v>
      </c>
      <c r="M1573" s="9">
        <v>774.01</v>
      </c>
    </row>
    <row r="1574" spans="1:13" x14ac:dyDescent="0.35">
      <c r="A1574" s="9">
        <v>3969</v>
      </c>
      <c r="B1574" s="9" t="s">
        <v>28</v>
      </c>
      <c r="C1574" s="9" t="s">
        <v>21</v>
      </c>
      <c r="D1574" s="9" t="s">
        <v>64</v>
      </c>
      <c r="E1574" s="9" t="s">
        <v>62</v>
      </c>
      <c r="F1574" s="9">
        <v>0</v>
      </c>
      <c r="G1574" s="9">
        <v>7922.86</v>
      </c>
      <c r="H1574" s="9">
        <v>0</v>
      </c>
      <c r="I1574" s="9">
        <v>0</v>
      </c>
      <c r="J1574" s="10">
        <v>45142</v>
      </c>
      <c r="K1574" s="9" t="s">
        <v>44</v>
      </c>
      <c r="L1574" s="9" t="s">
        <v>26</v>
      </c>
      <c r="M1574" s="9">
        <v>3753.92</v>
      </c>
    </row>
    <row r="1575" spans="1:13" x14ac:dyDescent="0.35">
      <c r="A1575" s="9">
        <v>3970</v>
      </c>
      <c r="B1575" s="9" t="s">
        <v>31</v>
      </c>
      <c r="C1575" s="9" t="s">
        <v>19</v>
      </c>
      <c r="D1575" s="9" t="s">
        <v>69</v>
      </c>
      <c r="E1575" s="9" t="s">
        <v>60</v>
      </c>
      <c r="F1575" s="9">
        <v>0</v>
      </c>
      <c r="G1575" s="9">
        <v>9990.7999999999993</v>
      </c>
      <c r="H1575" s="9">
        <v>0</v>
      </c>
      <c r="I1575" s="9">
        <v>0</v>
      </c>
      <c r="J1575" s="10">
        <v>45837</v>
      </c>
      <c r="K1575" s="9" t="s">
        <v>44</v>
      </c>
      <c r="L1575" s="9" t="s">
        <v>27</v>
      </c>
      <c r="M1575" s="9">
        <v>3351.31</v>
      </c>
    </row>
    <row r="1576" spans="1:13" x14ac:dyDescent="0.35">
      <c r="A1576" s="9">
        <v>3971</v>
      </c>
      <c r="B1576" s="9" t="s">
        <v>34</v>
      </c>
      <c r="C1576" s="9" t="s">
        <v>18</v>
      </c>
      <c r="D1576" s="9" t="s">
        <v>41</v>
      </c>
      <c r="E1576" s="9" t="s">
        <v>59</v>
      </c>
      <c r="F1576" s="9">
        <v>0</v>
      </c>
      <c r="G1576" s="9">
        <v>0</v>
      </c>
      <c r="H1576" s="9">
        <v>0.95</v>
      </c>
      <c r="I1576" s="9">
        <v>0</v>
      </c>
      <c r="J1576" s="10">
        <v>45699</v>
      </c>
      <c r="K1576" s="9" t="s">
        <v>44</v>
      </c>
      <c r="L1576" s="9" t="s">
        <v>25</v>
      </c>
      <c r="M1576" s="9">
        <v>3840.73</v>
      </c>
    </row>
    <row r="1577" spans="1:13" x14ac:dyDescent="0.35">
      <c r="A1577" s="9">
        <v>3972</v>
      </c>
      <c r="B1577" s="9" t="s">
        <v>31</v>
      </c>
      <c r="C1577" s="9" t="s">
        <v>20</v>
      </c>
      <c r="D1577" s="9" t="s">
        <v>70</v>
      </c>
      <c r="E1577" s="9" t="s">
        <v>62</v>
      </c>
      <c r="F1577" s="9">
        <v>1</v>
      </c>
      <c r="G1577" s="9">
        <v>0</v>
      </c>
      <c r="H1577" s="9">
        <v>0</v>
      </c>
      <c r="I1577" s="9">
        <v>0</v>
      </c>
      <c r="J1577" s="10">
        <v>45646</v>
      </c>
      <c r="K1577" s="9" t="s">
        <v>44</v>
      </c>
      <c r="L1577" s="9" t="s">
        <v>25</v>
      </c>
      <c r="M1577" s="9">
        <v>1990.32</v>
      </c>
    </row>
    <row r="1578" spans="1:13" x14ac:dyDescent="0.35">
      <c r="A1578" s="9">
        <v>3973</v>
      </c>
      <c r="B1578" s="9" t="s">
        <v>34</v>
      </c>
      <c r="C1578" s="9" t="s">
        <v>20</v>
      </c>
      <c r="D1578" s="9" t="s">
        <v>61</v>
      </c>
      <c r="E1578" s="9" t="s">
        <v>59</v>
      </c>
      <c r="F1578" s="9">
        <v>2</v>
      </c>
      <c r="G1578" s="9">
        <v>0</v>
      </c>
      <c r="H1578" s="9">
        <v>0</v>
      </c>
      <c r="I1578" s="9">
        <v>0</v>
      </c>
      <c r="J1578" s="10">
        <v>45646</v>
      </c>
      <c r="K1578" s="9" t="s">
        <v>45</v>
      </c>
      <c r="L1578" s="9" t="s">
        <v>25</v>
      </c>
      <c r="M1578" s="9">
        <v>-475.2</v>
      </c>
    </row>
    <row r="1579" spans="1:13" x14ac:dyDescent="0.35">
      <c r="A1579" s="9">
        <v>3974</v>
      </c>
      <c r="B1579" s="9" t="s">
        <v>31</v>
      </c>
      <c r="C1579" s="9" t="s">
        <v>21</v>
      </c>
      <c r="D1579" s="9" t="s">
        <v>71</v>
      </c>
      <c r="E1579" s="9" t="s">
        <v>60</v>
      </c>
      <c r="F1579" s="9">
        <v>4</v>
      </c>
      <c r="G1579" s="9">
        <v>0</v>
      </c>
      <c r="H1579" s="9">
        <v>0</v>
      </c>
      <c r="I1579" s="9">
        <v>0</v>
      </c>
      <c r="J1579" s="10">
        <v>45373</v>
      </c>
      <c r="K1579" s="9" t="s">
        <v>44</v>
      </c>
      <c r="L1579" s="9" t="s">
        <v>29</v>
      </c>
      <c r="M1579" s="9">
        <v>97.6</v>
      </c>
    </row>
    <row r="1580" spans="1:13" x14ac:dyDescent="0.35">
      <c r="A1580" s="9">
        <v>3975</v>
      </c>
      <c r="B1580" s="9" t="s">
        <v>28</v>
      </c>
      <c r="C1580" s="9" t="s">
        <v>19</v>
      </c>
      <c r="D1580" s="9" t="s">
        <v>42</v>
      </c>
      <c r="E1580" s="9" t="s">
        <v>59</v>
      </c>
      <c r="F1580" s="9">
        <v>3</v>
      </c>
      <c r="G1580" s="9">
        <v>0</v>
      </c>
      <c r="H1580" s="9">
        <v>0</v>
      </c>
      <c r="I1580" s="9">
        <v>0</v>
      </c>
      <c r="J1580" s="10">
        <v>45738</v>
      </c>
      <c r="K1580" s="9" t="s">
        <v>44</v>
      </c>
      <c r="L1580" s="9" t="s">
        <v>26</v>
      </c>
      <c r="M1580" s="9">
        <v>1293.3800000000001</v>
      </c>
    </row>
    <row r="1581" spans="1:13" x14ac:dyDescent="0.35">
      <c r="A1581" s="9">
        <v>3976</v>
      </c>
      <c r="B1581" s="9" t="s">
        <v>31</v>
      </c>
      <c r="C1581" s="9" t="s">
        <v>18</v>
      </c>
      <c r="D1581" s="9" t="s">
        <v>37</v>
      </c>
      <c r="E1581" s="9" t="s">
        <v>60</v>
      </c>
      <c r="F1581" s="9">
        <v>4</v>
      </c>
      <c r="G1581" s="9">
        <v>7534.51</v>
      </c>
      <c r="H1581" s="9">
        <v>1.05</v>
      </c>
      <c r="I1581" s="9">
        <v>-1506.9</v>
      </c>
      <c r="J1581" s="10">
        <v>45638</v>
      </c>
      <c r="K1581" s="9" t="s">
        <v>44</v>
      </c>
      <c r="L1581" s="9" t="s">
        <v>29</v>
      </c>
      <c r="M1581" s="9">
        <v>778.13</v>
      </c>
    </row>
    <row r="1582" spans="1:13" x14ac:dyDescent="0.35">
      <c r="A1582" s="9">
        <v>3977</v>
      </c>
      <c r="B1582" s="9" t="s">
        <v>31</v>
      </c>
      <c r="C1582" s="9" t="s">
        <v>19</v>
      </c>
      <c r="D1582" s="9" t="s">
        <v>63</v>
      </c>
      <c r="E1582" s="9" t="s">
        <v>60</v>
      </c>
      <c r="F1582" s="9">
        <v>0</v>
      </c>
      <c r="G1582" s="9">
        <v>7483.74</v>
      </c>
      <c r="H1582" s="9">
        <v>0.21</v>
      </c>
      <c r="I1582" s="9">
        <v>0</v>
      </c>
      <c r="J1582" s="10">
        <v>45788</v>
      </c>
      <c r="K1582" s="9" t="s">
        <v>45</v>
      </c>
      <c r="L1582" s="9" t="s">
        <v>29</v>
      </c>
      <c r="M1582" s="9">
        <v>2545.4899999999998</v>
      </c>
    </row>
    <row r="1583" spans="1:13" x14ac:dyDescent="0.35">
      <c r="A1583" s="9">
        <v>3979</v>
      </c>
      <c r="B1583" s="9" t="s">
        <v>31</v>
      </c>
      <c r="C1583" s="9" t="s">
        <v>18</v>
      </c>
      <c r="D1583" s="9" t="s">
        <v>38</v>
      </c>
      <c r="E1583" s="9" t="s">
        <v>59</v>
      </c>
      <c r="F1583" s="9">
        <v>3</v>
      </c>
      <c r="G1583" s="9">
        <v>0</v>
      </c>
      <c r="H1583" s="9">
        <v>0.5</v>
      </c>
      <c r="I1583" s="9">
        <v>0</v>
      </c>
      <c r="J1583" s="10">
        <v>45819</v>
      </c>
      <c r="K1583" s="9" t="s">
        <v>45</v>
      </c>
      <c r="L1583" s="9" t="s">
        <v>35</v>
      </c>
      <c r="M1583" s="9">
        <v>896.9</v>
      </c>
    </row>
    <row r="1584" spans="1:13" x14ac:dyDescent="0.35">
      <c r="A1584" s="9">
        <v>3980</v>
      </c>
      <c r="B1584" s="9" t="s">
        <v>31</v>
      </c>
      <c r="C1584" s="9" t="s">
        <v>18</v>
      </c>
      <c r="D1584" s="9" t="s">
        <v>37</v>
      </c>
      <c r="E1584" s="9" t="s">
        <v>59</v>
      </c>
      <c r="F1584" s="9">
        <v>0</v>
      </c>
      <c r="G1584" s="9">
        <v>0</v>
      </c>
      <c r="H1584" s="9">
        <v>0</v>
      </c>
      <c r="I1584" s="9">
        <v>0</v>
      </c>
      <c r="J1584" s="10">
        <v>45845</v>
      </c>
      <c r="K1584" s="9" t="s">
        <v>44</v>
      </c>
      <c r="L1584" s="9" t="s">
        <v>32</v>
      </c>
      <c r="M1584" s="9">
        <v>-223.3</v>
      </c>
    </row>
    <row r="1585" spans="1:13" x14ac:dyDescent="0.35">
      <c r="A1585" s="9">
        <v>3981</v>
      </c>
      <c r="B1585" s="9" t="s">
        <v>31</v>
      </c>
      <c r="C1585" s="9" t="s">
        <v>19</v>
      </c>
      <c r="D1585" s="9" t="s">
        <v>39</v>
      </c>
      <c r="E1585" s="9" t="s">
        <v>60</v>
      </c>
      <c r="F1585" s="9">
        <v>0</v>
      </c>
      <c r="G1585" s="9">
        <v>4007.55</v>
      </c>
      <c r="H1585" s="9">
        <v>1.02</v>
      </c>
      <c r="I1585" s="9">
        <v>0</v>
      </c>
      <c r="J1585" s="10">
        <v>45281</v>
      </c>
      <c r="K1585" s="9" t="s">
        <v>45</v>
      </c>
      <c r="L1585" s="9" t="s">
        <v>29</v>
      </c>
      <c r="M1585" s="9">
        <v>90.51</v>
      </c>
    </row>
    <row r="1586" spans="1:13" x14ac:dyDescent="0.35">
      <c r="A1586" s="9">
        <v>3982</v>
      </c>
      <c r="B1586" s="9" t="s">
        <v>31</v>
      </c>
      <c r="C1586" s="9" t="s">
        <v>22</v>
      </c>
      <c r="D1586" s="9" t="s">
        <v>68</v>
      </c>
      <c r="E1586" s="9" t="s">
        <v>60</v>
      </c>
      <c r="F1586" s="9">
        <v>0</v>
      </c>
      <c r="G1586" s="9">
        <v>8006.71</v>
      </c>
      <c r="H1586" s="9">
        <v>0</v>
      </c>
      <c r="I1586" s="9">
        <v>0</v>
      </c>
      <c r="J1586" s="10">
        <v>45581</v>
      </c>
      <c r="K1586" s="9" t="s">
        <v>45</v>
      </c>
      <c r="L1586" s="9" t="s">
        <v>25</v>
      </c>
      <c r="M1586" s="9">
        <v>1486.86</v>
      </c>
    </row>
    <row r="1587" spans="1:13" x14ac:dyDescent="0.35">
      <c r="A1587" s="9">
        <v>3983</v>
      </c>
      <c r="B1587" s="9" t="s">
        <v>34</v>
      </c>
      <c r="C1587" s="9" t="s">
        <v>21</v>
      </c>
      <c r="D1587" s="9" t="s">
        <v>64</v>
      </c>
      <c r="E1587" s="9" t="s">
        <v>60</v>
      </c>
      <c r="F1587" s="9">
        <v>4</v>
      </c>
      <c r="G1587" s="9">
        <v>0</v>
      </c>
      <c r="H1587" s="9">
        <v>0.22</v>
      </c>
      <c r="I1587" s="9">
        <v>0</v>
      </c>
      <c r="J1587" s="10">
        <v>45581</v>
      </c>
      <c r="K1587" s="9" t="s">
        <v>45</v>
      </c>
      <c r="L1587" s="9" t="s">
        <v>35</v>
      </c>
      <c r="M1587" s="9">
        <v>633.64</v>
      </c>
    </row>
    <row r="1588" spans="1:13" x14ac:dyDescent="0.35">
      <c r="A1588" s="9">
        <v>2048</v>
      </c>
      <c r="B1588" s="9" t="s">
        <v>34</v>
      </c>
      <c r="C1588" s="9" t="s">
        <v>22</v>
      </c>
      <c r="D1588" s="9" t="s">
        <v>65</v>
      </c>
      <c r="E1588" s="9" t="s">
        <v>62</v>
      </c>
      <c r="F1588" s="9">
        <v>2</v>
      </c>
      <c r="G1588" s="9">
        <v>8918.66</v>
      </c>
      <c r="H1588" s="9">
        <v>1.19</v>
      </c>
      <c r="I1588" s="9">
        <v>-3389.09</v>
      </c>
      <c r="J1588" s="10">
        <v>45336</v>
      </c>
      <c r="K1588" s="9" t="s">
        <v>44</v>
      </c>
      <c r="L1588" s="9" t="s">
        <v>29</v>
      </c>
      <c r="M1588" s="9">
        <v>1889.03</v>
      </c>
    </row>
    <row r="1589" spans="1:13" x14ac:dyDescent="0.35">
      <c r="A1589" s="9">
        <v>3986</v>
      </c>
      <c r="B1589" s="9" t="s">
        <v>34</v>
      </c>
      <c r="C1589" s="9" t="s">
        <v>20</v>
      </c>
      <c r="D1589" s="9" t="s">
        <v>43</v>
      </c>
      <c r="E1589" s="9" t="s">
        <v>60</v>
      </c>
      <c r="F1589" s="9">
        <v>1</v>
      </c>
      <c r="G1589" s="9">
        <v>0</v>
      </c>
      <c r="H1589" s="9">
        <v>0</v>
      </c>
      <c r="I1589" s="9">
        <v>0</v>
      </c>
      <c r="J1589" s="10">
        <v>45606</v>
      </c>
      <c r="K1589" s="9" t="s">
        <v>44</v>
      </c>
      <c r="L1589" s="9" t="s">
        <v>26</v>
      </c>
      <c r="M1589" s="9">
        <v>681.84</v>
      </c>
    </row>
    <row r="1590" spans="1:13" x14ac:dyDescent="0.35">
      <c r="A1590" s="9">
        <v>3987</v>
      </c>
      <c r="B1590" s="9" t="s">
        <v>34</v>
      </c>
      <c r="C1590" s="9" t="s">
        <v>22</v>
      </c>
      <c r="D1590" s="9" t="s">
        <v>68</v>
      </c>
      <c r="E1590" s="9" t="s">
        <v>60</v>
      </c>
      <c r="F1590" s="9">
        <v>2</v>
      </c>
      <c r="G1590" s="9">
        <v>0</v>
      </c>
      <c r="H1590" s="9">
        <v>0</v>
      </c>
      <c r="I1590" s="9">
        <v>0</v>
      </c>
      <c r="J1590" s="10">
        <v>45522</v>
      </c>
      <c r="K1590" s="9" t="s">
        <v>44</v>
      </c>
      <c r="L1590" s="9" t="s">
        <v>32</v>
      </c>
      <c r="M1590" s="9">
        <v>3908.61</v>
      </c>
    </row>
    <row r="1591" spans="1:13" x14ac:dyDescent="0.35">
      <c r="A1591" s="9">
        <v>3988</v>
      </c>
      <c r="B1591" s="9" t="s">
        <v>34</v>
      </c>
      <c r="C1591" s="9" t="s">
        <v>21</v>
      </c>
      <c r="D1591" s="9" t="s">
        <v>36</v>
      </c>
      <c r="E1591" s="9" t="s">
        <v>59</v>
      </c>
      <c r="F1591" s="9">
        <v>4</v>
      </c>
      <c r="G1591" s="9">
        <v>7945.46</v>
      </c>
      <c r="H1591" s="9">
        <v>0.67</v>
      </c>
      <c r="I1591" s="9">
        <v>10488.01</v>
      </c>
      <c r="J1591" s="10">
        <v>45575</v>
      </c>
      <c r="K1591" s="9" t="s">
        <v>45</v>
      </c>
      <c r="L1591" s="9" t="s">
        <v>35</v>
      </c>
      <c r="M1591" s="9">
        <v>3698.62</v>
      </c>
    </row>
    <row r="1592" spans="1:13" x14ac:dyDescent="0.35">
      <c r="A1592" s="9">
        <v>3989</v>
      </c>
      <c r="B1592" s="9" t="s">
        <v>31</v>
      </c>
      <c r="C1592" s="9" t="s">
        <v>18</v>
      </c>
      <c r="D1592" s="9" t="s">
        <v>41</v>
      </c>
      <c r="E1592" s="9" t="s">
        <v>60</v>
      </c>
      <c r="F1592" s="9">
        <v>-1</v>
      </c>
      <c r="G1592" s="9">
        <v>0</v>
      </c>
      <c r="H1592" s="9">
        <v>0</v>
      </c>
      <c r="I1592" s="9">
        <v>0</v>
      </c>
      <c r="J1592" s="10">
        <v>45585</v>
      </c>
      <c r="K1592" s="9" t="s">
        <v>45</v>
      </c>
      <c r="L1592" s="9" t="s">
        <v>25</v>
      </c>
      <c r="M1592" s="9">
        <v>1005.26</v>
      </c>
    </row>
    <row r="1593" spans="1:13" x14ac:dyDescent="0.35">
      <c r="A1593" s="9">
        <v>3990</v>
      </c>
      <c r="B1593" s="9" t="s">
        <v>34</v>
      </c>
      <c r="C1593" s="9" t="s">
        <v>22</v>
      </c>
      <c r="D1593" s="9" t="s">
        <v>65</v>
      </c>
      <c r="E1593" s="9" t="s">
        <v>59</v>
      </c>
      <c r="F1593" s="9">
        <v>0</v>
      </c>
      <c r="G1593" s="9">
        <v>0</v>
      </c>
      <c r="H1593" s="9">
        <v>0</v>
      </c>
      <c r="I1593" s="9">
        <v>0</v>
      </c>
      <c r="J1593" s="10">
        <v>45585</v>
      </c>
      <c r="K1593" s="9" t="s">
        <v>45</v>
      </c>
      <c r="L1593" s="9" t="s">
        <v>27</v>
      </c>
      <c r="M1593" s="9">
        <v>2974.82</v>
      </c>
    </row>
    <row r="1594" spans="1:13" x14ac:dyDescent="0.35">
      <c r="A1594" s="9">
        <v>3992</v>
      </c>
      <c r="B1594" s="9" t="s">
        <v>31</v>
      </c>
      <c r="C1594" s="9" t="s">
        <v>21</v>
      </c>
      <c r="D1594" s="9" t="s">
        <v>71</v>
      </c>
      <c r="E1594" s="9" t="s">
        <v>62</v>
      </c>
      <c r="F1594" s="9">
        <v>-1</v>
      </c>
      <c r="G1594" s="9">
        <v>4431.62</v>
      </c>
      <c r="H1594" s="9">
        <v>0</v>
      </c>
      <c r="I1594" s="9">
        <v>0</v>
      </c>
      <c r="J1594" s="10">
        <v>45670</v>
      </c>
      <c r="K1594" s="9" t="s">
        <v>45</v>
      </c>
      <c r="L1594" s="9" t="s">
        <v>35</v>
      </c>
      <c r="M1594" s="9">
        <v>-907.76</v>
      </c>
    </row>
    <row r="1595" spans="1:13" x14ac:dyDescent="0.35">
      <c r="A1595" s="9">
        <v>3993</v>
      </c>
      <c r="B1595" s="9" t="s">
        <v>34</v>
      </c>
      <c r="C1595" s="9" t="s">
        <v>21</v>
      </c>
      <c r="D1595" s="9" t="s">
        <v>36</v>
      </c>
      <c r="E1595" s="9" t="s">
        <v>59</v>
      </c>
      <c r="F1595" s="9">
        <v>-1</v>
      </c>
      <c r="G1595" s="9">
        <v>0</v>
      </c>
      <c r="H1595" s="9">
        <v>0</v>
      </c>
      <c r="I1595" s="9">
        <v>0</v>
      </c>
      <c r="J1595" s="10">
        <v>45772</v>
      </c>
      <c r="K1595" s="9" t="s">
        <v>44</v>
      </c>
      <c r="L1595" s="9" t="s">
        <v>32</v>
      </c>
      <c r="M1595" s="9">
        <v>1060.98</v>
      </c>
    </row>
    <row r="1596" spans="1:13" x14ac:dyDescent="0.35">
      <c r="A1596" s="9">
        <v>3995</v>
      </c>
      <c r="B1596" s="9" t="s">
        <v>31</v>
      </c>
      <c r="C1596" s="9" t="s">
        <v>21</v>
      </c>
      <c r="D1596" s="9" t="s">
        <v>40</v>
      </c>
      <c r="E1596" s="9" t="s">
        <v>59</v>
      </c>
      <c r="F1596" s="9">
        <v>-1</v>
      </c>
      <c r="G1596" s="9">
        <v>0</v>
      </c>
      <c r="H1596" s="9">
        <v>0.47</v>
      </c>
      <c r="I1596" s="9">
        <v>0</v>
      </c>
      <c r="J1596" s="10">
        <v>45772</v>
      </c>
      <c r="K1596" s="9" t="s">
        <v>45</v>
      </c>
      <c r="L1596" s="9" t="s">
        <v>29</v>
      </c>
      <c r="M1596" s="9">
        <v>3242.46</v>
      </c>
    </row>
    <row r="1597" spans="1:13" x14ac:dyDescent="0.35">
      <c r="A1597" s="9">
        <v>3997</v>
      </c>
      <c r="B1597" s="9" t="s">
        <v>28</v>
      </c>
      <c r="C1597" s="9" t="s">
        <v>21</v>
      </c>
      <c r="D1597" s="9" t="s">
        <v>64</v>
      </c>
      <c r="E1597" s="9" t="s">
        <v>59</v>
      </c>
      <c r="F1597" s="9">
        <v>4</v>
      </c>
      <c r="G1597" s="9">
        <v>0</v>
      </c>
      <c r="H1597" s="9">
        <v>0</v>
      </c>
      <c r="I1597" s="9">
        <v>0</v>
      </c>
      <c r="J1597" s="10">
        <v>45315</v>
      </c>
      <c r="K1597" s="9" t="s">
        <v>44</v>
      </c>
      <c r="L1597" s="9" t="s">
        <v>32</v>
      </c>
      <c r="M1597" s="9">
        <v>-484.62</v>
      </c>
    </row>
    <row r="1598" spans="1:13" x14ac:dyDescent="0.35">
      <c r="A1598" s="9">
        <v>3999</v>
      </c>
      <c r="B1598" s="9" t="s">
        <v>34</v>
      </c>
      <c r="C1598" s="9" t="s">
        <v>21</v>
      </c>
      <c r="D1598" s="9" t="s">
        <v>36</v>
      </c>
      <c r="E1598" s="9" t="s">
        <v>59</v>
      </c>
      <c r="F1598" s="9">
        <v>0</v>
      </c>
      <c r="G1598" s="9">
        <v>0</v>
      </c>
      <c r="H1598" s="9">
        <v>0.27</v>
      </c>
      <c r="I1598" s="9">
        <v>0</v>
      </c>
      <c r="J1598" s="10">
        <v>45551</v>
      </c>
      <c r="K1598" s="9" t="s">
        <v>45</v>
      </c>
      <c r="L1598" s="9" t="s">
        <v>27</v>
      </c>
      <c r="M1598" s="9">
        <v>1484.61</v>
      </c>
    </row>
    <row r="1599" spans="1:13" x14ac:dyDescent="0.35">
      <c r="A1599" s="9">
        <v>4000</v>
      </c>
      <c r="B1599" s="9" t="s">
        <v>28</v>
      </c>
      <c r="C1599" s="9" t="s">
        <v>22</v>
      </c>
      <c r="D1599" s="9" t="s">
        <v>65</v>
      </c>
      <c r="E1599" s="9" t="s">
        <v>59</v>
      </c>
      <c r="F1599" s="9">
        <v>-1</v>
      </c>
      <c r="G1599" s="9">
        <v>0</v>
      </c>
      <c r="H1599" s="9">
        <v>0.11</v>
      </c>
      <c r="I1599" s="9">
        <v>0</v>
      </c>
      <c r="J1599" s="10">
        <v>45666</v>
      </c>
      <c r="K1599" s="9" t="s">
        <v>44</v>
      </c>
      <c r="L1599" s="9" t="s">
        <v>27</v>
      </c>
      <c r="M1599" s="9">
        <v>309.79000000000002</v>
      </c>
    </row>
    <row r="1600" spans="1:13" x14ac:dyDescent="0.35">
      <c r="A1600" s="9">
        <v>4001</v>
      </c>
      <c r="B1600" s="9" t="s">
        <v>28</v>
      </c>
      <c r="C1600" s="9" t="s">
        <v>22</v>
      </c>
      <c r="D1600" s="9" t="s">
        <v>68</v>
      </c>
      <c r="E1600" s="9" t="s">
        <v>60</v>
      </c>
      <c r="F1600" s="9">
        <v>0</v>
      </c>
      <c r="G1600" s="9">
        <v>7586.32</v>
      </c>
      <c r="H1600" s="9">
        <v>0</v>
      </c>
      <c r="I1600" s="9">
        <v>0</v>
      </c>
      <c r="J1600" s="10">
        <v>45666</v>
      </c>
      <c r="K1600" s="9" t="s">
        <v>45</v>
      </c>
      <c r="L1600" s="9" t="s">
        <v>26</v>
      </c>
      <c r="M1600" s="9">
        <v>2155.0100000000002</v>
      </c>
    </row>
    <row r="1601" spans="1:13" x14ac:dyDescent="0.35">
      <c r="A1601" s="9">
        <v>4002</v>
      </c>
      <c r="B1601" s="9" t="s">
        <v>34</v>
      </c>
      <c r="C1601" s="9" t="s">
        <v>19</v>
      </c>
      <c r="D1601" s="9" t="s">
        <v>63</v>
      </c>
      <c r="E1601" s="9" t="s">
        <v>59</v>
      </c>
      <c r="F1601" s="9">
        <v>0</v>
      </c>
      <c r="G1601" s="9">
        <v>6056.88</v>
      </c>
      <c r="H1601" s="9">
        <v>0</v>
      </c>
      <c r="I1601" s="9">
        <v>0</v>
      </c>
      <c r="J1601" s="10">
        <v>45599</v>
      </c>
      <c r="K1601" s="9" t="s">
        <v>44</v>
      </c>
      <c r="L1601" s="9" t="s">
        <v>26</v>
      </c>
      <c r="M1601" s="9">
        <v>2114.0300000000002</v>
      </c>
    </row>
    <row r="1602" spans="1:13" x14ac:dyDescent="0.35">
      <c r="A1602" s="9">
        <v>4003</v>
      </c>
      <c r="B1602" s="9" t="s">
        <v>31</v>
      </c>
      <c r="C1602" s="9" t="s">
        <v>21</v>
      </c>
      <c r="D1602" s="9" t="s">
        <v>40</v>
      </c>
      <c r="E1602" s="9" t="s">
        <v>60</v>
      </c>
      <c r="F1602" s="9">
        <v>0</v>
      </c>
      <c r="G1602" s="9">
        <v>7165.28</v>
      </c>
      <c r="H1602" s="9">
        <v>1.17</v>
      </c>
      <c r="I1602" s="9">
        <v>0</v>
      </c>
      <c r="J1602" s="10">
        <v>45691</v>
      </c>
      <c r="K1602" s="9" t="s">
        <v>44</v>
      </c>
      <c r="L1602" s="9" t="s">
        <v>26</v>
      </c>
      <c r="M1602" s="9">
        <v>839.48</v>
      </c>
    </row>
    <row r="1603" spans="1:13" x14ac:dyDescent="0.35">
      <c r="A1603" s="9">
        <v>4004</v>
      </c>
      <c r="B1603" s="9" t="s">
        <v>31</v>
      </c>
      <c r="C1603" s="9" t="s">
        <v>22</v>
      </c>
      <c r="D1603" s="9" t="s">
        <v>65</v>
      </c>
      <c r="E1603" s="9" t="s">
        <v>62</v>
      </c>
      <c r="F1603" s="9">
        <v>0</v>
      </c>
      <c r="G1603" s="9">
        <v>0</v>
      </c>
      <c r="H1603" s="9">
        <v>0.06</v>
      </c>
      <c r="I1603" s="9">
        <v>0</v>
      </c>
      <c r="J1603" s="10">
        <v>45761</v>
      </c>
      <c r="K1603" s="9" t="s">
        <v>44</v>
      </c>
      <c r="L1603" s="9" t="s">
        <v>29</v>
      </c>
      <c r="M1603" s="9">
        <v>-748.58</v>
      </c>
    </row>
    <row r="1604" spans="1:13" x14ac:dyDescent="0.35">
      <c r="A1604" s="9">
        <v>4005</v>
      </c>
      <c r="B1604" s="9" t="s">
        <v>34</v>
      </c>
      <c r="C1604" s="9" t="s">
        <v>18</v>
      </c>
      <c r="D1604" s="9" t="s">
        <v>41</v>
      </c>
      <c r="E1604" s="9" t="s">
        <v>59</v>
      </c>
      <c r="F1604" s="9">
        <v>0</v>
      </c>
      <c r="G1604" s="9">
        <v>3730.58</v>
      </c>
      <c r="H1604" s="9">
        <v>0</v>
      </c>
      <c r="I1604" s="9">
        <v>0</v>
      </c>
      <c r="J1604" s="10">
        <v>45626</v>
      </c>
      <c r="K1604" s="9" t="s">
        <v>45</v>
      </c>
      <c r="L1604" s="9" t="s">
        <v>29</v>
      </c>
      <c r="M1604" s="9">
        <v>1784.38</v>
      </c>
    </row>
    <row r="1605" spans="1:13" x14ac:dyDescent="0.35">
      <c r="A1605" s="9">
        <v>4006</v>
      </c>
      <c r="B1605" s="9" t="s">
        <v>34</v>
      </c>
      <c r="C1605" s="9" t="s">
        <v>22</v>
      </c>
      <c r="D1605" s="9" t="s">
        <v>30</v>
      </c>
      <c r="E1605" s="9" t="s">
        <v>59</v>
      </c>
      <c r="F1605" s="9">
        <v>0</v>
      </c>
      <c r="G1605" s="9">
        <v>0</v>
      </c>
      <c r="H1605" s="9">
        <v>0</v>
      </c>
      <c r="I1605" s="9">
        <v>0</v>
      </c>
      <c r="J1605" s="10">
        <v>45626</v>
      </c>
      <c r="K1605" s="9" t="s">
        <v>44</v>
      </c>
      <c r="L1605" s="9" t="s">
        <v>27</v>
      </c>
      <c r="M1605" s="9">
        <v>2617</v>
      </c>
    </row>
    <row r="1606" spans="1:13" x14ac:dyDescent="0.35">
      <c r="A1606" s="9">
        <v>4007</v>
      </c>
      <c r="B1606" s="9" t="s">
        <v>34</v>
      </c>
      <c r="C1606" s="9" t="s">
        <v>19</v>
      </c>
      <c r="D1606" s="9" t="s">
        <v>39</v>
      </c>
      <c r="E1606" s="9" t="s">
        <v>62</v>
      </c>
      <c r="F1606" s="9">
        <v>0</v>
      </c>
      <c r="G1606" s="9">
        <v>0</v>
      </c>
      <c r="H1606" s="9">
        <v>0</v>
      </c>
      <c r="I1606" s="9">
        <v>0</v>
      </c>
      <c r="J1606" s="10">
        <v>45667</v>
      </c>
      <c r="K1606" s="9" t="s">
        <v>44</v>
      </c>
      <c r="L1606" s="9" t="s">
        <v>35</v>
      </c>
      <c r="M1606" s="9">
        <v>1746.06</v>
      </c>
    </row>
    <row r="1607" spans="1:13" x14ac:dyDescent="0.35">
      <c r="A1607" s="9">
        <v>4008</v>
      </c>
      <c r="B1607" s="9" t="s">
        <v>31</v>
      </c>
      <c r="C1607" s="9" t="s">
        <v>22</v>
      </c>
      <c r="D1607" s="9" t="s">
        <v>30</v>
      </c>
      <c r="E1607" s="9" t="s">
        <v>59</v>
      </c>
      <c r="F1607" s="9">
        <v>3</v>
      </c>
      <c r="G1607" s="9">
        <v>7737.27</v>
      </c>
      <c r="H1607" s="9">
        <v>7.0000000000000007E-2</v>
      </c>
      <c r="I1607" s="9">
        <v>21586.98</v>
      </c>
      <c r="J1607" s="10">
        <v>45275</v>
      </c>
      <c r="K1607" s="9" t="s">
        <v>44</v>
      </c>
      <c r="L1607" s="9" t="s">
        <v>32</v>
      </c>
      <c r="M1607" s="9">
        <v>180.31</v>
      </c>
    </row>
    <row r="1608" spans="1:13" x14ac:dyDescent="0.35">
      <c r="A1608" s="9">
        <v>4009</v>
      </c>
      <c r="B1608" s="9" t="s">
        <v>34</v>
      </c>
      <c r="C1608" s="9" t="s">
        <v>22</v>
      </c>
      <c r="D1608" s="9" t="s">
        <v>68</v>
      </c>
      <c r="E1608" s="9" t="s">
        <v>59</v>
      </c>
      <c r="F1608" s="9">
        <v>0</v>
      </c>
      <c r="G1608" s="9">
        <v>0</v>
      </c>
      <c r="H1608" s="9">
        <v>0</v>
      </c>
      <c r="I1608" s="9">
        <v>0</v>
      </c>
      <c r="J1608" s="10">
        <v>45381</v>
      </c>
      <c r="K1608" s="9" t="s">
        <v>44</v>
      </c>
      <c r="L1608" s="9" t="s">
        <v>26</v>
      </c>
      <c r="M1608" s="9">
        <v>-737.91</v>
      </c>
    </row>
    <row r="1609" spans="1:13" x14ac:dyDescent="0.35">
      <c r="A1609" s="9">
        <v>2046</v>
      </c>
      <c r="B1609" s="9" t="s">
        <v>31</v>
      </c>
      <c r="C1609" s="9" t="s">
        <v>18</v>
      </c>
      <c r="D1609" s="9" t="s">
        <v>38</v>
      </c>
      <c r="E1609" s="9" t="s">
        <v>59</v>
      </c>
      <c r="F1609" s="9">
        <v>-1</v>
      </c>
      <c r="G1609" s="9">
        <v>5091.2</v>
      </c>
      <c r="H1609" s="9">
        <v>0</v>
      </c>
      <c r="I1609" s="9">
        <v>0</v>
      </c>
      <c r="J1609" s="10">
        <v>45848</v>
      </c>
      <c r="K1609" s="9" t="s">
        <v>44</v>
      </c>
      <c r="L1609" s="9" t="s">
        <v>35</v>
      </c>
      <c r="M1609" s="9">
        <v>1544.79</v>
      </c>
    </row>
    <row r="1610" spans="1:13" x14ac:dyDescent="0.35">
      <c r="A1610" s="9">
        <v>4011</v>
      </c>
      <c r="B1610" s="9" t="s">
        <v>28</v>
      </c>
      <c r="C1610" s="9" t="s">
        <v>20</v>
      </c>
      <c r="D1610" s="9" t="s">
        <v>43</v>
      </c>
      <c r="E1610" s="9" t="s">
        <v>59</v>
      </c>
      <c r="F1610" s="9">
        <v>4</v>
      </c>
      <c r="G1610" s="9">
        <v>4909.5600000000004</v>
      </c>
      <c r="H1610" s="9">
        <v>0</v>
      </c>
      <c r="I1610" s="9">
        <v>0</v>
      </c>
      <c r="J1610" s="10">
        <v>45842</v>
      </c>
      <c r="K1610" s="9" t="s">
        <v>44</v>
      </c>
      <c r="L1610" s="9" t="s">
        <v>25</v>
      </c>
      <c r="M1610" s="9">
        <v>2934.53</v>
      </c>
    </row>
    <row r="1611" spans="1:13" x14ac:dyDescent="0.35">
      <c r="A1611" s="9">
        <v>4013</v>
      </c>
      <c r="B1611" s="9" t="s">
        <v>28</v>
      </c>
      <c r="C1611" s="9" t="s">
        <v>22</v>
      </c>
      <c r="D1611" s="9" t="s">
        <v>30</v>
      </c>
      <c r="E1611" s="9" t="s">
        <v>59</v>
      </c>
      <c r="F1611" s="9">
        <v>2</v>
      </c>
      <c r="G1611" s="9">
        <v>3794.99</v>
      </c>
      <c r="H1611" s="9">
        <v>0</v>
      </c>
      <c r="I1611" s="9">
        <v>0</v>
      </c>
      <c r="J1611" s="10">
        <v>45842</v>
      </c>
      <c r="K1611" s="9" t="s">
        <v>45</v>
      </c>
      <c r="L1611" s="9" t="s">
        <v>32</v>
      </c>
      <c r="M1611" s="9">
        <v>1398.9</v>
      </c>
    </row>
    <row r="1612" spans="1:13" x14ac:dyDescent="0.35">
      <c r="A1612" s="9">
        <v>4014</v>
      </c>
      <c r="B1612" s="9" t="s">
        <v>34</v>
      </c>
      <c r="C1612" s="9" t="s">
        <v>20</v>
      </c>
      <c r="D1612" s="9" t="s">
        <v>43</v>
      </c>
      <c r="E1612" s="9" t="s">
        <v>60</v>
      </c>
      <c r="F1612" s="9">
        <v>0</v>
      </c>
      <c r="G1612" s="9">
        <v>0</v>
      </c>
      <c r="H1612" s="9">
        <v>0</v>
      </c>
      <c r="I1612" s="9">
        <v>0</v>
      </c>
      <c r="J1612" s="10">
        <v>45508</v>
      </c>
      <c r="K1612" s="9" t="s">
        <v>44</v>
      </c>
      <c r="L1612" s="9" t="s">
        <v>32</v>
      </c>
      <c r="M1612" s="9">
        <v>563.6</v>
      </c>
    </row>
    <row r="1613" spans="1:13" x14ac:dyDescent="0.35">
      <c r="A1613" s="9">
        <v>4015</v>
      </c>
      <c r="B1613" s="9" t="s">
        <v>31</v>
      </c>
      <c r="C1613" s="9" t="s">
        <v>21</v>
      </c>
      <c r="D1613" s="9" t="s">
        <v>40</v>
      </c>
      <c r="E1613" s="9" t="s">
        <v>60</v>
      </c>
      <c r="F1613" s="9">
        <v>4</v>
      </c>
      <c r="G1613" s="9">
        <v>5505.76</v>
      </c>
      <c r="H1613" s="9">
        <v>0</v>
      </c>
      <c r="I1613" s="9">
        <v>0</v>
      </c>
      <c r="J1613" s="10">
        <v>45843</v>
      </c>
      <c r="K1613" s="9" t="s">
        <v>45</v>
      </c>
      <c r="L1613" s="9" t="s">
        <v>25</v>
      </c>
      <c r="M1613" s="9">
        <v>1194.93</v>
      </c>
    </row>
    <row r="1614" spans="1:13" x14ac:dyDescent="0.35">
      <c r="A1614" s="9">
        <v>2021</v>
      </c>
      <c r="B1614" s="9" t="s">
        <v>34</v>
      </c>
      <c r="C1614" s="9" t="s">
        <v>21</v>
      </c>
      <c r="D1614" s="9" t="s">
        <v>64</v>
      </c>
      <c r="E1614" s="9" t="s">
        <v>62</v>
      </c>
      <c r="F1614" s="9">
        <v>0</v>
      </c>
      <c r="G1614" s="9">
        <v>4561.67</v>
      </c>
      <c r="H1614" s="9">
        <v>0</v>
      </c>
      <c r="I1614" s="9">
        <v>0</v>
      </c>
      <c r="J1614" s="10">
        <v>45335</v>
      </c>
      <c r="K1614" s="9" t="s">
        <v>45</v>
      </c>
      <c r="L1614" s="9" t="s">
        <v>35</v>
      </c>
      <c r="M1614" s="9">
        <v>1720.61</v>
      </c>
    </row>
    <row r="1615" spans="1:13" x14ac:dyDescent="0.35">
      <c r="A1615" s="9">
        <v>4017</v>
      </c>
      <c r="B1615" s="9" t="s">
        <v>34</v>
      </c>
      <c r="C1615" s="9" t="s">
        <v>18</v>
      </c>
      <c r="D1615" s="9" t="s">
        <v>41</v>
      </c>
      <c r="E1615" s="9" t="s">
        <v>62</v>
      </c>
      <c r="F1615" s="9">
        <v>0</v>
      </c>
      <c r="G1615" s="9">
        <v>9229.7000000000007</v>
      </c>
      <c r="H1615" s="9">
        <v>0</v>
      </c>
      <c r="I1615" s="9">
        <v>0</v>
      </c>
      <c r="J1615" s="10">
        <v>45736</v>
      </c>
      <c r="K1615" s="9" t="s">
        <v>45</v>
      </c>
      <c r="L1615" s="9" t="s">
        <v>26</v>
      </c>
      <c r="M1615" s="9">
        <v>1178.0999999999999</v>
      </c>
    </row>
    <row r="1616" spans="1:13" x14ac:dyDescent="0.35">
      <c r="A1616" s="9">
        <v>4018</v>
      </c>
      <c r="B1616" s="9" t="s">
        <v>28</v>
      </c>
      <c r="C1616" s="9" t="s">
        <v>21</v>
      </c>
      <c r="D1616" s="9" t="s">
        <v>36</v>
      </c>
      <c r="E1616" s="9" t="s">
        <v>59</v>
      </c>
      <c r="F1616" s="9">
        <v>0</v>
      </c>
      <c r="G1616" s="9">
        <v>6469.59</v>
      </c>
      <c r="H1616" s="9">
        <v>0.36</v>
      </c>
      <c r="I1616" s="9">
        <v>0</v>
      </c>
      <c r="J1616" s="10">
        <v>45736</v>
      </c>
      <c r="K1616" s="9" t="s">
        <v>44</v>
      </c>
      <c r="L1616" s="9" t="s">
        <v>26</v>
      </c>
      <c r="M1616" s="9">
        <v>-69.8</v>
      </c>
    </row>
    <row r="1617" spans="1:13" x14ac:dyDescent="0.35">
      <c r="A1617" s="9">
        <v>4019</v>
      </c>
      <c r="B1617" s="9" t="s">
        <v>28</v>
      </c>
      <c r="C1617" s="9" t="s">
        <v>19</v>
      </c>
      <c r="D1617" s="9" t="s">
        <v>42</v>
      </c>
      <c r="E1617" s="9" t="s">
        <v>59</v>
      </c>
      <c r="F1617" s="9">
        <v>-1</v>
      </c>
      <c r="G1617" s="9">
        <v>0</v>
      </c>
      <c r="H1617" s="9">
        <v>0.66</v>
      </c>
      <c r="I1617" s="9">
        <v>0</v>
      </c>
      <c r="J1617" s="10">
        <v>45592</v>
      </c>
      <c r="K1617" s="9" t="s">
        <v>45</v>
      </c>
      <c r="L1617" s="9" t="s">
        <v>25</v>
      </c>
      <c r="M1617" s="9">
        <v>171.8</v>
      </c>
    </row>
    <row r="1618" spans="1:13" x14ac:dyDescent="0.35">
      <c r="A1618" s="9">
        <v>4020</v>
      </c>
      <c r="B1618" s="9" t="s">
        <v>28</v>
      </c>
      <c r="C1618" s="9" t="s">
        <v>20</v>
      </c>
      <c r="D1618" s="9" t="s">
        <v>70</v>
      </c>
      <c r="E1618" s="9" t="s">
        <v>59</v>
      </c>
      <c r="F1618" s="9">
        <v>0</v>
      </c>
      <c r="G1618" s="9">
        <v>4052.25</v>
      </c>
      <c r="H1618" s="9">
        <v>0</v>
      </c>
      <c r="I1618" s="9">
        <v>0</v>
      </c>
      <c r="J1618" s="10">
        <v>45592</v>
      </c>
      <c r="K1618" s="9" t="s">
        <v>44</v>
      </c>
      <c r="L1618" s="9" t="s">
        <v>25</v>
      </c>
      <c r="M1618" s="9">
        <v>3360.33</v>
      </c>
    </row>
    <row r="1619" spans="1:13" x14ac:dyDescent="0.35">
      <c r="A1619" s="9">
        <v>4021</v>
      </c>
      <c r="B1619" s="9" t="s">
        <v>28</v>
      </c>
      <c r="C1619" s="9" t="s">
        <v>22</v>
      </c>
      <c r="D1619" s="9" t="s">
        <v>67</v>
      </c>
      <c r="E1619" s="9" t="s">
        <v>59</v>
      </c>
      <c r="F1619" s="9">
        <v>0</v>
      </c>
      <c r="G1619" s="9">
        <v>7023.61</v>
      </c>
      <c r="H1619" s="9">
        <v>0</v>
      </c>
      <c r="I1619" s="9">
        <v>0</v>
      </c>
      <c r="J1619" s="10">
        <v>45592</v>
      </c>
      <c r="K1619" s="9" t="s">
        <v>45</v>
      </c>
      <c r="L1619" s="9" t="s">
        <v>29</v>
      </c>
      <c r="M1619" s="9">
        <v>2199.3000000000002</v>
      </c>
    </row>
    <row r="1620" spans="1:13" x14ac:dyDescent="0.35">
      <c r="A1620" s="9">
        <v>4022</v>
      </c>
      <c r="B1620" s="9" t="s">
        <v>34</v>
      </c>
      <c r="C1620" s="9" t="s">
        <v>18</v>
      </c>
      <c r="D1620" s="9" t="s">
        <v>41</v>
      </c>
      <c r="E1620" s="9" t="s">
        <v>60</v>
      </c>
      <c r="F1620" s="9">
        <v>0</v>
      </c>
      <c r="G1620" s="9">
        <v>0</v>
      </c>
      <c r="H1620" s="9">
        <v>0</v>
      </c>
      <c r="I1620" s="9">
        <v>0</v>
      </c>
      <c r="J1620" s="10">
        <v>45647</v>
      </c>
      <c r="K1620" s="9" t="s">
        <v>45</v>
      </c>
      <c r="L1620" s="9" t="s">
        <v>25</v>
      </c>
      <c r="M1620" s="9">
        <v>2380.63</v>
      </c>
    </row>
    <row r="1621" spans="1:13" x14ac:dyDescent="0.35">
      <c r="A1621" s="9">
        <v>4023</v>
      </c>
      <c r="B1621" s="9" t="s">
        <v>28</v>
      </c>
      <c r="C1621" s="9" t="s">
        <v>20</v>
      </c>
      <c r="D1621" s="9" t="s">
        <v>66</v>
      </c>
      <c r="E1621" s="9" t="s">
        <v>62</v>
      </c>
      <c r="F1621" s="9">
        <v>0</v>
      </c>
      <c r="G1621" s="9">
        <v>2376.12</v>
      </c>
      <c r="H1621" s="9">
        <v>0.76</v>
      </c>
      <c r="I1621" s="9">
        <v>0</v>
      </c>
      <c r="J1621" s="10">
        <v>45624</v>
      </c>
      <c r="K1621" s="9" t="s">
        <v>45</v>
      </c>
      <c r="L1621" s="9" t="s">
        <v>32</v>
      </c>
      <c r="M1621" s="9">
        <v>1267.4100000000001</v>
      </c>
    </row>
    <row r="1622" spans="1:13" x14ac:dyDescent="0.35">
      <c r="A1622" s="9">
        <v>4024</v>
      </c>
      <c r="B1622" s="9" t="s">
        <v>31</v>
      </c>
      <c r="C1622" s="9" t="s">
        <v>18</v>
      </c>
      <c r="D1622" s="9" t="s">
        <v>41</v>
      </c>
      <c r="E1622" s="9" t="s">
        <v>59</v>
      </c>
      <c r="F1622" s="9">
        <v>0</v>
      </c>
      <c r="G1622" s="9">
        <v>0</v>
      </c>
      <c r="H1622" s="9">
        <v>0</v>
      </c>
      <c r="I1622" s="9">
        <v>0</v>
      </c>
      <c r="J1622" s="10">
        <v>45533</v>
      </c>
      <c r="K1622" s="9" t="s">
        <v>44</v>
      </c>
      <c r="L1622" s="9" t="s">
        <v>25</v>
      </c>
      <c r="M1622" s="9">
        <v>-738.85</v>
      </c>
    </row>
    <row r="1623" spans="1:13" x14ac:dyDescent="0.35">
      <c r="A1623" s="9">
        <v>4025</v>
      </c>
      <c r="B1623" s="9" t="s">
        <v>28</v>
      </c>
      <c r="C1623" s="9" t="s">
        <v>22</v>
      </c>
      <c r="D1623" s="9" t="s">
        <v>67</v>
      </c>
      <c r="E1623" s="9" t="s">
        <v>60</v>
      </c>
      <c r="F1623" s="9">
        <v>0</v>
      </c>
      <c r="G1623" s="9">
        <v>2265.37</v>
      </c>
      <c r="H1623" s="9">
        <v>0</v>
      </c>
      <c r="I1623" s="9">
        <v>0</v>
      </c>
      <c r="J1623" s="10">
        <v>45468</v>
      </c>
      <c r="K1623" s="9" t="s">
        <v>44</v>
      </c>
      <c r="L1623" s="9" t="s">
        <v>27</v>
      </c>
      <c r="M1623" s="9">
        <v>2946.35</v>
      </c>
    </row>
    <row r="1624" spans="1:13" x14ac:dyDescent="0.35">
      <c r="A1624" s="9">
        <v>4026</v>
      </c>
      <c r="B1624" s="9" t="s">
        <v>31</v>
      </c>
      <c r="C1624" s="9" t="s">
        <v>22</v>
      </c>
      <c r="D1624" s="9" t="s">
        <v>68</v>
      </c>
      <c r="E1624" s="9" t="s">
        <v>62</v>
      </c>
      <c r="F1624" s="9">
        <v>0</v>
      </c>
      <c r="G1624" s="9">
        <v>3731.78</v>
      </c>
      <c r="H1624" s="9">
        <v>1.1200000000000001</v>
      </c>
      <c r="I1624" s="9">
        <v>0</v>
      </c>
      <c r="J1624" s="10">
        <v>45705</v>
      </c>
      <c r="K1624" s="9" t="s">
        <v>45</v>
      </c>
      <c r="L1624" s="9" t="s">
        <v>32</v>
      </c>
      <c r="M1624" s="9">
        <v>-885.09</v>
      </c>
    </row>
    <row r="1625" spans="1:13" x14ac:dyDescent="0.35">
      <c r="A1625" s="9">
        <v>4028</v>
      </c>
      <c r="B1625" s="9" t="s">
        <v>28</v>
      </c>
      <c r="C1625" s="9" t="s">
        <v>20</v>
      </c>
      <c r="D1625" s="9" t="s">
        <v>70</v>
      </c>
      <c r="E1625" s="9" t="s">
        <v>59</v>
      </c>
      <c r="F1625" s="9">
        <v>3</v>
      </c>
      <c r="G1625" s="9">
        <v>0</v>
      </c>
      <c r="H1625" s="9">
        <v>1.06</v>
      </c>
      <c r="I1625" s="9">
        <v>0</v>
      </c>
      <c r="J1625" s="10">
        <v>45669</v>
      </c>
      <c r="K1625" s="9" t="s">
        <v>44</v>
      </c>
      <c r="L1625" s="9" t="s">
        <v>29</v>
      </c>
      <c r="M1625" s="9">
        <v>2568.4</v>
      </c>
    </row>
    <row r="1626" spans="1:13" x14ac:dyDescent="0.35">
      <c r="A1626" s="9">
        <v>4029</v>
      </c>
      <c r="B1626" s="9" t="s">
        <v>34</v>
      </c>
      <c r="C1626" s="9" t="s">
        <v>18</v>
      </c>
      <c r="D1626" s="9" t="s">
        <v>33</v>
      </c>
      <c r="E1626" s="9" t="s">
        <v>62</v>
      </c>
      <c r="F1626" s="9">
        <v>0</v>
      </c>
      <c r="G1626" s="9">
        <v>0</v>
      </c>
      <c r="H1626" s="9">
        <v>0</v>
      </c>
      <c r="I1626" s="9">
        <v>0</v>
      </c>
      <c r="J1626" s="10">
        <v>45837</v>
      </c>
      <c r="K1626" s="9" t="s">
        <v>44</v>
      </c>
      <c r="L1626" s="9" t="s">
        <v>25</v>
      </c>
      <c r="M1626" s="9">
        <v>3231.16</v>
      </c>
    </row>
    <row r="1627" spans="1:13" x14ac:dyDescent="0.35">
      <c r="A1627" s="9">
        <v>4030</v>
      </c>
      <c r="B1627" s="9" t="s">
        <v>31</v>
      </c>
      <c r="C1627" s="9" t="s">
        <v>21</v>
      </c>
      <c r="D1627" s="9" t="s">
        <v>64</v>
      </c>
      <c r="E1627" s="9" t="s">
        <v>60</v>
      </c>
      <c r="F1627" s="9">
        <v>0</v>
      </c>
      <c r="G1627" s="9">
        <v>0</v>
      </c>
      <c r="H1627" s="9">
        <v>0</v>
      </c>
      <c r="I1627" s="9">
        <v>0</v>
      </c>
      <c r="J1627" s="10">
        <v>45775</v>
      </c>
      <c r="K1627" s="9" t="s">
        <v>45</v>
      </c>
      <c r="L1627" s="9" t="s">
        <v>27</v>
      </c>
      <c r="M1627" s="9">
        <v>1865.56</v>
      </c>
    </row>
    <row r="1628" spans="1:13" x14ac:dyDescent="0.35">
      <c r="A1628" s="9">
        <v>4032</v>
      </c>
      <c r="B1628" s="9" t="s">
        <v>31</v>
      </c>
      <c r="C1628" s="9" t="s">
        <v>20</v>
      </c>
      <c r="D1628" s="9" t="s">
        <v>70</v>
      </c>
      <c r="E1628" s="9" t="s">
        <v>59</v>
      </c>
      <c r="F1628" s="9">
        <v>0</v>
      </c>
      <c r="G1628" s="9">
        <v>0</v>
      </c>
      <c r="H1628" s="9">
        <v>0</v>
      </c>
      <c r="I1628" s="9">
        <v>0</v>
      </c>
      <c r="J1628" s="10">
        <v>45775</v>
      </c>
      <c r="K1628" s="9" t="s">
        <v>44</v>
      </c>
      <c r="L1628" s="9" t="s">
        <v>35</v>
      </c>
      <c r="M1628" s="9">
        <v>-135.15</v>
      </c>
    </row>
    <row r="1629" spans="1:13" x14ac:dyDescent="0.35">
      <c r="A1629" s="9">
        <v>4033</v>
      </c>
      <c r="B1629" s="9" t="s">
        <v>31</v>
      </c>
      <c r="C1629" s="9" t="s">
        <v>21</v>
      </c>
      <c r="D1629" s="9" t="s">
        <v>36</v>
      </c>
      <c r="E1629" s="9" t="s">
        <v>60</v>
      </c>
      <c r="F1629" s="9">
        <v>4</v>
      </c>
      <c r="G1629" s="9">
        <v>4398.68</v>
      </c>
      <c r="H1629" s="9">
        <v>0.27</v>
      </c>
      <c r="I1629" s="9">
        <v>12844.15</v>
      </c>
      <c r="J1629" s="10">
        <v>45775</v>
      </c>
      <c r="K1629" s="9" t="s">
        <v>44</v>
      </c>
      <c r="L1629" s="9" t="s">
        <v>25</v>
      </c>
      <c r="M1629" s="9">
        <v>3573.92</v>
      </c>
    </row>
    <row r="1630" spans="1:13" x14ac:dyDescent="0.35">
      <c r="A1630" s="9">
        <v>2020</v>
      </c>
      <c r="B1630" s="9" t="s">
        <v>31</v>
      </c>
      <c r="C1630" s="9" t="s">
        <v>20</v>
      </c>
      <c r="D1630" s="9" t="s">
        <v>43</v>
      </c>
      <c r="E1630" s="9" t="s">
        <v>59</v>
      </c>
      <c r="F1630" s="9">
        <v>2</v>
      </c>
      <c r="G1630" s="9">
        <v>5614.96</v>
      </c>
      <c r="H1630" s="9">
        <v>0</v>
      </c>
      <c r="I1630" s="9">
        <v>0</v>
      </c>
      <c r="J1630" s="10">
        <v>45721</v>
      </c>
      <c r="K1630" s="9" t="s">
        <v>45</v>
      </c>
      <c r="L1630" s="9" t="s">
        <v>27</v>
      </c>
      <c r="M1630" s="9">
        <v>671.98</v>
      </c>
    </row>
    <row r="1631" spans="1:13" x14ac:dyDescent="0.35">
      <c r="A1631" s="9">
        <v>4035</v>
      </c>
      <c r="B1631" s="9" t="s">
        <v>28</v>
      </c>
      <c r="C1631" s="9" t="s">
        <v>18</v>
      </c>
      <c r="D1631" s="9" t="s">
        <v>38</v>
      </c>
      <c r="E1631" s="9" t="s">
        <v>60</v>
      </c>
      <c r="F1631" s="9">
        <v>0</v>
      </c>
      <c r="G1631" s="9">
        <v>0</v>
      </c>
      <c r="H1631" s="9">
        <v>0.87</v>
      </c>
      <c r="I1631" s="9">
        <v>0</v>
      </c>
      <c r="J1631" s="10">
        <v>45668</v>
      </c>
      <c r="K1631" s="9" t="s">
        <v>44</v>
      </c>
      <c r="L1631" s="9" t="s">
        <v>29</v>
      </c>
      <c r="M1631" s="9">
        <v>2738.44</v>
      </c>
    </row>
    <row r="1632" spans="1:13" x14ac:dyDescent="0.35">
      <c r="A1632" s="9">
        <v>4036</v>
      </c>
      <c r="B1632" s="9" t="s">
        <v>31</v>
      </c>
      <c r="C1632" s="9" t="s">
        <v>19</v>
      </c>
      <c r="D1632" s="9" t="s">
        <v>63</v>
      </c>
      <c r="E1632" s="9" t="s">
        <v>59</v>
      </c>
      <c r="F1632" s="9">
        <v>-1</v>
      </c>
      <c r="G1632" s="9">
        <v>0</v>
      </c>
      <c r="H1632" s="9">
        <v>7.0000000000000007E-2</v>
      </c>
      <c r="I1632" s="9">
        <v>0</v>
      </c>
      <c r="J1632" s="10">
        <v>45668</v>
      </c>
      <c r="K1632" s="9" t="s">
        <v>45</v>
      </c>
      <c r="L1632" s="9" t="s">
        <v>26</v>
      </c>
      <c r="M1632" s="9">
        <v>2718.34</v>
      </c>
    </row>
    <row r="1633" spans="1:13" x14ac:dyDescent="0.35">
      <c r="A1633" s="9">
        <v>4037</v>
      </c>
      <c r="B1633" s="9" t="s">
        <v>28</v>
      </c>
      <c r="C1633" s="9" t="s">
        <v>22</v>
      </c>
      <c r="D1633" s="9" t="s">
        <v>30</v>
      </c>
      <c r="E1633" s="9" t="s">
        <v>62</v>
      </c>
      <c r="F1633" s="9">
        <v>0</v>
      </c>
      <c r="G1633" s="9">
        <v>0</v>
      </c>
      <c r="H1633" s="9">
        <v>0.74</v>
      </c>
      <c r="I1633" s="9">
        <v>0</v>
      </c>
      <c r="J1633" s="10">
        <v>45146</v>
      </c>
      <c r="K1633" s="9" t="s">
        <v>44</v>
      </c>
      <c r="L1633" s="9" t="s">
        <v>29</v>
      </c>
      <c r="M1633" s="9">
        <v>776.81</v>
      </c>
    </row>
    <row r="1634" spans="1:13" x14ac:dyDescent="0.35">
      <c r="A1634" s="9">
        <v>4039</v>
      </c>
      <c r="B1634" s="9" t="s">
        <v>28</v>
      </c>
      <c r="C1634" s="9" t="s">
        <v>21</v>
      </c>
      <c r="D1634" s="9" t="s">
        <v>40</v>
      </c>
      <c r="E1634" s="9" t="s">
        <v>60</v>
      </c>
      <c r="F1634" s="9">
        <v>0</v>
      </c>
      <c r="G1634" s="9">
        <v>5103.01</v>
      </c>
      <c r="H1634" s="9">
        <v>0</v>
      </c>
      <c r="I1634" s="9">
        <v>0</v>
      </c>
      <c r="J1634" s="10">
        <v>45632</v>
      </c>
      <c r="K1634" s="9" t="s">
        <v>45</v>
      </c>
      <c r="L1634" s="9" t="s">
        <v>29</v>
      </c>
      <c r="M1634" s="9">
        <v>-134.82</v>
      </c>
    </row>
    <row r="1635" spans="1:13" x14ac:dyDescent="0.35">
      <c r="A1635" s="9">
        <v>2041</v>
      </c>
      <c r="B1635" s="9" t="s">
        <v>31</v>
      </c>
      <c r="C1635" s="9" t="s">
        <v>18</v>
      </c>
      <c r="D1635" s="9" t="s">
        <v>41</v>
      </c>
      <c r="E1635" s="9" t="s">
        <v>59</v>
      </c>
      <c r="F1635" s="9">
        <v>0</v>
      </c>
      <c r="G1635" s="9">
        <v>0</v>
      </c>
      <c r="H1635" s="9">
        <v>0.35</v>
      </c>
      <c r="I1635" s="9">
        <v>0</v>
      </c>
      <c r="J1635" s="10">
        <v>45843</v>
      </c>
      <c r="K1635" s="9" t="s">
        <v>45</v>
      </c>
      <c r="L1635" s="9" t="s">
        <v>32</v>
      </c>
      <c r="M1635" s="9">
        <v>1727.5</v>
      </c>
    </row>
    <row r="1636" spans="1:13" x14ac:dyDescent="0.35">
      <c r="A1636" s="9">
        <v>4042</v>
      </c>
      <c r="B1636" s="9" t="s">
        <v>34</v>
      </c>
      <c r="C1636" s="9" t="s">
        <v>21</v>
      </c>
      <c r="D1636" s="9" t="s">
        <v>40</v>
      </c>
      <c r="E1636" s="9" t="s">
        <v>59</v>
      </c>
      <c r="F1636" s="9">
        <v>0</v>
      </c>
      <c r="G1636" s="9">
        <v>2566.15</v>
      </c>
      <c r="H1636" s="9">
        <v>0</v>
      </c>
      <c r="I1636" s="9">
        <v>0</v>
      </c>
      <c r="J1636" s="10">
        <v>45843</v>
      </c>
      <c r="K1636" s="9" t="s">
        <v>45</v>
      </c>
      <c r="L1636" s="9" t="s">
        <v>32</v>
      </c>
      <c r="M1636" s="9">
        <v>-198.88</v>
      </c>
    </row>
    <row r="1637" spans="1:13" x14ac:dyDescent="0.35">
      <c r="A1637" s="9">
        <v>2003</v>
      </c>
      <c r="B1637" s="9" t="s">
        <v>28</v>
      </c>
      <c r="C1637" s="9" t="s">
        <v>19</v>
      </c>
      <c r="D1637" s="9" t="s">
        <v>39</v>
      </c>
      <c r="E1637" s="9" t="s">
        <v>60</v>
      </c>
      <c r="F1637" s="9">
        <v>0</v>
      </c>
      <c r="G1637" s="9">
        <v>0</v>
      </c>
      <c r="H1637" s="9">
        <v>0.56000000000000005</v>
      </c>
      <c r="I1637" s="9">
        <v>0</v>
      </c>
      <c r="J1637" s="10">
        <v>45507</v>
      </c>
      <c r="K1637" s="9" t="s">
        <v>45</v>
      </c>
      <c r="L1637" s="9" t="s">
        <v>27</v>
      </c>
      <c r="M1637" s="9">
        <v>2353.41</v>
      </c>
    </row>
    <row r="1638" spans="1:13" x14ac:dyDescent="0.35">
      <c r="A1638" s="9">
        <v>4046</v>
      </c>
      <c r="B1638" s="9" t="s">
        <v>28</v>
      </c>
      <c r="C1638" s="9" t="s">
        <v>20</v>
      </c>
      <c r="D1638" s="9" t="s">
        <v>61</v>
      </c>
      <c r="E1638" s="9" t="s">
        <v>60</v>
      </c>
      <c r="F1638" s="9">
        <v>0</v>
      </c>
      <c r="G1638" s="9">
        <v>5140.99</v>
      </c>
      <c r="H1638" s="9">
        <v>0</v>
      </c>
      <c r="I1638" s="9">
        <v>0</v>
      </c>
      <c r="J1638" s="10">
        <v>45708</v>
      </c>
      <c r="K1638" s="9" t="s">
        <v>45</v>
      </c>
      <c r="L1638" s="9" t="s">
        <v>35</v>
      </c>
      <c r="M1638" s="9">
        <v>999.97</v>
      </c>
    </row>
    <row r="1639" spans="1:13" x14ac:dyDescent="0.35">
      <c r="A1639" s="9">
        <v>4047</v>
      </c>
      <c r="B1639" s="9" t="s">
        <v>31</v>
      </c>
      <c r="C1639" s="9" t="s">
        <v>20</v>
      </c>
      <c r="D1639" s="9" t="s">
        <v>43</v>
      </c>
      <c r="E1639" s="9" t="s">
        <v>59</v>
      </c>
      <c r="F1639" s="9">
        <v>2</v>
      </c>
      <c r="G1639" s="9">
        <v>0</v>
      </c>
      <c r="H1639" s="9">
        <v>0</v>
      </c>
      <c r="I1639" s="9">
        <v>0</v>
      </c>
      <c r="J1639" s="10">
        <v>45708</v>
      </c>
      <c r="K1639" s="9" t="s">
        <v>44</v>
      </c>
      <c r="L1639" s="9" t="s">
        <v>27</v>
      </c>
      <c r="M1639" s="9">
        <v>56.56</v>
      </c>
    </row>
    <row r="1640" spans="1:13" x14ac:dyDescent="0.35">
      <c r="A1640" s="9">
        <v>4048</v>
      </c>
      <c r="B1640" s="9" t="s">
        <v>31</v>
      </c>
      <c r="C1640" s="9" t="s">
        <v>20</v>
      </c>
      <c r="D1640" s="9" t="s">
        <v>43</v>
      </c>
      <c r="E1640" s="9" t="s">
        <v>59</v>
      </c>
      <c r="F1640" s="9">
        <v>0</v>
      </c>
      <c r="G1640" s="9">
        <v>2342.9299999999998</v>
      </c>
      <c r="H1640" s="9">
        <v>0</v>
      </c>
      <c r="I1640" s="9">
        <v>0</v>
      </c>
      <c r="J1640" s="10">
        <v>45708</v>
      </c>
      <c r="K1640" s="9" t="s">
        <v>44</v>
      </c>
      <c r="L1640" s="9" t="s">
        <v>29</v>
      </c>
      <c r="M1640" s="9">
        <v>2239.79</v>
      </c>
    </row>
    <row r="1641" spans="1:13" x14ac:dyDescent="0.35">
      <c r="A1641" s="9">
        <v>4050</v>
      </c>
      <c r="B1641" s="9" t="s">
        <v>28</v>
      </c>
      <c r="C1641" s="9" t="s">
        <v>20</v>
      </c>
      <c r="D1641" s="9" t="s">
        <v>70</v>
      </c>
      <c r="E1641" s="9" t="s">
        <v>62</v>
      </c>
      <c r="F1641" s="9">
        <v>0</v>
      </c>
      <c r="G1641" s="9">
        <v>3750.77</v>
      </c>
      <c r="H1641" s="9">
        <v>0</v>
      </c>
      <c r="I1641" s="9">
        <v>0</v>
      </c>
      <c r="J1641" s="10">
        <v>45715</v>
      </c>
      <c r="K1641" s="9" t="s">
        <v>45</v>
      </c>
      <c r="L1641" s="9" t="s">
        <v>25</v>
      </c>
      <c r="M1641" s="9">
        <v>-171.08</v>
      </c>
    </row>
    <row r="1642" spans="1:13" x14ac:dyDescent="0.35">
      <c r="A1642" s="9">
        <v>4052</v>
      </c>
      <c r="B1642" s="9" t="s">
        <v>34</v>
      </c>
      <c r="C1642" s="9" t="s">
        <v>18</v>
      </c>
      <c r="D1642" s="9" t="s">
        <v>33</v>
      </c>
      <c r="E1642" s="9" t="s">
        <v>60</v>
      </c>
      <c r="F1642" s="9">
        <v>0</v>
      </c>
      <c r="G1642" s="9">
        <v>6952.66</v>
      </c>
      <c r="H1642" s="9">
        <v>0</v>
      </c>
      <c r="I1642" s="9">
        <v>0</v>
      </c>
      <c r="J1642" s="10">
        <v>45676</v>
      </c>
      <c r="K1642" s="9" t="s">
        <v>45</v>
      </c>
      <c r="L1642" s="9" t="s">
        <v>32</v>
      </c>
      <c r="M1642" s="9">
        <v>1624.3</v>
      </c>
    </row>
    <row r="1643" spans="1:13" x14ac:dyDescent="0.35">
      <c r="A1643" s="9">
        <v>4053</v>
      </c>
      <c r="B1643" s="9" t="s">
        <v>28</v>
      </c>
      <c r="C1643" s="9" t="s">
        <v>19</v>
      </c>
      <c r="D1643" s="9" t="s">
        <v>69</v>
      </c>
      <c r="E1643" s="9" t="s">
        <v>59</v>
      </c>
      <c r="F1643" s="9">
        <v>2</v>
      </c>
      <c r="G1643" s="9">
        <v>0</v>
      </c>
      <c r="H1643" s="9">
        <v>0</v>
      </c>
      <c r="I1643" s="9">
        <v>0</v>
      </c>
      <c r="J1643" s="10">
        <v>45718</v>
      </c>
      <c r="K1643" s="9" t="s">
        <v>44</v>
      </c>
      <c r="L1643" s="9" t="s">
        <v>35</v>
      </c>
      <c r="M1643" s="9">
        <v>21.13</v>
      </c>
    </row>
    <row r="1644" spans="1:13" x14ac:dyDescent="0.35">
      <c r="A1644" s="9">
        <v>4055</v>
      </c>
      <c r="B1644" s="9" t="s">
        <v>34</v>
      </c>
      <c r="C1644" s="9" t="s">
        <v>20</v>
      </c>
      <c r="D1644" s="9" t="s">
        <v>43</v>
      </c>
      <c r="E1644" s="9" t="s">
        <v>60</v>
      </c>
      <c r="F1644" s="9">
        <v>0</v>
      </c>
      <c r="G1644" s="9">
        <v>8333.9500000000007</v>
      </c>
      <c r="H1644" s="9">
        <v>0</v>
      </c>
      <c r="I1644" s="9">
        <v>0</v>
      </c>
      <c r="J1644" s="10">
        <v>45718</v>
      </c>
      <c r="K1644" s="9" t="s">
        <v>45</v>
      </c>
      <c r="L1644" s="9" t="s">
        <v>26</v>
      </c>
      <c r="M1644" s="9">
        <v>3329.27</v>
      </c>
    </row>
    <row r="1645" spans="1:13" x14ac:dyDescent="0.35">
      <c r="A1645" s="9">
        <v>4056</v>
      </c>
      <c r="B1645" s="9" t="s">
        <v>34</v>
      </c>
      <c r="C1645" s="9" t="s">
        <v>20</v>
      </c>
      <c r="D1645" s="9" t="s">
        <v>43</v>
      </c>
      <c r="E1645" s="9" t="s">
        <v>59</v>
      </c>
      <c r="F1645" s="9">
        <v>0</v>
      </c>
      <c r="G1645" s="9">
        <v>0</v>
      </c>
      <c r="H1645" s="9">
        <v>0</v>
      </c>
      <c r="I1645" s="9">
        <v>0</v>
      </c>
      <c r="J1645" s="10">
        <v>45639</v>
      </c>
      <c r="K1645" s="9" t="s">
        <v>44</v>
      </c>
      <c r="L1645" s="9" t="s">
        <v>32</v>
      </c>
      <c r="M1645" s="9">
        <v>3732.77</v>
      </c>
    </row>
    <row r="1646" spans="1:13" x14ac:dyDescent="0.35">
      <c r="A1646" s="9">
        <v>4057</v>
      </c>
      <c r="B1646" s="9" t="s">
        <v>34</v>
      </c>
      <c r="C1646" s="9" t="s">
        <v>22</v>
      </c>
      <c r="D1646" s="9" t="s">
        <v>67</v>
      </c>
      <c r="E1646" s="9" t="s">
        <v>59</v>
      </c>
      <c r="F1646" s="9">
        <v>0</v>
      </c>
      <c r="G1646" s="9">
        <v>0</v>
      </c>
      <c r="H1646" s="9">
        <v>0</v>
      </c>
      <c r="I1646" s="9">
        <v>0</v>
      </c>
      <c r="J1646" s="10">
        <v>45191</v>
      </c>
      <c r="K1646" s="9" t="s">
        <v>44</v>
      </c>
      <c r="L1646" s="9" t="s">
        <v>29</v>
      </c>
      <c r="M1646" s="9">
        <v>2575.38</v>
      </c>
    </row>
    <row r="1647" spans="1:13" x14ac:dyDescent="0.35">
      <c r="A1647" s="9">
        <v>4058</v>
      </c>
      <c r="B1647" s="9" t="s">
        <v>34</v>
      </c>
      <c r="C1647" s="9" t="s">
        <v>22</v>
      </c>
      <c r="D1647" s="9" t="s">
        <v>67</v>
      </c>
      <c r="E1647" s="9" t="s">
        <v>60</v>
      </c>
      <c r="F1647" s="9">
        <v>0</v>
      </c>
      <c r="G1647" s="9">
        <v>0</v>
      </c>
      <c r="H1647" s="9">
        <v>0.34</v>
      </c>
      <c r="I1647" s="9">
        <v>0</v>
      </c>
      <c r="J1647" s="10">
        <v>45609</v>
      </c>
      <c r="K1647" s="9" t="s">
        <v>45</v>
      </c>
      <c r="L1647" s="9" t="s">
        <v>29</v>
      </c>
      <c r="M1647" s="9">
        <v>153.9</v>
      </c>
    </row>
    <row r="1648" spans="1:13" x14ac:dyDescent="0.35">
      <c r="A1648" s="9">
        <v>4059</v>
      </c>
      <c r="B1648" s="9" t="s">
        <v>34</v>
      </c>
      <c r="C1648" s="9" t="s">
        <v>22</v>
      </c>
      <c r="D1648" s="9" t="s">
        <v>65</v>
      </c>
      <c r="E1648" s="9" t="s">
        <v>60</v>
      </c>
      <c r="F1648" s="9">
        <v>1</v>
      </c>
      <c r="G1648" s="9">
        <v>9700.41</v>
      </c>
      <c r="H1648" s="9">
        <v>1.24</v>
      </c>
      <c r="I1648" s="9">
        <v>-2328.1</v>
      </c>
      <c r="J1648" s="10">
        <v>45691</v>
      </c>
      <c r="K1648" s="9" t="s">
        <v>44</v>
      </c>
      <c r="L1648" s="9" t="s">
        <v>29</v>
      </c>
      <c r="M1648" s="9">
        <v>1000.57</v>
      </c>
    </row>
    <row r="1649" spans="1:13" x14ac:dyDescent="0.35">
      <c r="A1649" s="9">
        <v>4060</v>
      </c>
      <c r="B1649" s="9" t="s">
        <v>28</v>
      </c>
      <c r="C1649" s="9" t="s">
        <v>19</v>
      </c>
      <c r="D1649" s="9" t="s">
        <v>42</v>
      </c>
      <c r="E1649" s="9" t="s">
        <v>60</v>
      </c>
      <c r="F1649" s="9">
        <v>-1</v>
      </c>
      <c r="G1649" s="9">
        <v>8655.4599999999991</v>
      </c>
      <c r="H1649" s="9">
        <v>0.9</v>
      </c>
      <c r="I1649" s="9">
        <v>-865.55</v>
      </c>
      <c r="J1649" s="10">
        <v>45524</v>
      </c>
      <c r="K1649" s="9" t="s">
        <v>45</v>
      </c>
      <c r="L1649" s="9" t="s">
        <v>35</v>
      </c>
      <c r="M1649" s="9">
        <v>3159.11</v>
      </c>
    </row>
    <row r="1650" spans="1:13" x14ac:dyDescent="0.35">
      <c r="A1650" s="9">
        <v>4061</v>
      </c>
      <c r="B1650" s="9" t="s">
        <v>31</v>
      </c>
      <c r="C1650" s="9" t="s">
        <v>22</v>
      </c>
      <c r="D1650" s="9" t="s">
        <v>65</v>
      </c>
      <c r="E1650" s="9" t="s">
        <v>62</v>
      </c>
      <c r="F1650" s="9">
        <v>0</v>
      </c>
      <c r="G1650" s="9">
        <v>0</v>
      </c>
      <c r="H1650" s="9">
        <v>0</v>
      </c>
      <c r="I1650" s="9">
        <v>0</v>
      </c>
      <c r="J1650" s="10">
        <v>45524</v>
      </c>
      <c r="K1650" s="9" t="s">
        <v>44</v>
      </c>
      <c r="L1650" s="9" t="s">
        <v>26</v>
      </c>
      <c r="M1650" s="9">
        <v>2599.62</v>
      </c>
    </row>
    <row r="1651" spans="1:13" x14ac:dyDescent="0.35">
      <c r="A1651" s="9">
        <v>4062</v>
      </c>
      <c r="B1651" s="9" t="s">
        <v>31</v>
      </c>
      <c r="C1651" s="9" t="s">
        <v>22</v>
      </c>
      <c r="D1651" s="9" t="s">
        <v>68</v>
      </c>
      <c r="E1651" s="9" t="s">
        <v>59</v>
      </c>
      <c r="F1651" s="9">
        <v>0</v>
      </c>
      <c r="G1651" s="9">
        <v>0</v>
      </c>
      <c r="H1651" s="9">
        <v>0.48</v>
      </c>
      <c r="I1651" s="9">
        <v>0</v>
      </c>
      <c r="J1651" s="10">
        <v>45794</v>
      </c>
      <c r="K1651" s="9" t="s">
        <v>45</v>
      </c>
      <c r="L1651" s="9" t="s">
        <v>26</v>
      </c>
      <c r="M1651" s="9">
        <v>505.51</v>
      </c>
    </row>
    <row r="1652" spans="1:13" x14ac:dyDescent="0.35">
      <c r="A1652" s="9">
        <v>4063</v>
      </c>
      <c r="B1652" s="9" t="s">
        <v>34</v>
      </c>
      <c r="C1652" s="9" t="s">
        <v>21</v>
      </c>
      <c r="D1652" s="9" t="s">
        <v>40</v>
      </c>
      <c r="E1652" s="9" t="s">
        <v>60</v>
      </c>
      <c r="F1652" s="9">
        <v>0</v>
      </c>
      <c r="G1652" s="9">
        <v>0</v>
      </c>
      <c r="H1652" s="9">
        <v>0.38</v>
      </c>
      <c r="I1652" s="9">
        <v>0</v>
      </c>
      <c r="J1652" s="10">
        <v>45794</v>
      </c>
      <c r="K1652" s="9" t="s">
        <v>45</v>
      </c>
      <c r="L1652" s="9" t="s">
        <v>26</v>
      </c>
      <c r="M1652" s="9">
        <v>-617.86</v>
      </c>
    </row>
    <row r="1653" spans="1:13" x14ac:dyDescent="0.35">
      <c r="A1653" s="9">
        <v>4064</v>
      </c>
      <c r="B1653" s="9" t="s">
        <v>31</v>
      </c>
      <c r="C1653" s="9" t="s">
        <v>22</v>
      </c>
      <c r="D1653" s="9" t="s">
        <v>65</v>
      </c>
      <c r="E1653" s="9" t="s">
        <v>60</v>
      </c>
      <c r="F1653" s="9">
        <v>4</v>
      </c>
      <c r="G1653" s="9">
        <v>0</v>
      </c>
      <c r="H1653" s="9">
        <v>0.38</v>
      </c>
      <c r="I1653" s="9">
        <v>0</v>
      </c>
      <c r="J1653" s="10">
        <v>45559</v>
      </c>
      <c r="K1653" s="9" t="s">
        <v>44</v>
      </c>
      <c r="L1653" s="9" t="s">
        <v>32</v>
      </c>
      <c r="M1653" s="9">
        <v>587.63</v>
      </c>
    </row>
    <row r="1654" spans="1:13" x14ac:dyDescent="0.35">
      <c r="A1654" s="9">
        <v>4065</v>
      </c>
      <c r="B1654" s="9" t="s">
        <v>28</v>
      </c>
      <c r="C1654" s="9" t="s">
        <v>22</v>
      </c>
      <c r="D1654" s="9" t="s">
        <v>30</v>
      </c>
      <c r="E1654" s="9" t="s">
        <v>62</v>
      </c>
      <c r="F1654" s="9">
        <v>0</v>
      </c>
      <c r="G1654" s="9">
        <v>7881.81</v>
      </c>
      <c r="H1654" s="9">
        <v>0</v>
      </c>
      <c r="I1654" s="9">
        <v>0</v>
      </c>
      <c r="J1654" s="10">
        <v>45634</v>
      </c>
      <c r="K1654" s="9" t="s">
        <v>45</v>
      </c>
      <c r="L1654" s="9" t="s">
        <v>35</v>
      </c>
      <c r="M1654" s="9">
        <v>1067.5899999999999</v>
      </c>
    </row>
    <row r="1655" spans="1:13" x14ac:dyDescent="0.35">
      <c r="A1655" s="9">
        <v>4066</v>
      </c>
      <c r="B1655" s="9" t="s">
        <v>34</v>
      </c>
      <c r="C1655" s="9" t="s">
        <v>20</v>
      </c>
      <c r="D1655" s="9" t="s">
        <v>61</v>
      </c>
      <c r="E1655" s="9" t="s">
        <v>60</v>
      </c>
      <c r="F1655" s="9">
        <v>4</v>
      </c>
      <c r="G1655" s="9">
        <v>6599.26</v>
      </c>
      <c r="H1655" s="9">
        <v>0.85</v>
      </c>
      <c r="I1655" s="9">
        <v>3959.56</v>
      </c>
      <c r="J1655" s="10">
        <v>45837</v>
      </c>
      <c r="K1655" s="9" t="s">
        <v>44</v>
      </c>
      <c r="L1655" s="9" t="s">
        <v>25</v>
      </c>
      <c r="M1655" s="9">
        <v>3344.47</v>
      </c>
    </row>
    <row r="1656" spans="1:13" x14ac:dyDescent="0.35">
      <c r="A1656" s="9">
        <v>4067</v>
      </c>
      <c r="B1656" s="9" t="s">
        <v>31</v>
      </c>
      <c r="C1656" s="9" t="s">
        <v>19</v>
      </c>
      <c r="D1656" s="9" t="s">
        <v>63</v>
      </c>
      <c r="E1656" s="9" t="s">
        <v>59</v>
      </c>
      <c r="F1656" s="9">
        <v>4</v>
      </c>
      <c r="G1656" s="9">
        <v>7408.31</v>
      </c>
      <c r="H1656" s="9">
        <v>0</v>
      </c>
      <c r="I1656" s="9">
        <v>0</v>
      </c>
      <c r="J1656" s="10">
        <v>45794</v>
      </c>
      <c r="K1656" s="9" t="s">
        <v>45</v>
      </c>
      <c r="L1656" s="9" t="s">
        <v>25</v>
      </c>
      <c r="M1656" s="9">
        <v>1974.4</v>
      </c>
    </row>
    <row r="1657" spans="1:13" x14ac:dyDescent="0.35">
      <c r="A1657" s="9">
        <v>4068</v>
      </c>
      <c r="B1657" s="9" t="s">
        <v>31</v>
      </c>
      <c r="C1657" s="9" t="s">
        <v>19</v>
      </c>
      <c r="D1657" s="9" t="s">
        <v>42</v>
      </c>
      <c r="E1657" s="9" t="s">
        <v>59</v>
      </c>
      <c r="F1657" s="9">
        <v>-1</v>
      </c>
      <c r="G1657" s="9">
        <v>0</v>
      </c>
      <c r="H1657" s="9">
        <v>0</v>
      </c>
      <c r="I1657" s="9">
        <v>0</v>
      </c>
      <c r="J1657" s="10">
        <v>45794</v>
      </c>
      <c r="K1657" s="9" t="s">
        <v>45</v>
      </c>
      <c r="L1657" s="9" t="s">
        <v>35</v>
      </c>
      <c r="M1657" s="9">
        <v>1280.5899999999999</v>
      </c>
    </row>
    <row r="1658" spans="1:13" x14ac:dyDescent="0.35">
      <c r="A1658" s="9">
        <v>2030</v>
      </c>
      <c r="B1658" s="9" t="s">
        <v>28</v>
      </c>
      <c r="C1658" s="9" t="s">
        <v>19</v>
      </c>
      <c r="D1658" s="9" t="s">
        <v>39</v>
      </c>
      <c r="E1658" s="9" t="s">
        <v>60</v>
      </c>
      <c r="F1658" s="9">
        <v>0</v>
      </c>
      <c r="G1658" s="9">
        <v>9804.64</v>
      </c>
      <c r="H1658" s="9">
        <v>0.71</v>
      </c>
      <c r="I1658" s="9">
        <v>0</v>
      </c>
      <c r="J1658" s="10">
        <v>45696</v>
      </c>
      <c r="K1658" s="9" t="s">
        <v>45</v>
      </c>
      <c r="L1658" s="9" t="s">
        <v>25</v>
      </c>
      <c r="M1658" s="9">
        <v>635.57000000000005</v>
      </c>
    </row>
    <row r="1659" spans="1:13" x14ac:dyDescent="0.35">
      <c r="A1659" s="9">
        <v>4070</v>
      </c>
      <c r="B1659" s="9" t="s">
        <v>34</v>
      </c>
      <c r="C1659" s="9" t="s">
        <v>22</v>
      </c>
      <c r="D1659" s="9" t="s">
        <v>65</v>
      </c>
      <c r="E1659" s="9" t="s">
        <v>60</v>
      </c>
      <c r="F1659" s="9">
        <v>0</v>
      </c>
      <c r="G1659" s="9">
        <v>6966.16</v>
      </c>
      <c r="H1659" s="9">
        <v>0.24</v>
      </c>
      <c r="I1659" s="9">
        <v>0</v>
      </c>
      <c r="J1659" s="10">
        <v>45588</v>
      </c>
      <c r="K1659" s="9" t="s">
        <v>44</v>
      </c>
      <c r="L1659" s="9" t="s">
        <v>35</v>
      </c>
      <c r="M1659" s="9">
        <v>2671.6</v>
      </c>
    </row>
    <row r="1660" spans="1:13" x14ac:dyDescent="0.35">
      <c r="A1660" s="9">
        <v>4073</v>
      </c>
      <c r="B1660" s="9" t="s">
        <v>34</v>
      </c>
      <c r="C1660" s="9" t="s">
        <v>18</v>
      </c>
      <c r="D1660" s="9" t="s">
        <v>33</v>
      </c>
      <c r="E1660" s="9" t="s">
        <v>59</v>
      </c>
      <c r="F1660" s="9">
        <v>2</v>
      </c>
      <c r="G1660" s="9">
        <v>5732.59</v>
      </c>
      <c r="H1660" s="9">
        <v>0</v>
      </c>
      <c r="I1660" s="9">
        <v>0</v>
      </c>
      <c r="J1660" s="10">
        <v>45626</v>
      </c>
      <c r="K1660" s="9" t="s">
        <v>45</v>
      </c>
      <c r="L1660" s="9" t="s">
        <v>27</v>
      </c>
      <c r="M1660" s="9">
        <v>3353.3</v>
      </c>
    </row>
    <row r="1661" spans="1:13" x14ac:dyDescent="0.35">
      <c r="A1661" s="9">
        <v>4074</v>
      </c>
      <c r="B1661" s="9" t="s">
        <v>34</v>
      </c>
      <c r="C1661" s="9" t="s">
        <v>22</v>
      </c>
      <c r="D1661" s="9" t="s">
        <v>30</v>
      </c>
      <c r="E1661" s="9" t="s">
        <v>60</v>
      </c>
      <c r="F1661" s="9">
        <v>0</v>
      </c>
      <c r="G1661" s="9">
        <v>8673.7800000000007</v>
      </c>
      <c r="H1661" s="9">
        <v>0</v>
      </c>
      <c r="I1661" s="9">
        <v>0</v>
      </c>
      <c r="J1661" s="10">
        <v>45379</v>
      </c>
      <c r="K1661" s="9" t="s">
        <v>44</v>
      </c>
      <c r="L1661" s="9" t="s">
        <v>26</v>
      </c>
      <c r="M1661" s="9">
        <v>-286</v>
      </c>
    </row>
    <row r="1662" spans="1:13" x14ac:dyDescent="0.35">
      <c r="A1662" s="9">
        <v>4075</v>
      </c>
      <c r="B1662" s="9" t="s">
        <v>34</v>
      </c>
      <c r="C1662" s="9" t="s">
        <v>20</v>
      </c>
      <c r="D1662" s="9" t="s">
        <v>66</v>
      </c>
      <c r="E1662" s="9" t="s">
        <v>62</v>
      </c>
      <c r="F1662" s="9">
        <v>-1</v>
      </c>
      <c r="G1662" s="9">
        <v>0</v>
      </c>
      <c r="H1662" s="9">
        <v>0</v>
      </c>
      <c r="I1662" s="9">
        <v>0</v>
      </c>
      <c r="J1662" s="10">
        <v>45807</v>
      </c>
      <c r="K1662" s="9" t="s">
        <v>45</v>
      </c>
      <c r="L1662" s="9" t="s">
        <v>29</v>
      </c>
      <c r="M1662" s="9">
        <v>2484</v>
      </c>
    </row>
    <row r="1663" spans="1:13" x14ac:dyDescent="0.35">
      <c r="A1663" s="9">
        <v>4078</v>
      </c>
      <c r="B1663" s="9" t="s">
        <v>28</v>
      </c>
      <c r="C1663" s="9" t="s">
        <v>21</v>
      </c>
      <c r="D1663" s="9" t="s">
        <v>40</v>
      </c>
      <c r="E1663" s="9" t="s">
        <v>59</v>
      </c>
      <c r="F1663" s="9">
        <v>0</v>
      </c>
      <c r="G1663" s="9">
        <v>0</v>
      </c>
      <c r="H1663" s="9">
        <v>0.56000000000000005</v>
      </c>
      <c r="I1663" s="9">
        <v>0</v>
      </c>
      <c r="J1663" s="10">
        <v>45658</v>
      </c>
      <c r="K1663" s="9" t="s">
        <v>45</v>
      </c>
      <c r="L1663" s="9" t="s">
        <v>26</v>
      </c>
      <c r="M1663" s="9">
        <v>2742.28</v>
      </c>
    </row>
    <row r="1664" spans="1:13" x14ac:dyDescent="0.35">
      <c r="A1664" s="9">
        <v>4079</v>
      </c>
      <c r="B1664" s="9" t="s">
        <v>34</v>
      </c>
      <c r="C1664" s="9" t="s">
        <v>21</v>
      </c>
      <c r="D1664" s="9" t="s">
        <v>64</v>
      </c>
      <c r="E1664" s="9" t="s">
        <v>62</v>
      </c>
      <c r="F1664" s="9">
        <v>0</v>
      </c>
      <c r="G1664" s="9">
        <v>0</v>
      </c>
      <c r="H1664" s="9">
        <v>1.03</v>
      </c>
      <c r="I1664" s="9">
        <v>0</v>
      </c>
      <c r="J1664" s="10">
        <v>45617</v>
      </c>
      <c r="K1664" s="9" t="s">
        <v>44</v>
      </c>
      <c r="L1664" s="9" t="s">
        <v>29</v>
      </c>
      <c r="M1664" s="9">
        <v>2083.6</v>
      </c>
    </row>
    <row r="1665" spans="1:13" x14ac:dyDescent="0.35">
      <c r="A1665" s="9">
        <v>4081</v>
      </c>
      <c r="B1665" s="9" t="s">
        <v>31</v>
      </c>
      <c r="C1665" s="9" t="s">
        <v>21</v>
      </c>
      <c r="D1665" s="9" t="s">
        <v>64</v>
      </c>
      <c r="E1665" s="9" t="s">
        <v>62</v>
      </c>
      <c r="F1665" s="9">
        <v>0</v>
      </c>
      <c r="G1665" s="9">
        <v>4902.1899999999996</v>
      </c>
      <c r="H1665" s="9">
        <v>0.25</v>
      </c>
      <c r="I1665" s="9">
        <v>0</v>
      </c>
      <c r="J1665" s="10">
        <v>45617</v>
      </c>
      <c r="K1665" s="9" t="s">
        <v>44</v>
      </c>
      <c r="L1665" s="9" t="s">
        <v>25</v>
      </c>
      <c r="M1665" s="9">
        <v>608.65</v>
      </c>
    </row>
    <row r="1666" spans="1:13" x14ac:dyDescent="0.35">
      <c r="A1666" s="9">
        <v>4082</v>
      </c>
      <c r="B1666" s="9" t="s">
        <v>34</v>
      </c>
      <c r="C1666" s="9" t="s">
        <v>19</v>
      </c>
      <c r="D1666" s="9" t="s">
        <v>63</v>
      </c>
      <c r="E1666" s="9" t="s">
        <v>59</v>
      </c>
      <c r="F1666" s="9">
        <v>0</v>
      </c>
      <c r="G1666" s="9">
        <v>8233.64</v>
      </c>
      <c r="H1666" s="9">
        <v>0</v>
      </c>
      <c r="I1666" s="9">
        <v>0</v>
      </c>
      <c r="J1666" s="10">
        <v>45754</v>
      </c>
      <c r="K1666" s="9" t="s">
        <v>44</v>
      </c>
      <c r="L1666" s="9" t="s">
        <v>25</v>
      </c>
      <c r="M1666" s="9">
        <v>3007.26</v>
      </c>
    </row>
    <row r="1667" spans="1:13" x14ac:dyDescent="0.35">
      <c r="A1667" s="9">
        <v>4083</v>
      </c>
      <c r="B1667" s="9" t="s">
        <v>31</v>
      </c>
      <c r="C1667" s="9" t="s">
        <v>18</v>
      </c>
      <c r="D1667" s="9" t="s">
        <v>33</v>
      </c>
      <c r="E1667" s="9" t="s">
        <v>60</v>
      </c>
      <c r="F1667" s="9">
        <v>0</v>
      </c>
      <c r="G1667" s="9">
        <v>8711.81</v>
      </c>
      <c r="H1667" s="9">
        <v>0</v>
      </c>
      <c r="I1667" s="9">
        <v>0</v>
      </c>
      <c r="J1667" s="10">
        <v>45745</v>
      </c>
      <c r="K1667" s="9" t="s">
        <v>45</v>
      </c>
      <c r="L1667" s="9" t="s">
        <v>25</v>
      </c>
      <c r="M1667" s="9">
        <v>-773.05</v>
      </c>
    </row>
    <row r="1668" spans="1:13" x14ac:dyDescent="0.35">
      <c r="A1668" s="9">
        <v>4084</v>
      </c>
      <c r="B1668" s="9" t="s">
        <v>34</v>
      </c>
      <c r="C1668" s="9" t="s">
        <v>20</v>
      </c>
      <c r="D1668" s="9" t="s">
        <v>43</v>
      </c>
      <c r="E1668" s="9" t="s">
        <v>59</v>
      </c>
      <c r="F1668" s="9">
        <v>-1</v>
      </c>
      <c r="G1668" s="9">
        <v>2108.04</v>
      </c>
      <c r="H1668" s="9">
        <v>0</v>
      </c>
      <c r="I1668" s="9">
        <v>0</v>
      </c>
      <c r="J1668" s="10">
        <v>45745</v>
      </c>
      <c r="K1668" s="9" t="s">
        <v>44</v>
      </c>
      <c r="L1668" s="9" t="s">
        <v>27</v>
      </c>
      <c r="M1668" s="9">
        <v>-1087.3399999999999</v>
      </c>
    </row>
    <row r="1669" spans="1:13" x14ac:dyDescent="0.35">
      <c r="A1669" s="9">
        <v>4085</v>
      </c>
      <c r="B1669" s="9" t="s">
        <v>31</v>
      </c>
      <c r="C1669" s="9" t="s">
        <v>21</v>
      </c>
      <c r="D1669" s="9" t="s">
        <v>71</v>
      </c>
      <c r="E1669" s="9" t="s">
        <v>60</v>
      </c>
      <c r="F1669" s="9">
        <v>4</v>
      </c>
      <c r="G1669" s="9">
        <v>0</v>
      </c>
      <c r="H1669" s="9">
        <v>1.19</v>
      </c>
      <c r="I1669" s="9">
        <v>0</v>
      </c>
      <c r="J1669" s="10">
        <v>45678</v>
      </c>
      <c r="K1669" s="9" t="s">
        <v>45</v>
      </c>
      <c r="L1669" s="9" t="s">
        <v>25</v>
      </c>
      <c r="M1669" s="9">
        <v>1897.69</v>
      </c>
    </row>
    <row r="1670" spans="1:13" x14ac:dyDescent="0.35">
      <c r="A1670" s="9">
        <v>4086</v>
      </c>
      <c r="B1670" s="9" t="s">
        <v>28</v>
      </c>
      <c r="C1670" s="9" t="s">
        <v>20</v>
      </c>
      <c r="D1670" s="9" t="s">
        <v>43</v>
      </c>
      <c r="E1670" s="9" t="s">
        <v>62</v>
      </c>
      <c r="F1670" s="9">
        <v>3</v>
      </c>
      <c r="G1670" s="9">
        <v>4537.0200000000004</v>
      </c>
      <c r="H1670" s="9">
        <v>0</v>
      </c>
      <c r="I1670" s="9">
        <v>0</v>
      </c>
      <c r="J1670" s="10">
        <v>45750</v>
      </c>
      <c r="K1670" s="9" t="s">
        <v>45</v>
      </c>
      <c r="L1670" s="9" t="s">
        <v>35</v>
      </c>
      <c r="M1670" s="9">
        <v>-195</v>
      </c>
    </row>
    <row r="1671" spans="1:13" x14ac:dyDescent="0.35">
      <c r="A1671" s="9">
        <v>4088</v>
      </c>
      <c r="B1671" s="9" t="s">
        <v>31</v>
      </c>
      <c r="C1671" s="9" t="s">
        <v>18</v>
      </c>
      <c r="D1671" s="9" t="s">
        <v>33</v>
      </c>
      <c r="E1671" s="9" t="s">
        <v>59</v>
      </c>
      <c r="F1671" s="9">
        <v>2</v>
      </c>
      <c r="G1671" s="9">
        <v>5649.73</v>
      </c>
      <c r="H1671" s="9">
        <v>0.41</v>
      </c>
      <c r="I1671" s="9">
        <v>6666.68</v>
      </c>
      <c r="J1671" s="10">
        <v>45732</v>
      </c>
      <c r="K1671" s="9" t="s">
        <v>44</v>
      </c>
      <c r="L1671" s="9" t="s">
        <v>26</v>
      </c>
      <c r="M1671" s="9">
        <v>1548.1</v>
      </c>
    </row>
    <row r="1672" spans="1:13" x14ac:dyDescent="0.35">
      <c r="A1672" s="9">
        <v>4090</v>
      </c>
      <c r="B1672" s="9" t="s">
        <v>31</v>
      </c>
      <c r="C1672" s="9" t="s">
        <v>21</v>
      </c>
      <c r="D1672" s="9" t="s">
        <v>40</v>
      </c>
      <c r="E1672" s="9" t="s">
        <v>60</v>
      </c>
      <c r="F1672" s="9">
        <v>0</v>
      </c>
      <c r="G1672" s="9">
        <v>5109.51</v>
      </c>
      <c r="H1672" s="9">
        <v>0</v>
      </c>
      <c r="I1672" s="9">
        <v>0</v>
      </c>
      <c r="J1672" s="10">
        <v>45834</v>
      </c>
      <c r="K1672" s="9" t="s">
        <v>44</v>
      </c>
      <c r="L1672" s="9" t="s">
        <v>29</v>
      </c>
      <c r="M1672" s="9">
        <v>-1164.28</v>
      </c>
    </row>
    <row r="1673" spans="1:13" x14ac:dyDescent="0.35">
      <c r="A1673" s="9">
        <v>4091</v>
      </c>
      <c r="B1673" s="9" t="s">
        <v>34</v>
      </c>
      <c r="C1673" s="9" t="s">
        <v>20</v>
      </c>
      <c r="D1673" s="9" t="s">
        <v>66</v>
      </c>
      <c r="E1673" s="9" t="s">
        <v>60</v>
      </c>
      <c r="F1673" s="9">
        <v>0</v>
      </c>
      <c r="G1673" s="9">
        <v>8331.85</v>
      </c>
      <c r="H1673" s="9">
        <v>0</v>
      </c>
      <c r="I1673" s="9">
        <v>0</v>
      </c>
      <c r="J1673" s="10">
        <v>45834</v>
      </c>
      <c r="K1673" s="9" t="s">
        <v>44</v>
      </c>
      <c r="L1673" s="9" t="s">
        <v>27</v>
      </c>
      <c r="M1673" s="9">
        <v>1061.2</v>
      </c>
    </row>
    <row r="1674" spans="1:13" x14ac:dyDescent="0.35">
      <c r="A1674" s="9">
        <v>4092</v>
      </c>
      <c r="B1674" s="9" t="s">
        <v>28</v>
      </c>
      <c r="C1674" s="9" t="s">
        <v>21</v>
      </c>
      <c r="D1674" s="9" t="s">
        <v>40</v>
      </c>
      <c r="E1674" s="9" t="s">
        <v>62</v>
      </c>
      <c r="F1674" s="9">
        <v>-1</v>
      </c>
      <c r="G1674" s="9">
        <v>9861.7999999999993</v>
      </c>
      <c r="H1674" s="9">
        <v>0</v>
      </c>
      <c r="I1674" s="9">
        <v>0</v>
      </c>
      <c r="J1674" s="10">
        <v>45588</v>
      </c>
      <c r="K1674" s="9" t="s">
        <v>45</v>
      </c>
      <c r="L1674" s="9" t="s">
        <v>29</v>
      </c>
      <c r="M1674" s="9">
        <v>48.02</v>
      </c>
    </row>
    <row r="1675" spans="1:13" x14ac:dyDescent="0.35">
      <c r="A1675" s="9">
        <v>4093</v>
      </c>
      <c r="B1675" s="9" t="s">
        <v>28</v>
      </c>
      <c r="C1675" s="9" t="s">
        <v>21</v>
      </c>
      <c r="D1675" s="9" t="s">
        <v>64</v>
      </c>
      <c r="E1675" s="9" t="s">
        <v>59</v>
      </c>
      <c r="F1675" s="9">
        <v>4</v>
      </c>
      <c r="G1675" s="9">
        <v>8888.58</v>
      </c>
      <c r="H1675" s="9">
        <v>0</v>
      </c>
      <c r="I1675" s="9">
        <v>0</v>
      </c>
      <c r="J1675" s="10">
        <v>45588</v>
      </c>
      <c r="K1675" s="9" t="s">
        <v>44</v>
      </c>
      <c r="L1675" s="9" t="s">
        <v>27</v>
      </c>
      <c r="M1675" s="9">
        <v>2944.03</v>
      </c>
    </row>
    <row r="1676" spans="1:13" x14ac:dyDescent="0.35">
      <c r="A1676" s="9">
        <v>4094</v>
      </c>
      <c r="B1676" s="9" t="s">
        <v>34</v>
      </c>
      <c r="C1676" s="9" t="s">
        <v>19</v>
      </c>
      <c r="D1676" s="9" t="s">
        <v>42</v>
      </c>
      <c r="E1676" s="9" t="s">
        <v>59</v>
      </c>
      <c r="F1676" s="9">
        <v>0</v>
      </c>
      <c r="G1676" s="9">
        <v>4094.79</v>
      </c>
      <c r="H1676" s="9">
        <v>0</v>
      </c>
      <c r="I1676" s="9">
        <v>0</v>
      </c>
      <c r="J1676" s="10">
        <v>45795</v>
      </c>
      <c r="K1676" s="9" t="s">
        <v>45</v>
      </c>
      <c r="L1676" s="9" t="s">
        <v>32</v>
      </c>
      <c r="M1676" s="9">
        <v>2779.39</v>
      </c>
    </row>
    <row r="1677" spans="1:13" x14ac:dyDescent="0.35">
      <c r="A1677" s="9">
        <v>4095</v>
      </c>
      <c r="B1677" s="9" t="s">
        <v>31</v>
      </c>
      <c r="C1677" s="9" t="s">
        <v>20</v>
      </c>
      <c r="D1677" s="9" t="s">
        <v>66</v>
      </c>
      <c r="E1677" s="9" t="s">
        <v>62</v>
      </c>
      <c r="F1677" s="9">
        <v>1</v>
      </c>
      <c r="G1677" s="9">
        <v>7129.09</v>
      </c>
      <c r="H1677" s="9">
        <v>0</v>
      </c>
      <c r="I1677" s="9">
        <v>0</v>
      </c>
      <c r="J1677" s="10">
        <v>45795</v>
      </c>
      <c r="K1677" s="9" t="s">
        <v>45</v>
      </c>
      <c r="L1677" s="9" t="s">
        <v>35</v>
      </c>
      <c r="M1677" s="9">
        <v>1993.16</v>
      </c>
    </row>
    <row r="1678" spans="1:13" x14ac:dyDescent="0.35">
      <c r="A1678" s="9">
        <v>4096</v>
      </c>
      <c r="B1678" s="9" t="s">
        <v>28</v>
      </c>
      <c r="C1678" s="9" t="s">
        <v>19</v>
      </c>
      <c r="D1678" s="9" t="s">
        <v>69</v>
      </c>
      <c r="E1678" s="9" t="s">
        <v>59</v>
      </c>
      <c r="F1678" s="9">
        <v>0</v>
      </c>
      <c r="G1678" s="9">
        <v>0</v>
      </c>
      <c r="H1678" s="9">
        <v>0</v>
      </c>
      <c r="I1678" s="9">
        <v>0</v>
      </c>
      <c r="J1678" s="10">
        <v>45385</v>
      </c>
      <c r="K1678" s="9" t="s">
        <v>45</v>
      </c>
      <c r="L1678" s="9" t="s">
        <v>35</v>
      </c>
      <c r="M1678" s="9">
        <v>3865.04</v>
      </c>
    </row>
    <row r="1679" spans="1:13" x14ac:dyDescent="0.35">
      <c r="A1679" s="9">
        <v>4097</v>
      </c>
      <c r="B1679" s="9" t="s">
        <v>31</v>
      </c>
      <c r="C1679" s="9" t="s">
        <v>22</v>
      </c>
      <c r="D1679" s="9" t="s">
        <v>67</v>
      </c>
      <c r="E1679" s="9" t="s">
        <v>62</v>
      </c>
      <c r="F1679" s="9">
        <v>0</v>
      </c>
      <c r="G1679" s="9">
        <v>3443.1</v>
      </c>
      <c r="H1679" s="9">
        <v>0</v>
      </c>
      <c r="I1679" s="9">
        <v>0</v>
      </c>
      <c r="J1679" s="10">
        <v>45552</v>
      </c>
      <c r="K1679" s="9" t="s">
        <v>44</v>
      </c>
      <c r="L1679" s="9" t="s">
        <v>32</v>
      </c>
      <c r="M1679" s="9">
        <v>1928.88</v>
      </c>
    </row>
    <row r="1680" spans="1:13" x14ac:dyDescent="0.35">
      <c r="A1680" s="9">
        <v>4098</v>
      </c>
      <c r="B1680" s="9" t="s">
        <v>31</v>
      </c>
      <c r="C1680" s="9" t="s">
        <v>21</v>
      </c>
      <c r="D1680" s="9" t="s">
        <v>64</v>
      </c>
      <c r="E1680" s="9" t="s">
        <v>60</v>
      </c>
      <c r="F1680" s="9">
        <v>0</v>
      </c>
      <c r="G1680" s="9">
        <v>0</v>
      </c>
      <c r="H1680" s="9">
        <v>0</v>
      </c>
      <c r="I1680" s="9">
        <v>0</v>
      </c>
      <c r="J1680" s="10">
        <v>45546</v>
      </c>
      <c r="K1680" s="9" t="s">
        <v>44</v>
      </c>
      <c r="L1680" s="9" t="s">
        <v>25</v>
      </c>
      <c r="M1680" s="9">
        <v>2371.4499999999998</v>
      </c>
    </row>
    <row r="1681" spans="1:13" x14ac:dyDescent="0.35">
      <c r="A1681" s="9">
        <v>4100</v>
      </c>
      <c r="B1681" s="9" t="s">
        <v>31</v>
      </c>
      <c r="C1681" s="9" t="s">
        <v>20</v>
      </c>
      <c r="D1681" s="9" t="s">
        <v>70</v>
      </c>
      <c r="E1681" s="9" t="s">
        <v>60</v>
      </c>
      <c r="F1681" s="9">
        <v>0</v>
      </c>
      <c r="G1681" s="9">
        <v>3315.29</v>
      </c>
      <c r="H1681" s="9">
        <v>0</v>
      </c>
      <c r="I1681" s="9">
        <v>0</v>
      </c>
      <c r="J1681" s="10">
        <v>45370</v>
      </c>
      <c r="K1681" s="9" t="s">
        <v>45</v>
      </c>
      <c r="L1681" s="9" t="s">
        <v>29</v>
      </c>
      <c r="M1681" s="9">
        <v>1507.71</v>
      </c>
    </row>
    <row r="1682" spans="1:13" x14ac:dyDescent="0.35">
      <c r="A1682" s="9">
        <v>4103</v>
      </c>
      <c r="B1682" s="9" t="s">
        <v>31</v>
      </c>
      <c r="C1682" s="9" t="s">
        <v>21</v>
      </c>
      <c r="D1682" s="9" t="s">
        <v>64</v>
      </c>
      <c r="E1682" s="9" t="s">
        <v>60</v>
      </c>
      <c r="F1682" s="9">
        <v>0</v>
      </c>
      <c r="G1682" s="9">
        <v>2475.41</v>
      </c>
      <c r="H1682" s="9">
        <v>0</v>
      </c>
      <c r="I1682" s="9">
        <v>0</v>
      </c>
      <c r="J1682" s="10">
        <v>45370</v>
      </c>
      <c r="K1682" s="9" t="s">
        <v>44</v>
      </c>
      <c r="L1682" s="9" t="s">
        <v>32</v>
      </c>
      <c r="M1682" s="9">
        <v>2158.91</v>
      </c>
    </row>
    <row r="1683" spans="1:13" x14ac:dyDescent="0.35">
      <c r="A1683" s="9">
        <v>4104</v>
      </c>
      <c r="B1683" s="9" t="s">
        <v>34</v>
      </c>
      <c r="C1683" s="9" t="s">
        <v>22</v>
      </c>
      <c r="D1683" s="9" t="s">
        <v>68</v>
      </c>
      <c r="E1683" s="9" t="s">
        <v>59</v>
      </c>
      <c r="F1683" s="9">
        <v>2</v>
      </c>
      <c r="G1683" s="9">
        <v>0</v>
      </c>
      <c r="H1683" s="9">
        <v>0</v>
      </c>
      <c r="I1683" s="9">
        <v>0</v>
      </c>
      <c r="J1683" s="10">
        <v>45854</v>
      </c>
      <c r="K1683" s="9" t="s">
        <v>45</v>
      </c>
      <c r="L1683" s="9" t="s">
        <v>25</v>
      </c>
      <c r="M1683" s="9">
        <v>3999.21</v>
      </c>
    </row>
    <row r="1684" spans="1:13" x14ac:dyDescent="0.35">
      <c r="A1684" s="9">
        <v>4105</v>
      </c>
      <c r="B1684" s="9" t="s">
        <v>31</v>
      </c>
      <c r="C1684" s="9" t="s">
        <v>20</v>
      </c>
      <c r="D1684" s="9" t="s">
        <v>70</v>
      </c>
      <c r="E1684" s="9" t="s">
        <v>62</v>
      </c>
      <c r="F1684" s="9">
        <v>0</v>
      </c>
      <c r="G1684" s="9">
        <v>3489.95</v>
      </c>
      <c r="H1684" s="9">
        <v>0</v>
      </c>
      <c r="I1684" s="9">
        <v>0</v>
      </c>
      <c r="J1684" s="10">
        <v>45437</v>
      </c>
      <c r="K1684" s="9" t="s">
        <v>44</v>
      </c>
      <c r="L1684" s="9" t="s">
        <v>25</v>
      </c>
      <c r="M1684" s="9">
        <v>2093.87</v>
      </c>
    </row>
    <row r="1685" spans="1:13" x14ac:dyDescent="0.35">
      <c r="A1685" s="9">
        <v>4107</v>
      </c>
      <c r="B1685" s="9" t="s">
        <v>34</v>
      </c>
      <c r="C1685" s="9" t="s">
        <v>20</v>
      </c>
      <c r="D1685" s="9" t="s">
        <v>61</v>
      </c>
      <c r="E1685" s="9" t="s">
        <v>60</v>
      </c>
      <c r="F1685" s="9">
        <v>2</v>
      </c>
      <c r="G1685" s="9">
        <v>0</v>
      </c>
      <c r="H1685" s="9">
        <v>0</v>
      </c>
      <c r="I1685" s="9">
        <v>0</v>
      </c>
      <c r="J1685" s="10">
        <v>45774</v>
      </c>
      <c r="K1685" s="9" t="s">
        <v>44</v>
      </c>
      <c r="L1685" s="9" t="s">
        <v>32</v>
      </c>
      <c r="M1685" s="9">
        <v>779.19</v>
      </c>
    </row>
    <row r="1686" spans="1:13" x14ac:dyDescent="0.35">
      <c r="A1686" s="9">
        <v>4108</v>
      </c>
      <c r="B1686" s="9" t="s">
        <v>34</v>
      </c>
      <c r="C1686" s="9" t="s">
        <v>20</v>
      </c>
      <c r="D1686" s="9" t="s">
        <v>70</v>
      </c>
      <c r="E1686" s="9" t="s">
        <v>60</v>
      </c>
      <c r="F1686" s="9">
        <v>2</v>
      </c>
      <c r="G1686" s="9">
        <v>2767.55</v>
      </c>
      <c r="H1686" s="9">
        <v>0.19</v>
      </c>
      <c r="I1686" s="9">
        <v>4483.43</v>
      </c>
      <c r="J1686" s="10">
        <v>45255</v>
      </c>
      <c r="K1686" s="9" t="s">
        <v>45</v>
      </c>
      <c r="L1686" s="9" t="s">
        <v>27</v>
      </c>
      <c r="M1686" s="9">
        <v>1059.07</v>
      </c>
    </row>
    <row r="1687" spans="1:13" x14ac:dyDescent="0.35">
      <c r="A1687" s="9">
        <v>4109</v>
      </c>
      <c r="B1687" s="9" t="s">
        <v>34</v>
      </c>
      <c r="C1687" s="9" t="s">
        <v>18</v>
      </c>
      <c r="D1687" s="9" t="s">
        <v>37</v>
      </c>
      <c r="E1687" s="9" t="s">
        <v>59</v>
      </c>
      <c r="F1687" s="9">
        <v>0</v>
      </c>
      <c r="G1687" s="9">
        <v>9731.83</v>
      </c>
      <c r="H1687" s="9">
        <v>0</v>
      </c>
      <c r="I1687" s="9">
        <v>0</v>
      </c>
      <c r="J1687" s="10">
        <v>45625</v>
      </c>
      <c r="K1687" s="9" t="s">
        <v>45</v>
      </c>
      <c r="L1687" s="9" t="s">
        <v>26</v>
      </c>
      <c r="M1687" s="9">
        <v>-675.88</v>
      </c>
    </row>
    <row r="1688" spans="1:13" x14ac:dyDescent="0.35">
      <c r="A1688" s="9">
        <v>4110</v>
      </c>
      <c r="B1688" s="9" t="s">
        <v>31</v>
      </c>
      <c r="C1688" s="9" t="s">
        <v>18</v>
      </c>
      <c r="D1688" s="9" t="s">
        <v>41</v>
      </c>
      <c r="E1688" s="9" t="s">
        <v>59</v>
      </c>
      <c r="F1688" s="9">
        <v>2</v>
      </c>
      <c r="G1688" s="9">
        <v>0</v>
      </c>
      <c r="H1688" s="9">
        <v>0.41</v>
      </c>
      <c r="I1688" s="9">
        <v>0</v>
      </c>
      <c r="J1688" s="10">
        <v>45530</v>
      </c>
      <c r="K1688" s="9" t="s">
        <v>44</v>
      </c>
      <c r="L1688" s="9" t="s">
        <v>32</v>
      </c>
      <c r="M1688" s="9">
        <v>3387.91</v>
      </c>
    </row>
    <row r="1689" spans="1:13" x14ac:dyDescent="0.35">
      <c r="A1689" s="9">
        <v>4111</v>
      </c>
      <c r="B1689" s="9" t="s">
        <v>28</v>
      </c>
      <c r="C1689" s="9" t="s">
        <v>21</v>
      </c>
      <c r="D1689" s="9" t="s">
        <v>64</v>
      </c>
      <c r="E1689" s="9" t="s">
        <v>60</v>
      </c>
      <c r="F1689" s="9">
        <v>-1</v>
      </c>
      <c r="G1689" s="9">
        <v>4934.05</v>
      </c>
      <c r="H1689" s="9">
        <v>0.83</v>
      </c>
      <c r="I1689" s="9">
        <v>-838.79</v>
      </c>
      <c r="J1689" s="10">
        <v>45622</v>
      </c>
      <c r="K1689" s="9" t="s">
        <v>44</v>
      </c>
      <c r="L1689" s="9" t="s">
        <v>25</v>
      </c>
      <c r="M1689" s="9">
        <v>2377.84</v>
      </c>
    </row>
    <row r="1690" spans="1:13" x14ac:dyDescent="0.35">
      <c r="A1690" s="9">
        <v>4112</v>
      </c>
      <c r="B1690" s="9" t="s">
        <v>28</v>
      </c>
      <c r="C1690" s="9" t="s">
        <v>20</v>
      </c>
      <c r="D1690" s="9" t="s">
        <v>61</v>
      </c>
      <c r="E1690" s="9" t="s">
        <v>60</v>
      </c>
      <c r="F1690" s="9">
        <v>-1</v>
      </c>
      <c r="G1690" s="9">
        <v>6254.85</v>
      </c>
      <c r="H1690" s="9">
        <v>0</v>
      </c>
      <c r="I1690" s="9">
        <v>0</v>
      </c>
      <c r="J1690" s="10">
        <v>45769</v>
      </c>
      <c r="K1690" s="9" t="s">
        <v>45</v>
      </c>
      <c r="L1690" s="9" t="s">
        <v>29</v>
      </c>
      <c r="M1690" s="9">
        <v>2093.6799999999998</v>
      </c>
    </row>
    <row r="1691" spans="1:13" x14ac:dyDescent="0.35">
      <c r="A1691" s="9">
        <v>4113</v>
      </c>
      <c r="B1691" s="9" t="s">
        <v>34</v>
      </c>
      <c r="C1691" s="9" t="s">
        <v>22</v>
      </c>
      <c r="D1691" s="9" t="s">
        <v>68</v>
      </c>
      <c r="E1691" s="9" t="s">
        <v>60</v>
      </c>
      <c r="F1691" s="9">
        <v>2</v>
      </c>
      <c r="G1691" s="9">
        <v>6435.66</v>
      </c>
      <c r="H1691" s="9">
        <v>1.05</v>
      </c>
      <c r="I1691" s="9">
        <v>-643.57000000000005</v>
      </c>
      <c r="J1691" s="10">
        <v>45789</v>
      </c>
      <c r="K1691" s="9" t="s">
        <v>45</v>
      </c>
      <c r="L1691" s="9" t="s">
        <v>25</v>
      </c>
      <c r="M1691" s="9">
        <v>3372.49</v>
      </c>
    </row>
    <row r="1692" spans="1:13" x14ac:dyDescent="0.35">
      <c r="A1692" s="9">
        <v>4114</v>
      </c>
      <c r="B1692" s="9" t="s">
        <v>34</v>
      </c>
      <c r="C1692" s="9" t="s">
        <v>18</v>
      </c>
      <c r="D1692" s="9" t="s">
        <v>41</v>
      </c>
      <c r="E1692" s="9" t="s">
        <v>62</v>
      </c>
      <c r="F1692" s="9">
        <v>4</v>
      </c>
      <c r="G1692" s="9">
        <v>4307.83</v>
      </c>
      <c r="H1692" s="9">
        <v>0</v>
      </c>
      <c r="I1692" s="9">
        <v>0</v>
      </c>
      <c r="J1692" s="10">
        <v>45851</v>
      </c>
      <c r="K1692" s="9" t="s">
        <v>44</v>
      </c>
      <c r="L1692" s="9" t="s">
        <v>25</v>
      </c>
      <c r="M1692" s="9">
        <v>-233.59</v>
      </c>
    </row>
    <row r="1693" spans="1:13" x14ac:dyDescent="0.35">
      <c r="A1693" s="9">
        <v>4115</v>
      </c>
      <c r="B1693" s="9" t="s">
        <v>31</v>
      </c>
      <c r="C1693" s="9" t="s">
        <v>22</v>
      </c>
      <c r="D1693" s="9" t="s">
        <v>65</v>
      </c>
      <c r="E1693" s="9" t="s">
        <v>59</v>
      </c>
      <c r="F1693" s="9">
        <v>0</v>
      </c>
      <c r="G1693" s="9">
        <v>4613.79</v>
      </c>
      <c r="H1693" s="9">
        <v>0</v>
      </c>
      <c r="I1693" s="9">
        <v>0</v>
      </c>
      <c r="J1693" s="10">
        <v>45791</v>
      </c>
      <c r="K1693" s="9" t="s">
        <v>44</v>
      </c>
      <c r="L1693" s="9" t="s">
        <v>29</v>
      </c>
      <c r="M1693" s="9">
        <v>-758.5</v>
      </c>
    </row>
    <row r="1694" spans="1:13" x14ac:dyDescent="0.35">
      <c r="A1694" s="9">
        <v>4116</v>
      </c>
      <c r="B1694" s="9" t="s">
        <v>28</v>
      </c>
      <c r="C1694" s="9" t="s">
        <v>21</v>
      </c>
      <c r="D1694" s="9" t="s">
        <v>40</v>
      </c>
      <c r="E1694" s="9" t="s">
        <v>59</v>
      </c>
      <c r="F1694" s="9">
        <v>0</v>
      </c>
      <c r="G1694" s="9">
        <v>3854.22</v>
      </c>
      <c r="H1694" s="9">
        <v>0</v>
      </c>
      <c r="I1694" s="9">
        <v>0</v>
      </c>
      <c r="J1694" s="10">
        <v>45523</v>
      </c>
      <c r="K1694" s="9" t="s">
        <v>45</v>
      </c>
      <c r="L1694" s="9" t="s">
        <v>35</v>
      </c>
      <c r="M1694" s="9">
        <v>-43.41</v>
      </c>
    </row>
    <row r="1695" spans="1:13" x14ac:dyDescent="0.35">
      <c r="A1695" s="9">
        <v>4117</v>
      </c>
      <c r="B1695" s="9" t="s">
        <v>28</v>
      </c>
      <c r="C1695" s="9" t="s">
        <v>22</v>
      </c>
      <c r="D1695" s="9" t="s">
        <v>68</v>
      </c>
      <c r="E1695" s="9" t="s">
        <v>59</v>
      </c>
      <c r="F1695" s="9">
        <v>0</v>
      </c>
      <c r="G1695" s="9">
        <v>9501.67</v>
      </c>
      <c r="H1695" s="9">
        <v>0.51</v>
      </c>
      <c r="I1695" s="9">
        <v>0</v>
      </c>
      <c r="J1695" s="10">
        <v>45568</v>
      </c>
      <c r="K1695" s="9" t="s">
        <v>45</v>
      </c>
      <c r="L1695" s="9" t="s">
        <v>32</v>
      </c>
      <c r="M1695" s="9">
        <v>266.39999999999998</v>
      </c>
    </row>
    <row r="1696" spans="1:13" x14ac:dyDescent="0.35">
      <c r="A1696" s="9">
        <v>4118</v>
      </c>
      <c r="B1696" s="9" t="s">
        <v>34</v>
      </c>
      <c r="C1696" s="9" t="s">
        <v>22</v>
      </c>
      <c r="D1696" s="9" t="s">
        <v>30</v>
      </c>
      <c r="E1696" s="9" t="s">
        <v>62</v>
      </c>
      <c r="F1696" s="9">
        <v>4</v>
      </c>
      <c r="G1696" s="9">
        <v>5355.64</v>
      </c>
      <c r="H1696" s="9">
        <v>0</v>
      </c>
      <c r="I1696" s="9">
        <v>0</v>
      </c>
      <c r="J1696" s="10">
        <v>45798</v>
      </c>
      <c r="K1696" s="9" t="s">
        <v>44</v>
      </c>
      <c r="L1696" s="9" t="s">
        <v>26</v>
      </c>
      <c r="M1696" s="9">
        <v>-538.94000000000005</v>
      </c>
    </row>
    <row r="1697" spans="1:13" x14ac:dyDescent="0.35">
      <c r="A1697" s="9">
        <v>4119</v>
      </c>
      <c r="B1697" s="9" t="s">
        <v>34</v>
      </c>
      <c r="C1697" s="9" t="s">
        <v>18</v>
      </c>
      <c r="D1697" s="9" t="s">
        <v>38</v>
      </c>
      <c r="E1697" s="9" t="s">
        <v>59</v>
      </c>
      <c r="F1697" s="9">
        <v>0</v>
      </c>
      <c r="G1697" s="9">
        <v>8849.6200000000008</v>
      </c>
      <c r="H1697" s="9">
        <v>0.69</v>
      </c>
      <c r="I1697" s="9">
        <v>0</v>
      </c>
      <c r="J1697" s="10">
        <v>45529</v>
      </c>
      <c r="K1697" s="9" t="s">
        <v>45</v>
      </c>
      <c r="L1697" s="9" t="s">
        <v>26</v>
      </c>
      <c r="M1697" s="9">
        <v>1451.15</v>
      </c>
    </row>
    <row r="1698" spans="1:13" x14ac:dyDescent="0.35">
      <c r="A1698" s="9">
        <v>4120</v>
      </c>
      <c r="B1698" s="9" t="s">
        <v>28</v>
      </c>
      <c r="C1698" s="9" t="s">
        <v>22</v>
      </c>
      <c r="D1698" s="9" t="s">
        <v>68</v>
      </c>
      <c r="E1698" s="9" t="s">
        <v>59</v>
      </c>
      <c r="F1698" s="9">
        <v>0</v>
      </c>
      <c r="G1698" s="9">
        <v>0</v>
      </c>
      <c r="H1698" s="9">
        <v>1.23</v>
      </c>
      <c r="I1698" s="9">
        <v>0</v>
      </c>
      <c r="J1698" s="10">
        <v>45529</v>
      </c>
      <c r="K1698" s="9" t="s">
        <v>45</v>
      </c>
      <c r="L1698" s="9" t="s">
        <v>29</v>
      </c>
      <c r="M1698" s="9">
        <v>3175.14</v>
      </c>
    </row>
    <row r="1699" spans="1:13" x14ac:dyDescent="0.35">
      <c r="A1699" s="9">
        <v>4121</v>
      </c>
      <c r="B1699" s="9" t="s">
        <v>34</v>
      </c>
      <c r="C1699" s="9" t="s">
        <v>18</v>
      </c>
      <c r="D1699" s="9" t="s">
        <v>38</v>
      </c>
      <c r="E1699" s="9" t="s">
        <v>59</v>
      </c>
      <c r="F1699" s="9">
        <v>0</v>
      </c>
      <c r="G1699" s="9">
        <v>2763.46</v>
      </c>
      <c r="H1699" s="9">
        <v>1</v>
      </c>
      <c r="I1699" s="9">
        <v>0</v>
      </c>
      <c r="J1699" s="10">
        <v>45603</v>
      </c>
      <c r="K1699" s="9" t="s">
        <v>44</v>
      </c>
      <c r="L1699" s="9" t="s">
        <v>25</v>
      </c>
      <c r="M1699" s="9">
        <v>-399.33</v>
      </c>
    </row>
    <row r="1700" spans="1:13" x14ac:dyDescent="0.35">
      <c r="A1700" s="9">
        <v>4122</v>
      </c>
      <c r="B1700" s="9" t="s">
        <v>34</v>
      </c>
      <c r="C1700" s="9" t="s">
        <v>21</v>
      </c>
      <c r="D1700" s="9" t="s">
        <v>71</v>
      </c>
      <c r="E1700" s="9" t="s">
        <v>59</v>
      </c>
      <c r="F1700" s="9">
        <v>1</v>
      </c>
      <c r="G1700" s="9">
        <v>0</v>
      </c>
      <c r="H1700" s="9">
        <v>0</v>
      </c>
      <c r="I1700" s="9">
        <v>0</v>
      </c>
      <c r="J1700" s="10">
        <v>45826</v>
      </c>
      <c r="K1700" s="9" t="s">
        <v>44</v>
      </c>
      <c r="L1700" s="9" t="s">
        <v>26</v>
      </c>
      <c r="M1700" s="9">
        <v>-261.43</v>
      </c>
    </row>
    <row r="1701" spans="1:13" x14ac:dyDescent="0.35">
      <c r="A1701" s="9">
        <v>4123</v>
      </c>
      <c r="B1701" s="9" t="s">
        <v>28</v>
      </c>
      <c r="C1701" s="9" t="s">
        <v>20</v>
      </c>
      <c r="D1701" s="9" t="s">
        <v>43</v>
      </c>
      <c r="E1701" s="9" t="s">
        <v>62</v>
      </c>
      <c r="F1701" s="9">
        <v>0</v>
      </c>
      <c r="G1701" s="9">
        <v>8184.99</v>
      </c>
      <c r="H1701" s="9">
        <v>0</v>
      </c>
      <c r="I1701" s="9">
        <v>0</v>
      </c>
      <c r="J1701" s="10">
        <v>45826</v>
      </c>
      <c r="K1701" s="9" t="s">
        <v>44</v>
      </c>
      <c r="L1701" s="9" t="s">
        <v>32</v>
      </c>
      <c r="M1701" s="9">
        <v>41.24</v>
      </c>
    </row>
    <row r="1702" spans="1:13" x14ac:dyDescent="0.35">
      <c r="A1702" s="9">
        <v>4124</v>
      </c>
      <c r="B1702" s="9" t="s">
        <v>34</v>
      </c>
      <c r="C1702" s="9" t="s">
        <v>22</v>
      </c>
      <c r="D1702" s="9" t="s">
        <v>30</v>
      </c>
      <c r="E1702" s="9" t="s">
        <v>59</v>
      </c>
      <c r="F1702" s="9">
        <v>1</v>
      </c>
      <c r="G1702" s="9">
        <v>0</v>
      </c>
      <c r="H1702" s="9">
        <v>0</v>
      </c>
      <c r="I1702" s="9">
        <v>0</v>
      </c>
      <c r="J1702" s="10">
        <v>45215</v>
      </c>
      <c r="K1702" s="9" t="s">
        <v>45</v>
      </c>
      <c r="L1702" s="9" t="s">
        <v>29</v>
      </c>
      <c r="M1702" s="9">
        <v>477.62</v>
      </c>
    </row>
    <row r="1703" spans="1:13" x14ac:dyDescent="0.35">
      <c r="A1703" s="9">
        <v>4125</v>
      </c>
      <c r="B1703" s="9" t="s">
        <v>31</v>
      </c>
      <c r="C1703" s="9" t="s">
        <v>19</v>
      </c>
      <c r="D1703" s="9" t="s">
        <v>42</v>
      </c>
      <c r="E1703" s="9" t="s">
        <v>59</v>
      </c>
      <c r="F1703" s="9">
        <v>0</v>
      </c>
      <c r="G1703" s="9">
        <v>0</v>
      </c>
      <c r="H1703" s="9">
        <v>0</v>
      </c>
      <c r="I1703" s="9">
        <v>0</v>
      </c>
      <c r="J1703" s="10">
        <v>45215</v>
      </c>
      <c r="K1703" s="9" t="s">
        <v>44</v>
      </c>
      <c r="L1703" s="9" t="s">
        <v>27</v>
      </c>
      <c r="M1703" s="9">
        <v>2465.79</v>
      </c>
    </row>
    <row r="1704" spans="1:13" x14ac:dyDescent="0.35">
      <c r="A1704" s="9">
        <v>4126</v>
      </c>
      <c r="B1704" s="9" t="s">
        <v>28</v>
      </c>
      <c r="C1704" s="9" t="s">
        <v>18</v>
      </c>
      <c r="D1704" s="9" t="s">
        <v>37</v>
      </c>
      <c r="E1704" s="9" t="s">
        <v>59</v>
      </c>
      <c r="F1704" s="9">
        <v>0</v>
      </c>
      <c r="G1704" s="9">
        <v>0</v>
      </c>
      <c r="H1704" s="9">
        <v>0</v>
      </c>
      <c r="I1704" s="9">
        <v>0</v>
      </c>
      <c r="J1704" s="10">
        <v>45858</v>
      </c>
      <c r="K1704" s="9" t="s">
        <v>44</v>
      </c>
      <c r="L1704" s="9" t="s">
        <v>29</v>
      </c>
      <c r="M1704" s="9">
        <v>1345.61</v>
      </c>
    </row>
    <row r="1705" spans="1:13" x14ac:dyDescent="0.35">
      <c r="A1705" s="9">
        <v>4127</v>
      </c>
      <c r="B1705" s="9" t="s">
        <v>28</v>
      </c>
      <c r="C1705" s="9" t="s">
        <v>20</v>
      </c>
      <c r="D1705" s="9" t="s">
        <v>66</v>
      </c>
      <c r="E1705" s="9" t="s">
        <v>60</v>
      </c>
      <c r="F1705" s="9">
        <v>-1</v>
      </c>
      <c r="G1705" s="9">
        <v>4690.1499999999996</v>
      </c>
      <c r="H1705" s="9">
        <v>0.49</v>
      </c>
      <c r="I1705" s="9">
        <v>-2391.98</v>
      </c>
      <c r="J1705" s="10">
        <v>45647</v>
      </c>
      <c r="K1705" s="9" t="s">
        <v>45</v>
      </c>
      <c r="L1705" s="9" t="s">
        <v>27</v>
      </c>
      <c r="M1705" s="9">
        <v>1331.92</v>
      </c>
    </row>
    <row r="1706" spans="1:13" x14ac:dyDescent="0.35">
      <c r="A1706" s="9">
        <v>4128</v>
      </c>
      <c r="B1706" s="9" t="s">
        <v>28</v>
      </c>
      <c r="C1706" s="9" t="s">
        <v>21</v>
      </c>
      <c r="D1706" s="9" t="s">
        <v>40</v>
      </c>
      <c r="E1706" s="9" t="s">
        <v>59</v>
      </c>
      <c r="F1706" s="9">
        <v>0</v>
      </c>
      <c r="G1706" s="9">
        <v>2566.91</v>
      </c>
      <c r="H1706" s="9">
        <v>0.08</v>
      </c>
      <c r="I1706" s="9">
        <v>0</v>
      </c>
      <c r="J1706" s="10">
        <v>45647</v>
      </c>
      <c r="K1706" s="9" t="s">
        <v>45</v>
      </c>
      <c r="L1706" s="9" t="s">
        <v>26</v>
      </c>
      <c r="M1706" s="9">
        <v>1529.46</v>
      </c>
    </row>
    <row r="1707" spans="1:13" x14ac:dyDescent="0.35">
      <c r="A1707" s="9">
        <v>4130</v>
      </c>
      <c r="B1707" s="9" t="s">
        <v>31</v>
      </c>
      <c r="C1707" s="9" t="s">
        <v>20</v>
      </c>
      <c r="D1707" s="9" t="s">
        <v>43</v>
      </c>
      <c r="E1707" s="9" t="s">
        <v>62</v>
      </c>
      <c r="F1707" s="9">
        <v>0</v>
      </c>
      <c r="G1707" s="9">
        <v>2776.53</v>
      </c>
      <c r="H1707" s="9">
        <v>0</v>
      </c>
      <c r="I1707" s="9">
        <v>0</v>
      </c>
      <c r="J1707" s="10">
        <v>45647</v>
      </c>
      <c r="K1707" s="9" t="s">
        <v>45</v>
      </c>
      <c r="L1707" s="9" t="s">
        <v>26</v>
      </c>
      <c r="M1707" s="9">
        <v>140.84</v>
      </c>
    </row>
    <row r="1708" spans="1:13" x14ac:dyDescent="0.35">
      <c r="A1708" s="9">
        <v>4131</v>
      </c>
      <c r="B1708" s="9" t="s">
        <v>28</v>
      </c>
      <c r="C1708" s="9" t="s">
        <v>20</v>
      </c>
      <c r="D1708" s="9" t="s">
        <v>61</v>
      </c>
      <c r="E1708" s="9" t="s">
        <v>60</v>
      </c>
      <c r="F1708" s="9">
        <v>0</v>
      </c>
      <c r="G1708" s="9">
        <v>2081.15</v>
      </c>
      <c r="H1708" s="9">
        <v>0.9</v>
      </c>
      <c r="I1708" s="9">
        <v>0</v>
      </c>
      <c r="J1708" s="10">
        <v>45612</v>
      </c>
      <c r="K1708" s="9" t="s">
        <v>45</v>
      </c>
      <c r="L1708" s="9" t="s">
        <v>25</v>
      </c>
      <c r="M1708" s="9">
        <v>3544.31</v>
      </c>
    </row>
    <row r="1709" spans="1:13" x14ac:dyDescent="0.35">
      <c r="A1709" s="9">
        <v>4132</v>
      </c>
      <c r="B1709" s="9" t="s">
        <v>28</v>
      </c>
      <c r="C1709" s="9" t="s">
        <v>21</v>
      </c>
      <c r="D1709" s="9" t="s">
        <v>71</v>
      </c>
      <c r="E1709" s="9" t="s">
        <v>62</v>
      </c>
      <c r="F1709" s="9">
        <v>0</v>
      </c>
      <c r="G1709" s="9">
        <v>5087.72</v>
      </c>
      <c r="H1709" s="9">
        <v>7.0000000000000007E-2</v>
      </c>
      <c r="I1709" s="9">
        <v>0</v>
      </c>
      <c r="J1709" s="10">
        <v>45512</v>
      </c>
      <c r="K1709" s="9" t="s">
        <v>45</v>
      </c>
      <c r="L1709" s="9" t="s">
        <v>32</v>
      </c>
      <c r="M1709" s="9">
        <v>-921.97</v>
      </c>
    </row>
    <row r="1710" spans="1:13" x14ac:dyDescent="0.35">
      <c r="A1710" s="9">
        <v>4133</v>
      </c>
      <c r="B1710" s="9" t="s">
        <v>31</v>
      </c>
      <c r="C1710" s="9" t="s">
        <v>22</v>
      </c>
      <c r="D1710" s="9" t="s">
        <v>65</v>
      </c>
      <c r="E1710" s="9" t="s">
        <v>60</v>
      </c>
      <c r="F1710" s="9">
        <v>3</v>
      </c>
      <c r="G1710" s="9">
        <v>4105.0600000000004</v>
      </c>
      <c r="H1710" s="9">
        <v>0</v>
      </c>
      <c r="I1710" s="9">
        <v>0</v>
      </c>
      <c r="J1710" s="10">
        <v>45605</v>
      </c>
      <c r="K1710" s="9" t="s">
        <v>45</v>
      </c>
      <c r="L1710" s="9" t="s">
        <v>26</v>
      </c>
      <c r="M1710" s="9">
        <v>1015.38</v>
      </c>
    </row>
    <row r="1711" spans="1:13" x14ac:dyDescent="0.35">
      <c r="A1711" s="9">
        <v>4134</v>
      </c>
      <c r="B1711" s="9" t="s">
        <v>28</v>
      </c>
      <c r="C1711" s="9" t="s">
        <v>18</v>
      </c>
      <c r="D1711" s="9" t="s">
        <v>38</v>
      </c>
      <c r="E1711" s="9" t="s">
        <v>59</v>
      </c>
      <c r="F1711" s="9">
        <v>1</v>
      </c>
      <c r="G1711" s="9">
        <v>0</v>
      </c>
      <c r="H1711" s="9">
        <v>1.1100000000000001</v>
      </c>
      <c r="I1711" s="9">
        <v>0</v>
      </c>
      <c r="J1711" s="10">
        <v>45605</v>
      </c>
      <c r="K1711" s="9" t="s">
        <v>44</v>
      </c>
      <c r="L1711" s="9" t="s">
        <v>29</v>
      </c>
      <c r="M1711" s="9">
        <v>2535.71</v>
      </c>
    </row>
    <row r="1712" spans="1:13" x14ac:dyDescent="0.35">
      <c r="A1712" s="9">
        <v>4136</v>
      </c>
      <c r="B1712" s="9" t="s">
        <v>34</v>
      </c>
      <c r="C1712" s="9" t="s">
        <v>21</v>
      </c>
      <c r="D1712" s="9" t="s">
        <v>40</v>
      </c>
      <c r="E1712" s="9" t="s">
        <v>59</v>
      </c>
      <c r="F1712" s="9">
        <v>0</v>
      </c>
      <c r="G1712" s="9">
        <v>0</v>
      </c>
      <c r="H1712" s="9">
        <v>0</v>
      </c>
      <c r="I1712" s="9">
        <v>0</v>
      </c>
      <c r="J1712" s="10">
        <v>45612</v>
      </c>
      <c r="K1712" s="9" t="s">
        <v>45</v>
      </c>
      <c r="L1712" s="9" t="s">
        <v>29</v>
      </c>
      <c r="M1712" s="9">
        <v>-105.03</v>
      </c>
    </row>
    <row r="1713" spans="1:13" x14ac:dyDescent="0.35">
      <c r="A1713" s="9">
        <v>4140</v>
      </c>
      <c r="B1713" s="9" t="s">
        <v>28</v>
      </c>
      <c r="C1713" s="9" t="s">
        <v>20</v>
      </c>
      <c r="D1713" s="9" t="s">
        <v>43</v>
      </c>
      <c r="E1713" s="9" t="s">
        <v>62</v>
      </c>
      <c r="F1713" s="9">
        <v>-1</v>
      </c>
      <c r="G1713" s="9">
        <v>0</v>
      </c>
      <c r="H1713" s="9">
        <v>0</v>
      </c>
      <c r="I1713" s="9">
        <v>0</v>
      </c>
      <c r="J1713" s="10">
        <v>45775</v>
      </c>
      <c r="K1713" s="9" t="s">
        <v>45</v>
      </c>
      <c r="L1713" s="9" t="s">
        <v>25</v>
      </c>
      <c r="M1713" s="9">
        <v>3381.94</v>
      </c>
    </row>
    <row r="1714" spans="1:13" x14ac:dyDescent="0.35">
      <c r="A1714" s="9">
        <v>4141</v>
      </c>
      <c r="B1714" s="9" t="s">
        <v>31</v>
      </c>
      <c r="C1714" s="9" t="s">
        <v>18</v>
      </c>
      <c r="D1714" s="9" t="s">
        <v>38</v>
      </c>
      <c r="E1714" s="9" t="s">
        <v>59</v>
      </c>
      <c r="F1714" s="9">
        <v>0</v>
      </c>
      <c r="G1714" s="9">
        <v>2406.0300000000002</v>
      </c>
      <c r="H1714" s="9">
        <v>0</v>
      </c>
      <c r="I1714" s="9">
        <v>0</v>
      </c>
      <c r="J1714" s="10">
        <v>45647</v>
      </c>
      <c r="K1714" s="9" t="s">
        <v>45</v>
      </c>
      <c r="L1714" s="9" t="s">
        <v>25</v>
      </c>
      <c r="M1714" s="9">
        <v>1504.9</v>
      </c>
    </row>
    <row r="1715" spans="1:13" x14ac:dyDescent="0.35">
      <c r="A1715" s="9">
        <v>4142</v>
      </c>
      <c r="B1715" s="9" t="s">
        <v>34</v>
      </c>
      <c r="C1715" s="9" t="s">
        <v>18</v>
      </c>
      <c r="D1715" s="9" t="s">
        <v>33</v>
      </c>
      <c r="E1715" s="9" t="s">
        <v>60</v>
      </c>
      <c r="F1715" s="9">
        <v>-1</v>
      </c>
      <c r="G1715" s="9">
        <v>2840.97</v>
      </c>
      <c r="H1715" s="9">
        <v>0.87</v>
      </c>
      <c r="I1715" s="9">
        <v>-369.33</v>
      </c>
      <c r="J1715" s="10">
        <v>45647</v>
      </c>
      <c r="K1715" s="9" t="s">
        <v>45</v>
      </c>
      <c r="L1715" s="9" t="s">
        <v>25</v>
      </c>
      <c r="M1715" s="9">
        <v>3836.65</v>
      </c>
    </row>
    <row r="1716" spans="1:13" x14ac:dyDescent="0.35">
      <c r="A1716" s="9">
        <v>4144</v>
      </c>
      <c r="B1716" s="9" t="s">
        <v>31</v>
      </c>
      <c r="C1716" s="9" t="s">
        <v>18</v>
      </c>
      <c r="D1716" s="9" t="s">
        <v>38</v>
      </c>
      <c r="E1716" s="9" t="s">
        <v>62</v>
      </c>
      <c r="F1716" s="9">
        <v>-1</v>
      </c>
      <c r="G1716" s="9">
        <v>2335.8200000000002</v>
      </c>
      <c r="H1716" s="9">
        <v>0</v>
      </c>
      <c r="I1716" s="9">
        <v>0</v>
      </c>
      <c r="J1716" s="10">
        <v>45647</v>
      </c>
      <c r="K1716" s="9" t="s">
        <v>45</v>
      </c>
      <c r="L1716" s="9" t="s">
        <v>25</v>
      </c>
      <c r="M1716" s="9">
        <v>304.77999999999997</v>
      </c>
    </row>
    <row r="1717" spans="1:13" x14ac:dyDescent="0.35">
      <c r="A1717" s="9">
        <v>4145</v>
      </c>
      <c r="B1717" s="9" t="s">
        <v>34</v>
      </c>
      <c r="C1717" s="9" t="s">
        <v>19</v>
      </c>
      <c r="D1717" s="9" t="s">
        <v>42</v>
      </c>
      <c r="E1717" s="9" t="s">
        <v>59</v>
      </c>
      <c r="F1717" s="9">
        <v>2</v>
      </c>
      <c r="G1717" s="9">
        <v>0</v>
      </c>
      <c r="H1717" s="9">
        <v>0</v>
      </c>
      <c r="I1717" s="9">
        <v>0</v>
      </c>
      <c r="J1717" s="10">
        <v>45647</v>
      </c>
      <c r="K1717" s="9" t="s">
        <v>44</v>
      </c>
      <c r="L1717" s="9" t="s">
        <v>29</v>
      </c>
      <c r="M1717" s="9">
        <v>285.95</v>
      </c>
    </row>
    <row r="1718" spans="1:13" x14ac:dyDescent="0.35">
      <c r="A1718" s="9">
        <v>4146</v>
      </c>
      <c r="B1718" s="9" t="s">
        <v>34</v>
      </c>
      <c r="C1718" s="9" t="s">
        <v>21</v>
      </c>
      <c r="D1718" s="9" t="s">
        <v>36</v>
      </c>
      <c r="E1718" s="9" t="s">
        <v>59</v>
      </c>
      <c r="F1718" s="9">
        <v>0</v>
      </c>
      <c r="G1718" s="9">
        <v>0</v>
      </c>
      <c r="H1718" s="9">
        <v>0</v>
      </c>
      <c r="I1718" s="9">
        <v>0</v>
      </c>
      <c r="J1718" s="10">
        <v>45165</v>
      </c>
      <c r="K1718" s="9" t="s">
        <v>45</v>
      </c>
      <c r="L1718" s="9" t="s">
        <v>26</v>
      </c>
      <c r="M1718" s="9">
        <v>1217.01</v>
      </c>
    </row>
    <row r="1719" spans="1:13" x14ac:dyDescent="0.35">
      <c r="A1719" s="9">
        <v>4147</v>
      </c>
      <c r="B1719" s="9" t="s">
        <v>31</v>
      </c>
      <c r="C1719" s="9" t="s">
        <v>22</v>
      </c>
      <c r="D1719" s="9" t="s">
        <v>68</v>
      </c>
      <c r="E1719" s="9" t="s">
        <v>60</v>
      </c>
      <c r="F1719" s="9">
        <v>1</v>
      </c>
      <c r="G1719" s="9">
        <v>7659.09</v>
      </c>
      <c r="H1719" s="9">
        <v>0</v>
      </c>
      <c r="I1719" s="9">
        <v>0</v>
      </c>
      <c r="J1719" s="10">
        <v>45622</v>
      </c>
      <c r="K1719" s="9" t="s">
        <v>45</v>
      </c>
      <c r="L1719" s="9" t="s">
        <v>29</v>
      </c>
      <c r="M1719" s="9">
        <v>106.35</v>
      </c>
    </row>
    <row r="1720" spans="1:13" x14ac:dyDescent="0.35">
      <c r="A1720" s="9">
        <v>4148</v>
      </c>
      <c r="B1720" s="9" t="s">
        <v>34</v>
      </c>
      <c r="C1720" s="9" t="s">
        <v>19</v>
      </c>
      <c r="D1720" s="9" t="s">
        <v>69</v>
      </c>
      <c r="E1720" s="9" t="s">
        <v>59</v>
      </c>
      <c r="F1720" s="9">
        <v>3</v>
      </c>
      <c r="G1720" s="9">
        <v>5943.25</v>
      </c>
      <c r="H1720" s="9">
        <v>0</v>
      </c>
      <c r="I1720" s="9">
        <v>0</v>
      </c>
      <c r="J1720" s="10">
        <v>45856</v>
      </c>
      <c r="K1720" s="9" t="s">
        <v>44</v>
      </c>
      <c r="L1720" s="9" t="s">
        <v>35</v>
      </c>
      <c r="M1720" s="9">
        <v>-900.4</v>
      </c>
    </row>
    <row r="1721" spans="1:13" x14ac:dyDescent="0.35">
      <c r="A1721" s="9">
        <v>4149</v>
      </c>
      <c r="B1721" s="9" t="s">
        <v>28</v>
      </c>
      <c r="C1721" s="9" t="s">
        <v>18</v>
      </c>
      <c r="D1721" s="9" t="s">
        <v>37</v>
      </c>
      <c r="E1721" s="9" t="s">
        <v>59</v>
      </c>
      <c r="F1721" s="9">
        <v>4</v>
      </c>
      <c r="G1721" s="9">
        <v>5716.52</v>
      </c>
      <c r="H1721" s="9">
        <v>0</v>
      </c>
      <c r="I1721" s="9">
        <v>0</v>
      </c>
      <c r="J1721" s="10">
        <v>45549</v>
      </c>
      <c r="K1721" s="9" t="s">
        <v>44</v>
      </c>
      <c r="L1721" s="9" t="s">
        <v>35</v>
      </c>
      <c r="M1721" s="9">
        <v>274.76</v>
      </c>
    </row>
    <row r="1722" spans="1:13" x14ac:dyDescent="0.35">
      <c r="A1722" s="9">
        <v>4150</v>
      </c>
      <c r="B1722" s="9" t="s">
        <v>31</v>
      </c>
      <c r="C1722" s="9" t="s">
        <v>22</v>
      </c>
      <c r="D1722" s="9" t="s">
        <v>68</v>
      </c>
      <c r="E1722" s="9" t="s">
        <v>59</v>
      </c>
      <c r="F1722" s="9">
        <v>0</v>
      </c>
      <c r="G1722" s="9">
        <v>0</v>
      </c>
      <c r="H1722" s="9">
        <v>0.81</v>
      </c>
      <c r="I1722" s="9">
        <v>0</v>
      </c>
      <c r="J1722" s="10">
        <v>45643</v>
      </c>
      <c r="K1722" s="9" t="s">
        <v>44</v>
      </c>
      <c r="L1722" s="9" t="s">
        <v>35</v>
      </c>
      <c r="M1722" s="9">
        <v>3076.73</v>
      </c>
    </row>
    <row r="1723" spans="1:13" x14ac:dyDescent="0.35">
      <c r="A1723" s="9">
        <v>4151</v>
      </c>
      <c r="B1723" s="9" t="s">
        <v>34</v>
      </c>
      <c r="C1723" s="9" t="s">
        <v>18</v>
      </c>
      <c r="D1723" s="9" t="s">
        <v>41</v>
      </c>
      <c r="E1723" s="9" t="s">
        <v>59</v>
      </c>
      <c r="F1723" s="9">
        <v>0</v>
      </c>
      <c r="G1723" s="9">
        <v>7282.99</v>
      </c>
      <c r="H1723" s="9">
        <v>0.05</v>
      </c>
      <c r="I1723" s="9">
        <v>0</v>
      </c>
      <c r="J1723" s="10">
        <v>45575</v>
      </c>
      <c r="K1723" s="9" t="s">
        <v>44</v>
      </c>
      <c r="L1723" s="9" t="s">
        <v>27</v>
      </c>
      <c r="M1723" s="9">
        <v>871.53</v>
      </c>
    </row>
    <row r="1724" spans="1:13" x14ac:dyDescent="0.35">
      <c r="A1724" s="9">
        <v>4152</v>
      </c>
      <c r="B1724" s="9" t="s">
        <v>31</v>
      </c>
      <c r="C1724" s="9" t="s">
        <v>22</v>
      </c>
      <c r="D1724" s="9" t="s">
        <v>67</v>
      </c>
      <c r="E1724" s="9" t="s">
        <v>62</v>
      </c>
      <c r="F1724" s="9">
        <v>1</v>
      </c>
      <c r="G1724" s="9">
        <v>0</v>
      </c>
      <c r="H1724" s="9">
        <v>0</v>
      </c>
      <c r="I1724" s="9">
        <v>0</v>
      </c>
      <c r="J1724" s="10">
        <v>45511</v>
      </c>
      <c r="K1724" s="9" t="s">
        <v>45</v>
      </c>
      <c r="L1724" s="9" t="s">
        <v>26</v>
      </c>
      <c r="M1724" s="9">
        <v>1011.99</v>
      </c>
    </row>
    <row r="1725" spans="1:13" x14ac:dyDescent="0.35">
      <c r="A1725" s="9">
        <v>4154</v>
      </c>
      <c r="B1725" s="9" t="s">
        <v>28</v>
      </c>
      <c r="C1725" s="9" t="s">
        <v>19</v>
      </c>
      <c r="D1725" s="9" t="s">
        <v>42</v>
      </c>
      <c r="E1725" s="9" t="s">
        <v>60</v>
      </c>
      <c r="F1725" s="9">
        <v>-1</v>
      </c>
      <c r="G1725" s="9">
        <v>0</v>
      </c>
      <c r="H1725" s="9">
        <v>0</v>
      </c>
      <c r="I1725" s="9">
        <v>0</v>
      </c>
      <c r="J1725" s="10">
        <v>45511</v>
      </c>
      <c r="K1725" s="9" t="s">
        <v>45</v>
      </c>
      <c r="L1725" s="9" t="s">
        <v>25</v>
      </c>
      <c r="M1725" s="9">
        <v>2963.38</v>
      </c>
    </row>
    <row r="1726" spans="1:13" x14ac:dyDescent="0.35">
      <c r="A1726" s="9">
        <v>4155</v>
      </c>
      <c r="B1726" s="9" t="s">
        <v>34</v>
      </c>
      <c r="C1726" s="9" t="s">
        <v>18</v>
      </c>
      <c r="D1726" s="9" t="s">
        <v>33</v>
      </c>
      <c r="E1726" s="9" t="s">
        <v>59</v>
      </c>
      <c r="F1726" s="9">
        <v>-1</v>
      </c>
      <c r="G1726" s="9">
        <v>8736.2000000000007</v>
      </c>
      <c r="H1726" s="9">
        <v>0.94</v>
      </c>
      <c r="I1726" s="9">
        <v>-524.16999999999996</v>
      </c>
      <c r="J1726" s="10">
        <v>45511</v>
      </c>
      <c r="K1726" s="9" t="s">
        <v>44</v>
      </c>
      <c r="L1726" s="9" t="s">
        <v>25</v>
      </c>
      <c r="M1726" s="9">
        <v>547.28</v>
      </c>
    </row>
    <row r="1727" spans="1:13" x14ac:dyDescent="0.35">
      <c r="A1727" s="9">
        <v>4156</v>
      </c>
      <c r="B1727" s="9" t="s">
        <v>31</v>
      </c>
      <c r="C1727" s="9" t="s">
        <v>20</v>
      </c>
      <c r="D1727" s="9" t="s">
        <v>61</v>
      </c>
      <c r="E1727" s="9" t="s">
        <v>59</v>
      </c>
      <c r="F1727" s="9">
        <v>0</v>
      </c>
      <c r="G1727" s="9">
        <v>7417.67</v>
      </c>
      <c r="H1727" s="9">
        <v>0</v>
      </c>
      <c r="I1727" s="9">
        <v>0</v>
      </c>
      <c r="J1727" s="10">
        <v>45432</v>
      </c>
      <c r="K1727" s="9" t="s">
        <v>45</v>
      </c>
      <c r="L1727" s="9" t="s">
        <v>26</v>
      </c>
      <c r="M1727" s="9">
        <v>203.96</v>
      </c>
    </row>
    <row r="1728" spans="1:13" x14ac:dyDescent="0.35">
      <c r="A1728" s="9">
        <v>4157</v>
      </c>
      <c r="B1728" s="9" t="s">
        <v>31</v>
      </c>
      <c r="C1728" s="9" t="s">
        <v>22</v>
      </c>
      <c r="D1728" s="9" t="s">
        <v>68</v>
      </c>
      <c r="E1728" s="9" t="s">
        <v>62</v>
      </c>
      <c r="F1728" s="9">
        <v>3</v>
      </c>
      <c r="G1728" s="9">
        <v>0</v>
      </c>
      <c r="H1728" s="9">
        <v>0</v>
      </c>
      <c r="I1728" s="9">
        <v>0</v>
      </c>
      <c r="J1728" s="10">
        <v>45847</v>
      </c>
      <c r="K1728" s="9" t="s">
        <v>44</v>
      </c>
      <c r="L1728" s="9" t="s">
        <v>29</v>
      </c>
      <c r="M1728" s="9">
        <v>-699.76</v>
      </c>
    </row>
    <row r="1729" spans="1:13" x14ac:dyDescent="0.35">
      <c r="A1729" s="9">
        <v>4158</v>
      </c>
      <c r="B1729" s="9" t="s">
        <v>28</v>
      </c>
      <c r="C1729" s="9" t="s">
        <v>21</v>
      </c>
      <c r="D1729" s="9" t="s">
        <v>36</v>
      </c>
      <c r="E1729" s="9" t="s">
        <v>60</v>
      </c>
      <c r="F1729" s="9">
        <v>0</v>
      </c>
      <c r="G1729" s="9">
        <v>0</v>
      </c>
      <c r="H1729" s="9">
        <v>0</v>
      </c>
      <c r="I1729" s="9">
        <v>0</v>
      </c>
      <c r="J1729" s="10">
        <v>45522</v>
      </c>
      <c r="K1729" s="9" t="s">
        <v>45</v>
      </c>
      <c r="L1729" s="9" t="s">
        <v>32</v>
      </c>
      <c r="M1729" s="9">
        <v>3155.41</v>
      </c>
    </row>
    <row r="1730" spans="1:13" x14ac:dyDescent="0.35">
      <c r="A1730" s="9">
        <v>4159</v>
      </c>
      <c r="B1730" s="9" t="s">
        <v>28</v>
      </c>
      <c r="C1730" s="9" t="s">
        <v>20</v>
      </c>
      <c r="D1730" s="9" t="s">
        <v>61</v>
      </c>
      <c r="E1730" s="9" t="s">
        <v>62</v>
      </c>
      <c r="F1730" s="9">
        <v>2</v>
      </c>
      <c r="G1730" s="9">
        <v>8683.7999999999993</v>
      </c>
      <c r="H1730" s="9">
        <v>0</v>
      </c>
      <c r="I1730" s="9">
        <v>0</v>
      </c>
      <c r="J1730" s="10">
        <v>45522</v>
      </c>
      <c r="K1730" s="9" t="s">
        <v>45</v>
      </c>
      <c r="L1730" s="9" t="s">
        <v>29</v>
      </c>
      <c r="M1730" s="9">
        <v>3914.69</v>
      </c>
    </row>
    <row r="1731" spans="1:13" x14ac:dyDescent="0.35">
      <c r="A1731" s="9">
        <v>4161</v>
      </c>
      <c r="B1731" s="9" t="s">
        <v>31</v>
      </c>
      <c r="C1731" s="9" t="s">
        <v>20</v>
      </c>
      <c r="D1731" s="9" t="s">
        <v>43</v>
      </c>
      <c r="E1731" s="9" t="s">
        <v>60</v>
      </c>
      <c r="F1731" s="9">
        <v>0</v>
      </c>
      <c r="G1731" s="9">
        <v>0</v>
      </c>
      <c r="H1731" s="9">
        <v>0.4</v>
      </c>
      <c r="I1731" s="9">
        <v>0</v>
      </c>
      <c r="J1731" s="10">
        <v>45763</v>
      </c>
      <c r="K1731" s="9" t="s">
        <v>45</v>
      </c>
      <c r="L1731" s="9" t="s">
        <v>27</v>
      </c>
      <c r="M1731" s="9">
        <v>1864.83</v>
      </c>
    </row>
    <row r="1732" spans="1:13" x14ac:dyDescent="0.35">
      <c r="A1732" s="9">
        <v>4162</v>
      </c>
      <c r="B1732" s="9" t="s">
        <v>31</v>
      </c>
      <c r="C1732" s="9" t="s">
        <v>18</v>
      </c>
      <c r="D1732" s="9" t="s">
        <v>37</v>
      </c>
      <c r="E1732" s="9" t="s">
        <v>62</v>
      </c>
      <c r="F1732" s="9">
        <v>1</v>
      </c>
      <c r="G1732" s="9">
        <v>3782.59</v>
      </c>
      <c r="H1732" s="9">
        <v>0</v>
      </c>
      <c r="I1732" s="9">
        <v>0</v>
      </c>
      <c r="J1732" s="10">
        <v>45763</v>
      </c>
      <c r="K1732" s="9" t="s">
        <v>45</v>
      </c>
      <c r="L1732" s="9" t="s">
        <v>35</v>
      </c>
      <c r="M1732" s="9">
        <v>1401.88</v>
      </c>
    </row>
    <row r="1733" spans="1:13" x14ac:dyDescent="0.35">
      <c r="A1733" s="9">
        <v>4163</v>
      </c>
      <c r="B1733" s="9" t="s">
        <v>31</v>
      </c>
      <c r="C1733" s="9" t="s">
        <v>18</v>
      </c>
      <c r="D1733" s="9" t="s">
        <v>37</v>
      </c>
      <c r="E1733" s="9" t="s">
        <v>60</v>
      </c>
      <c r="F1733" s="9">
        <v>0</v>
      </c>
      <c r="G1733" s="9">
        <v>0</v>
      </c>
      <c r="H1733" s="9">
        <v>0</v>
      </c>
      <c r="I1733" s="9">
        <v>0</v>
      </c>
      <c r="J1733" s="10">
        <v>45547</v>
      </c>
      <c r="K1733" s="9" t="s">
        <v>44</v>
      </c>
      <c r="L1733" s="9" t="s">
        <v>32</v>
      </c>
      <c r="M1733" s="9">
        <v>1942.39</v>
      </c>
    </row>
    <row r="1734" spans="1:13" x14ac:dyDescent="0.35">
      <c r="A1734" s="9">
        <v>4164</v>
      </c>
      <c r="B1734" s="9" t="s">
        <v>31</v>
      </c>
      <c r="C1734" s="9" t="s">
        <v>19</v>
      </c>
      <c r="D1734" s="9" t="s">
        <v>42</v>
      </c>
      <c r="E1734" s="9" t="s">
        <v>62</v>
      </c>
      <c r="F1734" s="9">
        <v>0</v>
      </c>
      <c r="G1734" s="9">
        <v>2196.67</v>
      </c>
      <c r="H1734" s="9">
        <v>0</v>
      </c>
      <c r="I1734" s="9">
        <v>0</v>
      </c>
      <c r="J1734" s="10">
        <v>45859</v>
      </c>
      <c r="K1734" s="9" t="s">
        <v>45</v>
      </c>
      <c r="L1734" s="9" t="s">
        <v>25</v>
      </c>
      <c r="M1734" s="9">
        <v>-1088.9000000000001</v>
      </c>
    </row>
    <row r="1735" spans="1:13" x14ac:dyDescent="0.35">
      <c r="A1735" s="9">
        <v>4165</v>
      </c>
      <c r="B1735" s="9" t="s">
        <v>28</v>
      </c>
      <c r="C1735" s="9" t="s">
        <v>18</v>
      </c>
      <c r="D1735" s="9" t="s">
        <v>37</v>
      </c>
      <c r="E1735" s="9" t="s">
        <v>62</v>
      </c>
      <c r="F1735" s="9">
        <v>1</v>
      </c>
      <c r="G1735" s="9">
        <v>0</v>
      </c>
      <c r="H1735" s="9">
        <v>0.26</v>
      </c>
      <c r="I1735" s="9">
        <v>0</v>
      </c>
      <c r="J1735" s="10">
        <v>45616</v>
      </c>
      <c r="K1735" s="9" t="s">
        <v>45</v>
      </c>
      <c r="L1735" s="9" t="s">
        <v>25</v>
      </c>
      <c r="M1735" s="9">
        <v>2194.38</v>
      </c>
    </row>
    <row r="1736" spans="1:13" x14ac:dyDescent="0.35">
      <c r="A1736" s="9">
        <v>4166</v>
      </c>
      <c r="B1736" s="9" t="s">
        <v>28</v>
      </c>
      <c r="C1736" s="9" t="s">
        <v>19</v>
      </c>
      <c r="D1736" s="9" t="s">
        <v>69</v>
      </c>
      <c r="E1736" s="9" t="s">
        <v>59</v>
      </c>
      <c r="F1736" s="9">
        <v>0</v>
      </c>
      <c r="G1736" s="9">
        <v>0</v>
      </c>
      <c r="H1736" s="9">
        <v>0</v>
      </c>
      <c r="I1736" s="9">
        <v>0</v>
      </c>
      <c r="J1736" s="10">
        <v>45721</v>
      </c>
      <c r="K1736" s="9" t="s">
        <v>45</v>
      </c>
      <c r="L1736" s="9" t="s">
        <v>29</v>
      </c>
      <c r="M1736" s="9">
        <v>-512.77</v>
      </c>
    </row>
    <row r="1737" spans="1:13" x14ac:dyDescent="0.35">
      <c r="A1737" s="9">
        <v>4167</v>
      </c>
      <c r="B1737" s="9" t="s">
        <v>31</v>
      </c>
      <c r="C1737" s="9" t="s">
        <v>22</v>
      </c>
      <c r="D1737" s="9" t="s">
        <v>67</v>
      </c>
      <c r="E1737" s="9" t="s">
        <v>62</v>
      </c>
      <c r="F1737" s="9">
        <v>-1</v>
      </c>
      <c r="G1737" s="9">
        <v>3354.93</v>
      </c>
      <c r="H1737" s="9">
        <v>0</v>
      </c>
      <c r="I1737" s="9">
        <v>0</v>
      </c>
      <c r="J1737" s="10">
        <v>45721</v>
      </c>
      <c r="K1737" s="9" t="s">
        <v>44</v>
      </c>
      <c r="L1737" s="9" t="s">
        <v>32</v>
      </c>
      <c r="M1737" s="9">
        <v>3486.85</v>
      </c>
    </row>
    <row r="1738" spans="1:13" x14ac:dyDescent="0.35">
      <c r="A1738" s="9">
        <v>4168</v>
      </c>
      <c r="B1738" s="9" t="s">
        <v>34</v>
      </c>
      <c r="C1738" s="9" t="s">
        <v>20</v>
      </c>
      <c r="D1738" s="9" t="s">
        <v>66</v>
      </c>
      <c r="E1738" s="9" t="s">
        <v>59</v>
      </c>
      <c r="F1738" s="9">
        <v>4</v>
      </c>
      <c r="G1738" s="9">
        <v>0</v>
      </c>
      <c r="H1738" s="9">
        <v>0</v>
      </c>
      <c r="I1738" s="9">
        <v>0</v>
      </c>
      <c r="J1738" s="10">
        <v>45452</v>
      </c>
      <c r="K1738" s="9" t="s">
        <v>44</v>
      </c>
      <c r="L1738" s="9" t="s">
        <v>26</v>
      </c>
      <c r="M1738" s="9">
        <v>3282.84</v>
      </c>
    </row>
    <row r="1739" spans="1:13" x14ac:dyDescent="0.35">
      <c r="A1739" s="9">
        <v>4169</v>
      </c>
      <c r="B1739" s="9" t="s">
        <v>31</v>
      </c>
      <c r="C1739" s="9" t="s">
        <v>22</v>
      </c>
      <c r="D1739" s="9" t="s">
        <v>30</v>
      </c>
      <c r="E1739" s="9" t="s">
        <v>60</v>
      </c>
      <c r="F1739" s="9">
        <v>0</v>
      </c>
      <c r="G1739" s="9">
        <v>8320.11</v>
      </c>
      <c r="H1739" s="9">
        <v>0</v>
      </c>
      <c r="I1739" s="9">
        <v>0</v>
      </c>
      <c r="J1739" s="10">
        <v>45452</v>
      </c>
      <c r="K1739" s="9" t="s">
        <v>44</v>
      </c>
      <c r="L1739" s="9" t="s">
        <v>29</v>
      </c>
      <c r="M1739" s="9">
        <v>3743.48</v>
      </c>
    </row>
    <row r="1740" spans="1:13" x14ac:dyDescent="0.35">
      <c r="A1740" s="9">
        <v>4170</v>
      </c>
      <c r="B1740" s="9" t="s">
        <v>31</v>
      </c>
      <c r="C1740" s="9" t="s">
        <v>21</v>
      </c>
      <c r="D1740" s="9" t="s">
        <v>36</v>
      </c>
      <c r="E1740" s="9" t="s">
        <v>62</v>
      </c>
      <c r="F1740" s="9">
        <v>0</v>
      </c>
      <c r="G1740" s="9">
        <v>3297.7</v>
      </c>
      <c r="H1740" s="9">
        <v>1.05</v>
      </c>
      <c r="I1740" s="9">
        <v>0</v>
      </c>
      <c r="J1740" s="10">
        <v>45519</v>
      </c>
      <c r="K1740" s="9" t="s">
        <v>45</v>
      </c>
      <c r="L1740" s="9" t="s">
        <v>25</v>
      </c>
      <c r="M1740" s="9">
        <v>1678.19</v>
      </c>
    </row>
    <row r="1741" spans="1:13" x14ac:dyDescent="0.35">
      <c r="A1741" s="9">
        <v>4171</v>
      </c>
      <c r="B1741" s="9" t="s">
        <v>31</v>
      </c>
      <c r="C1741" s="9" t="s">
        <v>20</v>
      </c>
      <c r="D1741" s="9" t="s">
        <v>61</v>
      </c>
      <c r="E1741" s="9" t="s">
        <v>59</v>
      </c>
      <c r="F1741" s="9">
        <v>0</v>
      </c>
      <c r="G1741" s="9">
        <v>9303.7999999999993</v>
      </c>
      <c r="H1741" s="9">
        <v>0</v>
      </c>
      <c r="I1741" s="9">
        <v>0</v>
      </c>
      <c r="J1741" s="10">
        <v>45647</v>
      </c>
      <c r="K1741" s="9" t="s">
        <v>44</v>
      </c>
      <c r="L1741" s="9" t="s">
        <v>29</v>
      </c>
      <c r="M1741" s="9">
        <v>-1107.26</v>
      </c>
    </row>
    <row r="1742" spans="1:13" x14ac:dyDescent="0.35">
      <c r="A1742" s="9">
        <v>4172</v>
      </c>
      <c r="B1742" s="9" t="s">
        <v>28</v>
      </c>
      <c r="C1742" s="9" t="s">
        <v>19</v>
      </c>
      <c r="D1742" s="9" t="s">
        <v>63</v>
      </c>
      <c r="E1742" s="9" t="s">
        <v>60</v>
      </c>
      <c r="F1742" s="9">
        <v>1</v>
      </c>
      <c r="G1742" s="9">
        <v>0</v>
      </c>
      <c r="H1742" s="9">
        <v>0</v>
      </c>
      <c r="I1742" s="9">
        <v>0</v>
      </c>
      <c r="J1742" s="10">
        <v>45678</v>
      </c>
      <c r="K1742" s="9" t="s">
        <v>44</v>
      </c>
      <c r="L1742" s="9" t="s">
        <v>25</v>
      </c>
      <c r="M1742" s="9">
        <v>155.61000000000001</v>
      </c>
    </row>
    <row r="1743" spans="1:13" x14ac:dyDescent="0.35">
      <c r="A1743" s="9">
        <v>4173</v>
      </c>
      <c r="B1743" s="9" t="s">
        <v>31</v>
      </c>
      <c r="C1743" s="9" t="s">
        <v>19</v>
      </c>
      <c r="D1743" s="9" t="s">
        <v>42</v>
      </c>
      <c r="E1743" s="9" t="s">
        <v>59</v>
      </c>
      <c r="F1743" s="9">
        <v>0</v>
      </c>
      <c r="G1743" s="9">
        <v>0</v>
      </c>
      <c r="H1743" s="9">
        <v>0</v>
      </c>
      <c r="I1743" s="9">
        <v>0</v>
      </c>
      <c r="J1743" s="10">
        <v>45678</v>
      </c>
      <c r="K1743" s="9" t="s">
        <v>45</v>
      </c>
      <c r="L1743" s="9" t="s">
        <v>32</v>
      </c>
      <c r="M1743" s="9">
        <v>-835.46</v>
      </c>
    </row>
    <row r="1744" spans="1:13" x14ac:dyDescent="0.35">
      <c r="A1744" s="9">
        <v>4174</v>
      </c>
      <c r="B1744" s="9" t="s">
        <v>28</v>
      </c>
      <c r="C1744" s="9" t="s">
        <v>19</v>
      </c>
      <c r="D1744" s="9" t="s">
        <v>42</v>
      </c>
      <c r="E1744" s="9" t="s">
        <v>62</v>
      </c>
      <c r="F1744" s="9">
        <v>0</v>
      </c>
      <c r="G1744" s="9">
        <v>0</v>
      </c>
      <c r="H1744" s="9">
        <v>0</v>
      </c>
      <c r="I1744" s="9">
        <v>0</v>
      </c>
      <c r="J1744" s="10">
        <v>45724</v>
      </c>
      <c r="K1744" s="9" t="s">
        <v>44</v>
      </c>
      <c r="L1744" s="9" t="s">
        <v>27</v>
      </c>
      <c r="M1744" s="9">
        <v>-869.37</v>
      </c>
    </row>
    <row r="1745" spans="1:13" x14ac:dyDescent="0.35">
      <c r="A1745" s="9">
        <v>4176</v>
      </c>
      <c r="B1745" s="9" t="s">
        <v>28</v>
      </c>
      <c r="C1745" s="9" t="s">
        <v>18</v>
      </c>
      <c r="D1745" s="9" t="s">
        <v>38</v>
      </c>
      <c r="E1745" s="9" t="s">
        <v>59</v>
      </c>
      <c r="F1745" s="9">
        <v>1</v>
      </c>
      <c r="G1745" s="9">
        <v>0</v>
      </c>
      <c r="H1745" s="9">
        <v>0</v>
      </c>
      <c r="I1745" s="9">
        <v>0</v>
      </c>
      <c r="J1745" s="10">
        <v>45171</v>
      </c>
      <c r="K1745" s="9" t="s">
        <v>44</v>
      </c>
      <c r="L1745" s="9" t="s">
        <v>32</v>
      </c>
      <c r="M1745" s="9">
        <v>2254.67</v>
      </c>
    </row>
    <row r="1746" spans="1:13" x14ac:dyDescent="0.35">
      <c r="A1746" s="9">
        <v>4177</v>
      </c>
      <c r="B1746" s="9" t="s">
        <v>34</v>
      </c>
      <c r="C1746" s="9" t="s">
        <v>18</v>
      </c>
      <c r="D1746" s="9" t="s">
        <v>41</v>
      </c>
      <c r="E1746" s="9" t="s">
        <v>59</v>
      </c>
      <c r="F1746" s="9">
        <v>0</v>
      </c>
      <c r="G1746" s="9">
        <v>0</v>
      </c>
      <c r="H1746" s="9">
        <v>0</v>
      </c>
      <c r="I1746" s="9">
        <v>0</v>
      </c>
      <c r="J1746" s="10">
        <v>45171</v>
      </c>
      <c r="K1746" s="9" t="s">
        <v>45</v>
      </c>
      <c r="L1746" s="9" t="s">
        <v>26</v>
      </c>
      <c r="M1746" s="9">
        <v>-203.62</v>
      </c>
    </row>
    <row r="1747" spans="1:13" x14ac:dyDescent="0.35">
      <c r="A1747" s="9">
        <v>4178</v>
      </c>
      <c r="B1747" s="9" t="s">
        <v>31</v>
      </c>
      <c r="C1747" s="9" t="s">
        <v>22</v>
      </c>
      <c r="D1747" s="9" t="s">
        <v>65</v>
      </c>
      <c r="E1747" s="9" t="s">
        <v>60</v>
      </c>
      <c r="F1747" s="9">
        <v>0</v>
      </c>
      <c r="G1747" s="9">
        <v>0</v>
      </c>
      <c r="H1747" s="9">
        <v>0</v>
      </c>
      <c r="I1747" s="9">
        <v>0</v>
      </c>
      <c r="J1747" s="10">
        <v>45530</v>
      </c>
      <c r="K1747" s="9" t="s">
        <v>44</v>
      </c>
      <c r="L1747" s="9" t="s">
        <v>32</v>
      </c>
      <c r="M1747" s="9">
        <v>302.75</v>
      </c>
    </row>
    <row r="1748" spans="1:13" x14ac:dyDescent="0.35">
      <c r="A1748" s="9">
        <v>4179</v>
      </c>
      <c r="B1748" s="9" t="s">
        <v>28</v>
      </c>
      <c r="C1748" s="9" t="s">
        <v>20</v>
      </c>
      <c r="D1748" s="9" t="s">
        <v>61</v>
      </c>
      <c r="E1748" s="9" t="s">
        <v>62</v>
      </c>
      <c r="F1748" s="9">
        <v>0</v>
      </c>
      <c r="G1748" s="9">
        <v>6633.14</v>
      </c>
      <c r="H1748" s="9">
        <v>0</v>
      </c>
      <c r="I1748" s="9">
        <v>0</v>
      </c>
      <c r="J1748" s="10">
        <v>45809</v>
      </c>
      <c r="K1748" s="9" t="s">
        <v>44</v>
      </c>
      <c r="L1748" s="9" t="s">
        <v>26</v>
      </c>
      <c r="M1748" s="9">
        <v>1048.6300000000001</v>
      </c>
    </row>
    <row r="1749" spans="1:13" x14ac:dyDescent="0.35">
      <c r="A1749" s="9">
        <v>4180</v>
      </c>
      <c r="B1749" s="9" t="s">
        <v>31</v>
      </c>
      <c r="C1749" s="9" t="s">
        <v>20</v>
      </c>
      <c r="D1749" s="9" t="s">
        <v>70</v>
      </c>
      <c r="E1749" s="9" t="s">
        <v>59</v>
      </c>
      <c r="F1749" s="9">
        <v>0</v>
      </c>
      <c r="G1749" s="9">
        <v>0</v>
      </c>
      <c r="H1749" s="9">
        <v>0</v>
      </c>
      <c r="I1749" s="9">
        <v>0</v>
      </c>
      <c r="J1749" s="10">
        <v>45812</v>
      </c>
      <c r="K1749" s="9" t="s">
        <v>44</v>
      </c>
      <c r="L1749" s="9" t="s">
        <v>27</v>
      </c>
      <c r="M1749" s="9">
        <v>500.23</v>
      </c>
    </row>
    <row r="1750" spans="1:13" x14ac:dyDescent="0.35">
      <c r="A1750" s="9">
        <v>4181</v>
      </c>
      <c r="B1750" s="9" t="s">
        <v>28</v>
      </c>
      <c r="C1750" s="9" t="s">
        <v>20</v>
      </c>
      <c r="D1750" s="9" t="s">
        <v>66</v>
      </c>
      <c r="E1750" s="9" t="s">
        <v>59</v>
      </c>
      <c r="F1750" s="9">
        <v>3</v>
      </c>
      <c r="G1750" s="9">
        <v>0</v>
      </c>
      <c r="H1750" s="9">
        <v>0</v>
      </c>
      <c r="I1750" s="9">
        <v>0</v>
      </c>
      <c r="J1750" s="10">
        <v>45752</v>
      </c>
      <c r="K1750" s="9" t="s">
        <v>44</v>
      </c>
      <c r="L1750" s="9" t="s">
        <v>29</v>
      </c>
      <c r="M1750" s="9">
        <v>-564.63</v>
      </c>
    </row>
    <row r="1751" spans="1:13" x14ac:dyDescent="0.35">
      <c r="A1751" s="9">
        <v>4182</v>
      </c>
      <c r="B1751" s="9" t="s">
        <v>31</v>
      </c>
      <c r="C1751" s="9" t="s">
        <v>21</v>
      </c>
      <c r="D1751" s="9" t="s">
        <v>71</v>
      </c>
      <c r="E1751" s="9" t="s">
        <v>62</v>
      </c>
      <c r="F1751" s="9">
        <v>1</v>
      </c>
      <c r="G1751" s="9">
        <v>9335.57</v>
      </c>
      <c r="H1751" s="9">
        <v>0</v>
      </c>
      <c r="I1751" s="9">
        <v>0</v>
      </c>
      <c r="J1751" s="10">
        <v>45628</v>
      </c>
      <c r="K1751" s="9" t="s">
        <v>44</v>
      </c>
      <c r="L1751" s="9" t="s">
        <v>26</v>
      </c>
      <c r="M1751" s="9">
        <v>1135.3800000000001</v>
      </c>
    </row>
    <row r="1752" spans="1:13" x14ac:dyDescent="0.35">
      <c r="A1752" s="9">
        <v>4183</v>
      </c>
      <c r="B1752" s="9" t="s">
        <v>31</v>
      </c>
      <c r="C1752" s="9" t="s">
        <v>21</v>
      </c>
      <c r="D1752" s="9" t="s">
        <v>40</v>
      </c>
      <c r="E1752" s="9" t="s">
        <v>59</v>
      </c>
      <c r="F1752" s="9">
        <v>2</v>
      </c>
      <c r="G1752" s="9">
        <v>8647.6299999999992</v>
      </c>
      <c r="H1752" s="9">
        <v>0</v>
      </c>
      <c r="I1752" s="9">
        <v>0</v>
      </c>
      <c r="J1752" s="10">
        <v>45739</v>
      </c>
      <c r="K1752" s="9" t="s">
        <v>44</v>
      </c>
      <c r="L1752" s="9" t="s">
        <v>35</v>
      </c>
      <c r="M1752" s="9">
        <v>-443.83</v>
      </c>
    </row>
    <row r="1753" spans="1:13" x14ac:dyDescent="0.35">
      <c r="A1753" s="9">
        <v>4184</v>
      </c>
      <c r="B1753" s="9" t="s">
        <v>28</v>
      </c>
      <c r="C1753" s="9" t="s">
        <v>22</v>
      </c>
      <c r="D1753" s="9" t="s">
        <v>30</v>
      </c>
      <c r="E1753" s="9" t="s">
        <v>59</v>
      </c>
      <c r="F1753" s="9">
        <v>0</v>
      </c>
      <c r="G1753" s="9">
        <v>0</v>
      </c>
      <c r="H1753" s="9">
        <v>0</v>
      </c>
      <c r="I1753" s="9">
        <v>0</v>
      </c>
      <c r="J1753" s="10">
        <v>45739</v>
      </c>
      <c r="K1753" s="9" t="s">
        <v>45</v>
      </c>
      <c r="L1753" s="9" t="s">
        <v>25</v>
      </c>
      <c r="M1753" s="9">
        <v>1788.65</v>
      </c>
    </row>
    <row r="1754" spans="1:13" x14ac:dyDescent="0.35">
      <c r="A1754" s="9">
        <v>4185</v>
      </c>
      <c r="B1754" s="9" t="s">
        <v>28</v>
      </c>
      <c r="C1754" s="9" t="s">
        <v>18</v>
      </c>
      <c r="D1754" s="9" t="s">
        <v>38</v>
      </c>
      <c r="E1754" s="9" t="s">
        <v>59</v>
      </c>
      <c r="F1754" s="9">
        <v>3</v>
      </c>
      <c r="G1754" s="9">
        <v>0</v>
      </c>
      <c r="H1754" s="9">
        <v>0</v>
      </c>
      <c r="I1754" s="9">
        <v>0</v>
      </c>
      <c r="J1754" s="10">
        <v>45689</v>
      </c>
      <c r="K1754" s="9" t="s">
        <v>45</v>
      </c>
      <c r="L1754" s="9" t="s">
        <v>32</v>
      </c>
      <c r="M1754" s="9">
        <v>2562.0500000000002</v>
      </c>
    </row>
    <row r="1755" spans="1:13" x14ac:dyDescent="0.35">
      <c r="A1755" s="9">
        <v>4186</v>
      </c>
      <c r="B1755" s="9" t="s">
        <v>31</v>
      </c>
      <c r="C1755" s="9" t="s">
        <v>22</v>
      </c>
      <c r="D1755" s="9" t="s">
        <v>30</v>
      </c>
      <c r="E1755" s="9" t="s">
        <v>62</v>
      </c>
      <c r="F1755" s="9">
        <v>0</v>
      </c>
      <c r="G1755" s="9">
        <v>9872.08</v>
      </c>
      <c r="H1755" s="9">
        <v>0.17</v>
      </c>
      <c r="I1755" s="9">
        <v>0</v>
      </c>
      <c r="J1755" s="10">
        <v>45726</v>
      </c>
      <c r="K1755" s="9" t="s">
        <v>45</v>
      </c>
      <c r="L1755" s="9" t="s">
        <v>25</v>
      </c>
      <c r="M1755" s="9">
        <v>409.77</v>
      </c>
    </row>
    <row r="1756" spans="1:13" x14ac:dyDescent="0.35">
      <c r="A1756" s="9">
        <v>4187</v>
      </c>
      <c r="B1756" s="9" t="s">
        <v>28</v>
      </c>
      <c r="C1756" s="9" t="s">
        <v>18</v>
      </c>
      <c r="D1756" s="9" t="s">
        <v>33</v>
      </c>
      <c r="E1756" s="9" t="s">
        <v>60</v>
      </c>
      <c r="F1756" s="9">
        <v>0</v>
      </c>
      <c r="G1756" s="9">
        <v>5363.84</v>
      </c>
      <c r="H1756" s="9">
        <v>0.95</v>
      </c>
      <c r="I1756" s="9">
        <v>0</v>
      </c>
      <c r="J1756" s="10">
        <v>45726</v>
      </c>
      <c r="K1756" s="9" t="s">
        <v>44</v>
      </c>
      <c r="L1756" s="9" t="s">
        <v>32</v>
      </c>
      <c r="M1756" s="9">
        <v>1194.42</v>
      </c>
    </row>
    <row r="1757" spans="1:13" x14ac:dyDescent="0.35">
      <c r="A1757" s="9">
        <v>4189</v>
      </c>
      <c r="B1757" s="9" t="s">
        <v>34</v>
      </c>
      <c r="C1757" s="9" t="s">
        <v>19</v>
      </c>
      <c r="D1757" s="9" t="s">
        <v>69</v>
      </c>
      <c r="E1757" s="9" t="s">
        <v>59</v>
      </c>
      <c r="F1757" s="9">
        <v>0</v>
      </c>
      <c r="G1757" s="9">
        <v>0</v>
      </c>
      <c r="H1757" s="9">
        <v>0.97</v>
      </c>
      <c r="I1757" s="9">
        <v>0</v>
      </c>
      <c r="J1757" s="10">
        <v>45726</v>
      </c>
      <c r="K1757" s="9" t="s">
        <v>44</v>
      </c>
      <c r="L1757" s="9" t="s">
        <v>32</v>
      </c>
      <c r="M1757" s="9">
        <v>2788.1</v>
      </c>
    </row>
    <row r="1758" spans="1:13" x14ac:dyDescent="0.35">
      <c r="A1758" s="9">
        <v>2043</v>
      </c>
      <c r="B1758" s="9" t="s">
        <v>31</v>
      </c>
      <c r="C1758" s="9" t="s">
        <v>18</v>
      </c>
      <c r="D1758" s="9" t="s">
        <v>33</v>
      </c>
      <c r="E1758" s="9" t="s">
        <v>62</v>
      </c>
      <c r="F1758" s="9">
        <v>4</v>
      </c>
      <c r="G1758" s="9">
        <v>0</v>
      </c>
      <c r="H1758" s="9">
        <v>0.12</v>
      </c>
      <c r="I1758" s="9">
        <v>0</v>
      </c>
      <c r="J1758" s="10">
        <v>45726</v>
      </c>
      <c r="K1758" s="9" t="s">
        <v>45</v>
      </c>
      <c r="L1758" s="9" t="s">
        <v>35</v>
      </c>
      <c r="M1758" s="9">
        <v>-809.91</v>
      </c>
    </row>
    <row r="1759" spans="1:13" x14ac:dyDescent="0.35">
      <c r="A1759" s="9">
        <v>4191</v>
      </c>
      <c r="B1759" s="9" t="s">
        <v>31</v>
      </c>
      <c r="C1759" s="9" t="s">
        <v>20</v>
      </c>
      <c r="D1759" s="9" t="s">
        <v>61</v>
      </c>
      <c r="E1759" s="9" t="s">
        <v>59</v>
      </c>
      <c r="F1759" s="9">
        <v>0</v>
      </c>
      <c r="G1759" s="9">
        <v>0</v>
      </c>
      <c r="H1759" s="9">
        <v>0</v>
      </c>
      <c r="I1759" s="9">
        <v>0</v>
      </c>
      <c r="J1759" s="10">
        <v>45495</v>
      </c>
      <c r="K1759" s="9" t="s">
        <v>45</v>
      </c>
      <c r="L1759" s="9" t="s">
        <v>35</v>
      </c>
      <c r="M1759" s="9">
        <v>671.86</v>
      </c>
    </row>
    <row r="1760" spans="1:13" x14ac:dyDescent="0.35">
      <c r="A1760" s="9">
        <v>4193</v>
      </c>
      <c r="B1760" s="9" t="s">
        <v>34</v>
      </c>
      <c r="C1760" s="9" t="s">
        <v>22</v>
      </c>
      <c r="D1760" s="9" t="s">
        <v>67</v>
      </c>
      <c r="E1760" s="9" t="s">
        <v>62</v>
      </c>
      <c r="F1760" s="9">
        <v>1</v>
      </c>
      <c r="G1760" s="9">
        <v>0</v>
      </c>
      <c r="H1760" s="9">
        <v>0</v>
      </c>
      <c r="I1760" s="9">
        <v>0</v>
      </c>
      <c r="J1760" s="10">
        <v>45630</v>
      </c>
      <c r="K1760" s="9" t="s">
        <v>45</v>
      </c>
      <c r="L1760" s="9" t="s">
        <v>26</v>
      </c>
      <c r="M1760" s="9">
        <v>1192.6600000000001</v>
      </c>
    </row>
    <row r="1761" spans="1:13" x14ac:dyDescent="0.35">
      <c r="A1761" s="9">
        <v>4194</v>
      </c>
      <c r="B1761" s="9" t="s">
        <v>34</v>
      </c>
      <c r="C1761" s="9" t="s">
        <v>20</v>
      </c>
      <c r="D1761" s="9" t="s">
        <v>61</v>
      </c>
      <c r="E1761" s="9" t="s">
        <v>60</v>
      </c>
      <c r="F1761" s="9">
        <v>0</v>
      </c>
      <c r="G1761" s="9">
        <v>0</v>
      </c>
      <c r="H1761" s="9">
        <v>0</v>
      </c>
      <c r="I1761" s="9">
        <v>0</v>
      </c>
      <c r="J1761" s="10">
        <v>45593</v>
      </c>
      <c r="K1761" s="9" t="s">
        <v>44</v>
      </c>
      <c r="L1761" s="9" t="s">
        <v>29</v>
      </c>
      <c r="M1761" s="9">
        <v>-759.55</v>
      </c>
    </row>
    <row r="1762" spans="1:13" x14ac:dyDescent="0.35">
      <c r="A1762" s="9">
        <v>4195</v>
      </c>
      <c r="B1762" s="9" t="s">
        <v>34</v>
      </c>
      <c r="C1762" s="9" t="s">
        <v>18</v>
      </c>
      <c r="D1762" s="9" t="s">
        <v>41</v>
      </c>
      <c r="E1762" s="9" t="s">
        <v>60</v>
      </c>
      <c r="F1762" s="9">
        <v>0</v>
      </c>
      <c r="G1762" s="9">
        <v>6317.4</v>
      </c>
      <c r="H1762" s="9">
        <v>0</v>
      </c>
      <c r="I1762" s="9">
        <v>0</v>
      </c>
      <c r="J1762" s="10">
        <v>45192</v>
      </c>
      <c r="K1762" s="9" t="s">
        <v>44</v>
      </c>
      <c r="L1762" s="9" t="s">
        <v>26</v>
      </c>
      <c r="M1762" s="9">
        <v>-746.03</v>
      </c>
    </row>
    <row r="1763" spans="1:13" x14ac:dyDescent="0.35">
      <c r="A1763" s="9">
        <v>2029</v>
      </c>
      <c r="B1763" s="9" t="s">
        <v>34</v>
      </c>
      <c r="C1763" s="9" t="s">
        <v>21</v>
      </c>
      <c r="D1763" s="9" t="s">
        <v>71</v>
      </c>
      <c r="E1763" s="9" t="s">
        <v>59</v>
      </c>
      <c r="F1763" s="9">
        <v>0</v>
      </c>
      <c r="G1763" s="9">
        <v>8165.07</v>
      </c>
      <c r="H1763" s="9">
        <v>0</v>
      </c>
      <c r="I1763" s="9">
        <v>0</v>
      </c>
      <c r="J1763" s="10">
        <v>45192</v>
      </c>
      <c r="K1763" s="9" t="s">
        <v>45</v>
      </c>
      <c r="L1763" s="9" t="s">
        <v>35</v>
      </c>
      <c r="M1763" s="9">
        <v>3469.45</v>
      </c>
    </row>
    <row r="1764" spans="1:13" x14ac:dyDescent="0.35">
      <c r="A1764" s="9">
        <v>4197</v>
      </c>
      <c r="B1764" s="9" t="s">
        <v>31</v>
      </c>
      <c r="C1764" s="9" t="s">
        <v>20</v>
      </c>
      <c r="D1764" s="9" t="s">
        <v>61</v>
      </c>
      <c r="E1764" s="9" t="s">
        <v>62</v>
      </c>
      <c r="F1764" s="9">
        <v>4</v>
      </c>
      <c r="G1764" s="9">
        <v>7560.6</v>
      </c>
      <c r="H1764" s="9">
        <v>0</v>
      </c>
      <c r="I1764" s="9">
        <v>0</v>
      </c>
      <c r="J1764" s="10">
        <v>45192</v>
      </c>
      <c r="K1764" s="9" t="s">
        <v>45</v>
      </c>
      <c r="L1764" s="9" t="s">
        <v>27</v>
      </c>
      <c r="M1764" s="9">
        <v>1415.35</v>
      </c>
    </row>
    <row r="1765" spans="1:13" x14ac:dyDescent="0.35">
      <c r="A1765" s="9">
        <v>4198</v>
      </c>
      <c r="B1765" s="9" t="s">
        <v>31</v>
      </c>
      <c r="C1765" s="9" t="s">
        <v>20</v>
      </c>
      <c r="D1765" s="9" t="s">
        <v>70</v>
      </c>
      <c r="E1765" s="9" t="s">
        <v>59</v>
      </c>
      <c r="F1765" s="9">
        <v>0</v>
      </c>
      <c r="G1765" s="9">
        <v>7860.63</v>
      </c>
      <c r="H1765" s="9">
        <v>0.53</v>
      </c>
      <c r="I1765" s="9">
        <v>0</v>
      </c>
      <c r="J1765" s="10">
        <v>45192</v>
      </c>
      <c r="K1765" s="9" t="s">
        <v>44</v>
      </c>
      <c r="L1765" s="9" t="s">
        <v>29</v>
      </c>
      <c r="M1765" s="9">
        <v>-1087.1300000000001</v>
      </c>
    </row>
    <row r="1766" spans="1:13" x14ac:dyDescent="0.35">
      <c r="A1766" s="9">
        <v>4200</v>
      </c>
      <c r="B1766" s="9" t="s">
        <v>28</v>
      </c>
      <c r="C1766" s="9" t="s">
        <v>19</v>
      </c>
      <c r="D1766" s="9" t="s">
        <v>42</v>
      </c>
      <c r="E1766" s="9" t="s">
        <v>60</v>
      </c>
      <c r="F1766" s="9">
        <v>0</v>
      </c>
      <c r="G1766" s="9">
        <v>0</v>
      </c>
      <c r="H1766" s="9">
        <v>0.78</v>
      </c>
      <c r="I1766" s="9">
        <v>0</v>
      </c>
      <c r="J1766" s="10">
        <v>45192</v>
      </c>
      <c r="K1766" s="9" t="s">
        <v>45</v>
      </c>
      <c r="L1766" s="9" t="s">
        <v>25</v>
      </c>
      <c r="M1766" s="9">
        <v>-613.22</v>
      </c>
    </row>
    <row r="1767" spans="1:13" x14ac:dyDescent="0.35">
      <c r="A1767" s="9">
        <v>4201</v>
      </c>
      <c r="B1767" s="9" t="s">
        <v>34</v>
      </c>
      <c r="C1767" s="9" t="s">
        <v>20</v>
      </c>
      <c r="D1767" s="9" t="s">
        <v>61</v>
      </c>
      <c r="E1767" s="9" t="s">
        <v>60</v>
      </c>
      <c r="F1767" s="9">
        <v>3</v>
      </c>
      <c r="G1767" s="9">
        <v>0</v>
      </c>
      <c r="H1767" s="9">
        <v>0</v>
      </c>
      <c r="I1767" s="9">
        <v>0</v>
      </c>
      <c r="J1767" s="10">
        <v>45786</v>
      </c>
      <c r="K1767" s="9" t="s">
        <v>44</v>
      </c>
      <c r="L1767" s="9" t="s">
        <v>27</v>
      </c>
      <c r="M1767" s="9">
        <v>1412.54</v>
      </c>
    </row>
    <row r="1768" spans="1:13" x14ac:dyDescent="0.35">
      <c r="A1768" s="9">
        <v>4202</v>
      </c>
      <c r="B1768" s="9" t="s">
        <v>31</v>
      </c>
      <c r="C1768" s="9" t="s">
        <v>18</v>
      </c>
      <c r="D1768" s="9" t="s">
        <v>37</v>
      </c>
      <c r="E1768" s="9" t="s">
        <v>60</v>
      </c>
      <c r="F1768" s="9">
        <v>4</v>
      </c>
      <c r="G1768" s="9">
        <v>4996.25</v>
      </c>
      <c r="H1768" s="9">
        <v>0</v>
      </c>
      <c r="I1768" s="9">
        <v>0</v>
      </c>
      <c r="J1768" s="10">
        <v>45793</v>
      </c>
      <c r="K1768" s="9" t="s">
        <v>45</v>
      </c>
      <c r="L1768" s="9" t="s">
        <v>35</v>
      </c>
      <c r="M1768" s="9">
        <v>299.85000000000002</v>
      </c>
    </row>
    <row r="1769" spans="1:13" x14ac:dyDescent="0.35">
      <c r="A1769" s="9">
        <v>4203</v>
      </c>
      <c r="B1769" s="9" t="s">
        <v>34</v>
      </c>
      <c r="C1769" s="9" t="s">
        <v>18</v>
      </c>
      <c r="D1769" s="9" t="s">
        <v>33</v>
      </c>
      <c r="E1769" s="9" t="s">
        <v>59</v>
      </c>
      <c r="F1769" s="9">
        <v>0</v>
      </c>
      <c r="G1769" s="9">
        <v>0</v>
      </c>
      <c r="H1769" s="9">
        <v>0</v>
      </c>
      <c r="I1769" s="9">
        <v>0</v>
      </c>
      <c r="J1769" s="10">
        <v>45793</v>
      </c>
      <c r="K1769" s="9" t="s">
        <v>45</v>
      </c>
      <c r="L1769" s="9" t="s">
        <v>35</v>
      </c>
      <c r="M1769" s="9">
        <v>1879.42</v>
      </c>
    </row>
    <row r="1770" spans="1:13" x14ac:dyDescent="0.35">
      <c r="A1770" s="9">
        <v>4205</v>
      </c>
      <c r="B1770" s="9" t="s">
        <v>34</v>
      </c>
      <c r="C1770" s="9" t="s">
        <v>21</v>
      </c>
      <c r="D1770" s="9" t="s">
        <v>64</v>
      </c>
      <c r="E1770" s="9" t="s">
        <v>62</v>
      </c>
      <c r="F1770" s="9">
        <v>0</v>
      </c>
      <c r="G1770" s="9">
        <v>0</v>
      </c>
      <c r="H1770" s="9">
        <v>0</v>
      </c>
      <c r="I1770" s="9">
        <v>0</v>
      </c>
      <c r="J1770" s="10">
        <v>45578</v>
      </c>
      <c r="K1770" s="9" t="s">
        <v>45</v>
      </c>
      <c r="L1770" s="9" t="s">
        <v>26</v>
      </c>
      <c r="M1770" s="9">
        <v>2333.09</v>
      </c>
    </row>
    <row r="1771" spans="1:13" x14ac:dyDescent="0.35">
      <c r="A1771" s="9">
        <v>4207</v>
      </c>
      <c r="B1771" s="9" t="s">
        <v>28</v>
      </c>
      <c r="C1771" s="9" t="s">
        <v>22</v>
      </c>
      <c r="D1771" s="9" t="s">
        <v>65</v>
      </c>
      <c r="E1771" s="9" t="s">
        <v>60</v>
      </c>
      <c r="F1771" s="9">
        <v>0</v>
      </c>
      <c r="G1771" s="9">
        <v>0</v>
      </c>
      <c r="H1771" s="9">
        <v>0</v>
      </c>
      <c r="I1771" s="9">
        <v>0</v>
      </c>
      <c r="J1771" s="10">
        <v>45611</v>
      </c>
      <c r="K1771" s="9" t="s">
        <v>44</v>
      </c>
      <c r="L1771" s="9" t="s">
        <v>32</v>
      </c>
      <c r="M1771" s="9">
        <v>2063.27</v>
      </c>
    </row>
    <row r="1772" spans="1:13" x14ac:dyDescent="0.35">
      <c r="A1772" s="9">
        <v>4209</v>
      </c>
      <c r="B1772" s="9" t="s">
        <v>28</v>
      </c>
      <c r="C1772" s="9" t="s">
        <v>20</v>
      </c>
      <c r="D1772" s="9" t="s">
        <v>43</v>
      </c>
      <c r="E1772" s="9" t="s">
        <v>59</v>
      </c>
      <c r="F1772" s="9">
        <v>1</v>
      </c>
      <c r="G1772" s="9">
        <v>0</v>
      </c>
      <c r="H1772" s="9">
        <v>0</v>
      </c>
      <c r="I1772" s="9">
        <v>0</v>
      </c>
      <c r="J1772" s="10">
        <v>45263</v>
      </c>
      <c r="K1772" s="9" t="s">
        <v>45</v>
      </c>
      <c r="L1772" s="9" t="s">
        <v>27</v>
      </c>
      <c r="M1772" s="9">
        <v>3222.58</v>
      </c>
    </row>
    <row r="1773" spans="1:13" x14ac:dyDescent="0.35">
      <c r="A1773" s="9">
        <v>4210</v>
      </c>
      <c r="B1773" s="9" t="s">
        <v>34</v>
      </c>
      <c r="C1773" s="9" t="s">
        <v>18</v>
      </c>
      <c r="D1773" s="9" t="s">
        <v>37</v>
      </c>
      <c r="E1773" s="9" t="s">
        <v>59</v>
      </c>
      <c r="F1773" s="9">
        <v>3</v>
      </c>
      <c r="G1773" s="9">
        <v>0</v>
      </c>
      <c r="H1773" s="9">
        <v>0</v>
      </c>
      <c r="I1773" s="9">
        <v>0</v>
      </c>
      <c r="J1773" s="10">
        <v>45263</v>
      </c>
      <c r="K1773" s="9" t="s">
        <v>44</v>
      </c>
      <c r="L1773" s="9" t="s">
        <v>26</v>
      </c>
      <c r="M1773" s="9">
        <v>2738.04</v>
      </c>
    </row>
    <row r="1774" spans="1:13" x14ac:dyDescent="0.35">
      <c r="A1774" s="9">
        <v>4211</v>
      </c>
      <c r="B1774" s="9" t="s">
        <v>31</v>
      </c>
      <c r="C1774" s="9" t="s">
        <v>22</v>
      </c>
      <c r="D1774" s="9" t="s">
        <v>65</v>
      </c>
      <c r="E1774" s="9" t="s">
        <v>59</v>
      </c>
      <c r="F1774" s="9">
        <v>0</v>
      </c>
      <c r="G1774" s="9">
        <v>0</v>
      </c>
      <c r="H1774" s="9">
        <v>1.0900000000000001</v>
      </c>
      <c r="I1774" s="9">
        <v>0</v>
      </c>
      <c r="J1774" s="10">
        <v>45766</v>
      </c>
      <c r="K1774" s="9" t="s">
        <v>45</v>
      </c>
      <c r="L1774" s="9" t="s">
        <v>32</v>
      </c>
      <c r="M1774" s="9">
        <v>-253.76</v>
      </c>
    </row>
    <row r="1775" spans="1:13" x14ac:dyDescent="0.35">
      <c r="A1775" s="9">
        <v>4212</v>
      </c>
      <c r="B1775" s="9" t="s">
        <v>31</v>
      </c>
      <c r="C1775" s="9" t="s">
        <v>20</v>
      </c>
      <c r="D1775" s="9" t="s">
        <v>61</v>
      </c>
      <c r="E1775" s="9" t="s">
        <v>62</v>
      </c>
      <c r="F1775" s="9">
        <v>3</v>
      </c>
      <c r="G1775" s="9">
        <v>0</v>
      </c>
      <c r="H1775" s="9">
        <v>0.9</v>
      </c>
      <c r="I1775" s="9">
        <v>0</v>
      </c>
      <c r="J1775" s="10">
        <v>45136</v>
      </c>
      <c r="K1775" s="9" t="s">
        <v>45</v>
      </c>
      <c r="L1775" s="9" t="s">
        <v>27</v>
      </c>
      <c r="M1775" s="9">
        <v>3556.86</v>
      </c>
    </row>
    <row r="1776" spans="1:13" x14ac:dyDescent="0.35">
      <c r="A1776" s="9">
        <v>4213</v>
      </c>
      <c r="B1776" s="9" t="s">
        <v>31</v>
      </c>
      <c r="C1776" s="9" t="s">
        <v>21</v>
      </c>
      <c r="D1776" s="9" t="s">
        <v>71</v>
      </c>
      <c r="E1776" s="9" t="s">
        <v>60</v>
      </c>
      <c r="F1776" s="9">
        <v>0</v>
      </c>
      <c r="G1776" s="9">
        <v>0</v>
      </c>
      <c r="H1776" s="9">
        <v>0</v>
      </c>
      <c r="I1776" s="9">
        <v>0</v>
      </c>
      <c r="J1776" s="10">
        <v>45438</v>
      </c>
      <c r="K1776" s="9" t="s">
        <v>44</v>
      </c>
      <c r="L1776" s="9" t="s">
        <v>29</v>
      </c>
      <c r="M1776" s="9">
        <v>1165.42</v>
      </c>
    </row>
    <row r="1777" spans="1:13" x14ac:dyDescent="0.35">
      <c r="A1777" s="9">
        <v>4215</v>
      </c>
      <c r="B1777" s="9" t="s">
        <v>31</v>
      </c>
      <c r="C1777" s="9" t="s">
        <v>18</v>
      </c>
      <c r="D1777" s="9" t="s">
        <v>33</v>
      </c>
      <c r="E1777" s="9" t="s">
        <v>62</v>
      </c>
      <c r="F1777" s="9">
        <v>3</v>
      </c>
      <c r="G1777" s="9">
        <v>7213.51</v>
      </c>
      <c r="H1777" s="9">
        <v>0</v>
      </c>
      <c r="I1777" s="9">
        <v>0</v>
      </c>
      <c r="J1777" s="10">
        <v>45851</v>
      </c>
      <c r="K1777" s="9" t="s">
        <v>45</v>
      </c>
      <c r="L1777" s="9" t="s">
        <v>27</v>
      </c>
      <c r="M1777" s="9">
        <v>960.82</v>
      </c>
    </row>
    <row r="1778" spans="1:13" x14ac:dyDescent="0.35">
      <c r="A1778" s="9">
        <v>4216</v>
      </c>
      <c r="B1778" s="9" t="s">
        <v>34</v>
      </c>
      <c r="C1778" s="9" t="s">
        <v>21</v>
      </c>
      <c r="D1778" s="9" t="s">
        <v>64</v>
      </c>
      <c r="E1778" s="9" t="s">
        <v>59</v>
      </c>
      <c r="F1778" s="9">
        <v>-1</v>
      </c>
      <c r="G1778" s="9">
        <v>4989.1499999999996</v>
      </c>
      <c r="H1778" s="9">
        <v>0</v>
      </c>
      <c r="I1778" s="9">
        <v>0</v>
      </c>
      <c r="J1778" s="10">
        <v>45711</v>
      </c>
      <c r="K1778" s="9" t="s">
        <v>45</v>
      </c>
      <c r="L1778" s="9" t="s">
        <v>29</v>
      </c>
      <c r="M1778" s="9">
        <v>3445.94</v>
      </c>
    </row>
    <row r="1779" spans="1:13" x14ac:dyDescent="0.35">
      <c r="A1779" s="9">
        <v>4217</v>
      </c>
      <c r="B1779" s="9" t="s">
        <v>31</v>
      </c>
      <c r="C1779" s="9" t="s">
        <v>19</v>
      </c>
      <c r="D1779" s="9" t="s">
        <v>42</v>
      </c>
      <c r="E1779" s="9" t="s">
        <v>59</v>
      </c>
      <c r="F1779" s="9">
        <v>0</v>
      </c>
      <c r="G1779" s="9">
        <v>3080.23</v>
      </c>
      <c r="H1779" s="9">
        <v>0.22</v>
      </c>
      <c r="I1779" s="9">
        <v>0</v>
      </c>
      <c r="J1779" s="10">
        <v>45785</v>
      </c>
      <c r="K1779" s="9" t="s">
        <v>45</v>
      </c>
      <c r="L1779" s="9" t="s">
        <v>29</v>
      </c>
      <c r="M1779" s="9">
        <v>-950.13</v>
      </c>
    </row>
    <row r="1780" spans="1:13" x14ac:dyDescent="0.35">
      <c r="A1780" s="9">
        <v>4218</v>
      </c>
      <c r="B1780" s="9" t="s">
        <v>34</v>
      </c>
      <c r="C1780" s="9" t="s">
        <v>20</v>
      </c>
      <c r="D1780" s="9" t="s">
        <v>66</v>
      </c>
      <c r="E1780" s="9" t="s">
        <v>59</v>
      </c>
      <c r="F1780" s="9">
        <v>0</v>
      </c>
      <c r="G1780" s="9">
        <v>6296.17</v>
      </c>
      <c r="H1780" s="9">
        <v>0</v>
      </c>
      <c r="I1780" s="9">
        <v>0</v>
      </c>
      <c r="J1780" s="10">
        <v>45699</v>
      </c>
      <c r="K1780" s="9" t="s">
        <v>45</v>
      </c>
      <c r="L1780" s="9" t="s">
        <v>25</v>
      </c>
      <c r="M1780" s="9">
        <v>3435.85</v>
      </c>
    </row>
    <row r="1781" spans="1:13" x14ac:dyDescent="0.35">
      <c r="A1781" s="9">
        <v>4220</v>
      </c>
      <c r="B1781" s="9" t="s">
        <v>34</v>
      </c>
      <c r="C1781" s="9" t="s">
        <v>21</v>
      </c>
      <c r="D1781" s="9" t="s">
        <v>71</v>
      </c>
      <c r="E1781" s="9" t="s">
        <v>59</v>
      </c>
      <c r="F1781" s="9">
        <v>2</v>
      </c>
      <c r="G1781" s="9">
        <v>2290.64</v>
      </c>
      <c r="H1781" s="9">
        <v>0.84</v>
      </c>
      <c r="I1781" s="9">
        <v>733</v>
      </c>
      <c r="J1781" s="10">
        <v>45688</v>
      </c>
      <c r="K1781" s="9" t="s">
        <v>44</v>
      </c>
      <c r="L1781" s="9" t="s">
        <v>29</v>
      </c>
      <c r="M1781" s="9">
        <v>608.16</v>
      </c>
    </row>
    <row r="1782" spans="1:13" x14ac:dyDescent="0.35">
      <c r="A1782" s="9">
        <v>4221</v>
      </c>
      <c r="B1782" s="9" t="s">
        <v>34</v>
      </c>
      <c r="C1782" s="9" t="s">
        <v>19</v>
      </c>
      <c r="D1782" s="9" t="s">
        <v>63</v>
      </c>
      <c r="E1782" s="9" t="s">
        <v>62</v>
      </c>
      <c r="F1782" s="9">
        <v>0</v>
      </c>
      <c r="G1782" s="9">
        <v>0</v>
      </c>
      <c r="H1782" s="9">
        <v>0.88</v>
      </c>
      <c r="I1782" s="9">
        <v>0</v>
      </c>
      <c r="J1782" s="10">
        <v>45688</v>
      </c>
      <c r="K1782" s="9" t="s">
        <v>45</v>
      </c>
      <c r="L1782" s="9" t="s">
        <v>32</v>
      </c>
      <c r="M1782" s="9">
        <v>1001.02</v>
      </c>
    </row>
    <row r="1783" spans="1:13" x14ac:dyDescent="0.35">
      <c r="A1783" s="9">
        <v>2023</v>
      </c>
      <c r="B1783" s="9" t="s">
        <v>31</v>
      </c>
      <c r="C1783" s="9" t="s">
        <v>22</v>
      </c>
      <c r="D1783" s="9" t="s">
        <v>65</v>
      </c>
      <c r="E1783" s="9" t="s">
        <v>62</v>
      </c>
      <c r="F1783" s="9">
        <v>0</v>
      </c>
      <c r="G1783" s="9">
        <v>0</v>
      </c>
      <c r="H1783" s="9">
        <v>0</v>
      </c>
      <c r="I1783" s="9">
        <v>0</v>
      </c>
      <c r="J1783" s="10">
        <v>45688</v>
      </c>
      <c r="K1783" s="9" t="s">
        <v>45</v>
      </c>
      <c r="L1783" s="9" t="s">
        <v>26</v>
      </c>
      <c r="M1783" s="9">
        <v>2913.04</v>
      </c>
    </row>
    <row r="1784" spans="1:13" x14ac:dyDescent="0.35">
      <c r="A1784" s="9">
        <v>4223</v>
      </c>
      <c r="B1784" s="9" t="s">
        <v>34</v>
      </c>
      <c r="C1784" s="9" t="s">
        <v>19</v>
      </c>
      <c r="D1784" s="9" t="s">
        <v>63</v>
      </c>
      <c r="E1784" s="9" t="s">
        <v>60</v>
      </c>
      <c r="F1784" s="9">
        <v>1</v>
      </c>
      <c r="G1784" s="9">
        <v>0</v>
      </c>
      <c r="H1784" s="9">
        <v>0.31</v>
      </c>
      <c r="I1784" s="9">
        <v>0</v>
      </c>
      <c r="J1784" s="10">
        <v>45692</v>
      </c>
      <c r="K1784" s="9" t="s">
        <v>44</v>
      </c>
      <c r="L1784" s="9" t="s">
        <v>25</v>
      </c>
      <c r="M1784" s="9">
        <v>-1152.3699999999999</v>
      </c>
    </row>
    <row r="1785" spans="1:13" x14ac:dyDescent="0.35">
      <c r="A1785" s="9">
        <v>4225</v>
      </c>
      <c r="B1785" s="9" t="s">
        <v>34</v>
      </c>
      <c r="C1785" s="9" t="s">
        <v>20</v>
      </c>
      <c r="D1785" s="9" t="s">
        <v>66</v>
      </c>
      <c r="E1785" s="9" t="s">
        <v>62</v>
      </c>
      <c r="F1785" s="9">
        <v>0</v>
      </c>
      <c r="G1785" s="9">
        <v>2941.85</v>
      </c>
      <c r="H1785" s="9">
        <v>1.1200000000000001</v>
      </c>
      <c r="I1785" s="9">
        <v>0</v>
      </c>
      <c r="J1785" s="10">
        <v>45778</v>
      </c>
      <c r="K1785" s="9" t="s">
        <v>45</v>
      </c>
      <c r="L1785" s="9" t="s">
        <v>29</v>
      </c>
      <c r="M1785" s="9">
        <v>2776.82</v>
      </c>
    </row>
    <row r="1786" spans="1:13" x14ac:dyDescent="0.35">
      <c r="A1786" s="9">
        <v>4227</v>
      </c>
      <c r="B1786" s="9" t="s">
        <v>34</v>
      </c>
      <c r="C1786" s="9" t="s">
        <v>18</v>
      </c>
      <c r="D1786" s="9" t="s">
        <v>41</v>
      </c>
      <c r="E1786" s="9" t="s">
        <v>60</v>
      </c>
      <c r="F1786" s="9">
        <v>0</v>
      </c>
      <c r="G1786" s="9">
        <v>0</v>
      </c>
      <c r="H1786" s="9">
        <v>0</v>
      </c>
      <c r="I1786" s="9">
        <v>0</v>
      </c>
      <c r="J1786" s="10">
        <v>45643</v>
      </c>
      <c r="K1786" s="9" t="s">
        <v>44</v>
      </c>
      <c r="L1786" s="9" t="s">
        <v>26</v>
      </c>
      <c r="M1786" s="9">
        <v>110.91</v>
      </c>
    </row>
    <row r="1787" spans="1:13" x14ac:dyDescent="0.35">
      <c r="A1787" s="9">
        <v>4228</v>
      </c>
      <c r="B1787" s="9" t="s">
        <v>34</v>
      </c>
      <c r="C1787" s="9" t="s">
        <v>18</v>
      </c>
      <c r="D1787" s="9" t="s">
        <v>37</v>
      </c>
      <c r="E1787" s="9" t="s">
        <v>60</v>
      </c>
      <c r="F1787" s="9">
        <v>3</v>
      </c>
      <c r="G1787" s="9">
        <v>0</v>
      </c>
      <c r="H1787" s="9">
        <v>0</v>
      </c>
      <c r="I1787" s="9">
        <v>0</v>
      </c>
      <c r="J1787" s="10">
        <v>45789</v>
      </c>
      <c r="K1787" s="9" t="s">
        <v>44</v>
      </c>
      <c r="L1787" s="9" t="s">
        <v>27</v>
      </c>
      <c r="M1787" s="9">
        <v>-448.12</v>
      </c>
    </row>
    <row r="1788" spans="1:13" x14ac:dyDescent="0.35">
      <c r="A1788" s="9">
        <v>4229</v>
      </c>
      <c r="B1788" s="9" t="s">
        <v>34</v>
      </c>
      <c r="C1788" s="9" t="s">
        <v>20</v>
      </c>
      <c r="D1788" s="9" t="s">
        <v>66</v>
      </c>
      <c r="E1788" s="9" t="s">
        <v>62</v>
      </c>
      <c r="F1788" s="9">
        <v>4</v>
      </c>
      <c r="G1788" s="9">
        <v>0</v>
      </c>
      <c r="H1788" s="9">
        <v>0</v>
      </c>
      <c r="I1788" s="9">
        <v>0</v>
      </c>
      <c r="J1788" s="10">
        <v>45828</v>
      </c>
      <c r="K1788" s="9" t="s">
        <v>45</v>
      </c>
      <c r="L1788" s="9" t="s">
        <v>35</v>
      </c>
      <c r="M1788" s="9">
        <v>3470.61</v>
      </c>
    </row>
    <row r="1789" spans="1:13" x14ac:dyDescent="0.35">
      <c r="A1789" s="9">
        <v>4230</v>
      </c>
      <c r="B1789" s="9" t="s">
        <v>34</v>
      </c>
      <c r="C1789" s="9" t="s">
        <v>21</v>
      </c>
      <c r="D1789" s="9" t="s">
        <v>64</v>
      </c>
      <c r="E1789" s="9" t="s">
        <v>60</v>
      </c>
      <c r="F1789" s="9">
        <v>0</v>
      </c>
      <c r="G1789" s="9">
        <v>0</v>
      </c>
      <c r="H1789" s="9">
        <v>0</v>
      </c>
      <c r="I1789" s="9">
        <v>0</v>
      </c>
      <c r="J1789" s="10">
        <v>45519</v>
      </c>
      <c r="K1789" s="9" t="s">
        <v>44</v>
      </c>
      <c r="L1789" s="9" t="s">
        <v>32</v>
      </c>
      <c r="M1789" s="9">
        <v>-1193.8499999999999</v>
      </c>
    </row>
    <row r="1790" spans="1:13" x14ac:dyDescent="0.35">
      <c r="A1790" s="9">
        <v>4231</v>
      </c>
      <c r="B1790" s="9" t="s">
        <v>34</v>
      </c>
      <c r="C1790" s="9" t="s">
        <v>21</v>
      </c>
      <c r="D1790" s="9" t="s">
        <v>36</v>
      </c>
      <c r="E1790" s="9" t="s">
        <v>62</v>
      </c>
      <c r="F1790" s="9">
        <v>2</v>
      </c>
      <c r="G1790" s="9">
        <v>6652.23</v>
      </c>
      <c r="H1790" s="9">
        <v>1.0900000000000001</v>
      </c>
      <c r="I1790" s="9">
        <v>-1197.4000000000001</v>
      </c>
      <c r="J1790" s="10">
        <v>45299</v>
      </c>
      <c r="K1790" s="9" t="s">
        <v>45</v>
      </c>
      <c r="L1790" s="9" t="s">
        <v>35</v>
      </c>
      <c r="M1790" s="9">
        <v>-780.66</v>
      </c>
    </row>
    <row r="1791" spans="1:13" x14ac:dyDescent="0.35">
      <c r="A1791" s="9">
        <v>4232</v>
      </c>
      <c r="B1791" s="9" t="s">
        <v>28</v>
      </c>
      <c r="C1791" s="9" t="s">
        <v>19</v>
      </c>
      <c r="D1791" s="9" t="s">
        <v>42</v>
      </c>
      <c r="E1791" s="9" t="s">
        <v>59</v>
      </c>
      <c r="F1791" s="9">
        <v>0</v>
      </c>
      <c r="G1791" s="9">
        <v>0</v>
      </c>
      <c r="H1791" s="9">
        <v>0</v>
      </c>
      <c r="I1791" s="9">
        <v>0</v>
      </c>
      <c r="J1791" s="10">
        <v>45299</v>
      </c>
      <c r="K1791" s="9" t="s">
        <v>45</v>
      </c>
      <c r="L1791" s="9" t="s">
        <v>25</v>
      </c>
      <c r="M1791" s="9">
        <v>-532.52</v>
      </c>
    </row>
    <row r="1792" spans="1:13" x14ac:dyDescent="0.35">
      <c r="A1792" s="9">
        <v>4234</v>
      </c>
      <c r="B1792" s="9" t="s">
        <v>28</v>
      </c>
      <c r="C1792" s="9" t="s">
        <v>22</v>
      </c>
      <c r="D1792" s="9" t="s">
        <v>68</v>
      </c>
      <c r="E1792" s="9" t="s">
        <v>59</v>
      </c>
      <c r="F1792" s="9">
        <v>0</v>
      </c>
      <c r="G1792" s="9">
        <v>0</v>
      </c>
      <c r="H1792" s="9">
        <v>0</v>
      </c>
      <c r="I1792" s="9">
        <v>0</v>
      </c>
      <c r="J1792" s="10">
        <v>45299</v>
      </c>
      <c r="K1792" s="9" t="s">
        <v>45</v>
      </c>
      <c r="L1792" s="9" t="s">
        <v>26</v>
      </c>
      <c r="M1792" s="9">
        <v>404.2</v>
      </c>
    </row>
    <row r="1793" spans="1:13" x14ac:dyDescent="0.35">
      <c r="A1793" s="9">
        <v>4237</v>
      </c>
      <c r="B1793" s="9" t="s">
        <v>31</v>
      </c>
      <c r="C1793" s="9" t="s">
        <v>22</v>
      </c>
      <c r="D1793" s="9" t="s">
        <v>30</v>
      </c>
      <c r="E1793" s="9" t="s">
        <v>60</v>
      </c>
      <c r="F1793" s="9">
        <v>1</v>
      </c>
      <c r="G1793" s="9">
        <v>0</v>
      </c>
      <c r="H1793" s="9">
        <v>0</v>
      </c>
      <c r="I1793" s="9">
        <v>0</v>
      </c>
      <c r="J1793" s="10">
        <v>45703</v>
      </c>
      <c r="K1793" s="9" t="s">
        <v>45</v>
      </c>
      <c r="L1793" s="9" t="s">
        <v>29</v>
      </c>
      <c r="M1793" s="9">
        <v>572.58000000000004</v>
      </c>
    </row>
    <row r="1794" spans="1:13" x14ac:dyDescent="0.35">
      <c r="A1794" s="9">
        <v>4238</v>
      </c>
      <c r="B1794" s="9" t="s">
        <v>31</v>
      </c>
      <c r="C1794" s="9" t="s">
        <v>19</v>
      </c>
      <c r="D1794" s="9" t="s">
        <v>69</v>
      </c>
      <c r="E1794" s="9" t="s">
        <v>62</v>
      </c>
      <c r="F1794" s="9">
        <v>2</v>
      </c>
      <c r="G1794" s="9">
        <v>6489.35</v>
      </c>
      <c r="H1794" s="9">
        <v>0</v>
      </c>
      <c r="I1794" s="9">
        <v>0</v>
      </c>
      <c r="J1794" s="10">
        <v>45640</v>
      </c>
      <c r="K1794" s="9" t="s">
        <v>45</v>
      </c>
      <c r="L1794" s="9" t="s">
        <v>32</v>
      </c>
      <c r="M1794" s="9">
        <v>-321.44</v>
      </c>
    </row>
    <row r="1795" spans="1:13" x14ac:dyDescent="0.35">
      <c r="A1795" s="9">
        <v>4240</v>
      </c>
      <c r="B1795" s="9" t="s">
        <v>31</v>
      </c>
      <c r="C1795" s="9" t="s">
        <v>20</v>
      </c>
      <c r="D1795" s="9" t="s">
        <v>43</v>
      </c>
      <c r="E1795" s="9" t="s">
        <v>59</v>
      </c>
      <c r="F1795" s="9">
        <v>0</v>
      </c>
      <c r="G1795" s="9">
        <v>0</v>
      </c>
      <c r="H1795" s="9">
        <v>0</v>
      </c>
      <c r="I1795" s="9">
        <v>0</v>
      </c>
      <c r="J1795" s="10">
        <v>45812</v>
      </c>
      <c r="K1795" s="9" t="s">
        <v>44</v>
      </c>
      <c r="L1795" s="9" t="s">
        <v>25</v>
      </c>
      <c r="M1795" s="9">
        <v>1091.8499999999999</v>
      </c>
    </row>
    <row r="1796" spans="1:13" x14ac:dyDescent="0.35">
      <c r="A1796" s="9">
        <v>4241</v>
      </c>
      <c r="B1796" s="9" t="s">
        <v>28</v>
      </c>
      <c r="C1796" s="9" t="s">
        <v>22</v>
      </c>
      <c r="D1796" s="9" t="s">
        <v>30</v>
      </c>
      <c r="E1796" s="9" t="s">
        <v>59</v>
      </c>
      <c r="F1796" s="9">
        <v>0</v>
      </c>
      <c r="G1796" s="9">
        <v>0</v>
      </c>
      <c r="H1796" s="9">
        <v>0</v>
      </c>
      <c r="I1796" s="9">
        <v>0</v>
      </c>
      <c r="J1796" s="10">
        <v>45594</v>
      </c>
      <c r="K1796" s="9" t="s">
        <v>44</v>
      </c>
      <c r="L1796" s="9" t="s">
        <v>29</v>
      </c>
      <c r="M1796" s="9">
        <v>3890.05</v>
      </c>
    </row>
    <row r="1797" spans="1:13" x14ac:dyDescent="0.35">
      <c r="A1797" s="9">
        <v>4244</v>
      </c>
      <c r="B1797" s="9" t="s">
        <v>31</v>
      </c>
      <c r="C1797" s="9" t="s">
        <v>18</v>
      </c>
      <c r="D1797" s="9" t="s">
        <v>41</v>
      </c>
      <c r="E1797" s="9" t="s">
        <v>62</v>
      </c>
      <c r="F1797" s="9">
        <v>2</v>
      </c>
      <c r="G1797" s="9">
        <v>0</v>
      </c>
      <c r="H1797" s="9">
        <v>0.54</v>
      </c>
      <c r="I1797" s="9">
        <v>0</v>
      </c>
      <c r="J1797" s="10">
        <v>45594</v>
      </c>
      <c r="K1797" s="9" t="s">
        <v>44</v>
      </c>
      <c r="L1797" s="9" t="s">
        <v>25</v>
      </c>
      <c r="M1797" s="9">
        <v>161.88</v>
      </c>
    </row>
    <row r="1798" spans="1:13" x14ac:dyDescent="0.35">
      <c r="A1798" s="9">
        <v>4245</v>
      </c>
      <c r="B1798" s="9" t="s">
        <v>34</v>
      </c>
      <c r="C1798" s="9" t="s">
        <v>22</v>
      </c>
      <c r="D1798" s="9" t="s">
        <v>68</v>
      </c>
      <c r="E1798" s="9" t="s">
        <v>59</v>
      </c>
      <c r="F1798" s="9">
        <v>3</v>
      </c>
      <c r="G1798" s="9">
        <v>0</v>
      </c>
      <c r="H1798" s="9">
        <v>0.17</v>
      </c>
      <c r="I1798" s="9">
        <v>0</v>
      </c>
      <c r="J1798" s="10">
        <v>45638</v>
      </c>
      <c r="K1798" s="9" t="s">
        <v>45</v>
      </c>
      <c r="L1798" s="9" t="s">
        <v>29</v>
      </c>
      <c r="M1798" s="9">
        <v>2445.12</v>
      </c>
    </row>
    <row r="1799" spans="1:13" x14ac:dyDescent="0.35">
      <c r="A1799" s="9">
        <v>4246</v>
      </c>
      <c r="B1799" s="9" t="s">
        <v>31</v>
      </c>
      <c r="C1799" s="9" t="s">
        <v>20</v>
      </c>
      <c r="D1799" s="9" t="s">
        <v>70</v>
      </c>
      <c r="E1799" s="9" t="s">
        <v>60</v>
      </c>
      <c r="F1799" s="9">
        <v>0</v>
      </c>
      <c r="G1799" s="9">
        <v>3576.04</v>
      </c>
      <c r="H1799" s="9">
        <v>0</v>
      </c>
      <c r="I1799" s="9">
        <v>0</v>
      </c>
      <c r="J1799" s="10">
        <v>45667</v>
      </c>
      <c r="K1799" s="9" t="s">
        <v>44</v>
      </c>
      <c r="L1799" s="9" t="s">
        <v>26</v>
      </c>
      <c r="M1799" s="9">
        <v>3581.39</v>
      </c>
    </row>
    <row r="1800" spans="1:13" x14ac:dyDescent="0.35">
      <c r="A1800" s="9">
        <v>4247</v>
      </c>
      <c r="B1800" s="9" t="s">
        <v>34</v>
      </c>
      <c r="C1800" s="9" t="s">
        <v>18</v>
      </c>
      <c r="D1800" s="9" t="s">
        <v>33</v>
      </c>
      <c r="E1800" s="9" t="s">
        <v>59</v>
      </c>
      <c r="F1800" s="9">
        <v>1</v>
      </c>
      <c r="G1800" s="9">
        <v>0</v>
      </c>
      <c r="H1800" s="9">
        <v>0.69</v>
      </c>
      <c r="I1800" s="9">
        <v>0</v>
      </c>
      <c r="J1800" s="10">
        <v>45714</v>
      </c>
      <c r="K1800" s="9" t="s">
        <v>44</v>
      </c>
      <c r="L1800" s="9" t="s">
        <v>27</v>
      </c>
      <c r="M1800" s="9">
        <v>1585.72</v>
      </c>
    </row>
    <row r="1801" spans="1:13" x14ac:dyDescent="0.35">
      <c r="A1801" s="9">
        <v>4248</v>
      </c>
      <c r="B1801" s="9" t="s">
        <v>34</v>
      </c>
      <c r="C1801" s="9" t="s">
        <v>19</v>
      </c>
      <c r="D1801" s="9" t="s">
        <v>39</v>
      </c>
      <c r="E1801" s="9" t="s">
        <v>62</v>
      </c>
      <c r="F1801" s="9">
        <v>0</v>
      </c>
      <c r="G1801" s="9">
        <v>4045.64</v>
      </c>
      <c r="H1801" s="9">
        <v>0</v>
      </c>
      <c r="I1801" s="9">
        <v>0</v>
      </c>
      <c r="J1801" s="10">
        <v>45714</v>
      </c>
      <c r="K1801" s="9" t="s">
        <v>44</v>
      </c>
      <c r="L1801" s="9" t="s">
        <v>26</v>
      </c>
      <c r="M1801" s="9">
        <v>2167.88</v>
      </c>
    </row>
    <row r="1802" spans="1:13" x14ac:dyDescent="0.35">
      <c r="A1802" s="9">
        <v>4249</v>
      </c>
      <c r="B1802" s="9" t="s">
        <v>34</v>
      </c>
      <c r="C1802" s="9" t="s">
        <v>18</v>
      </c>
      <c r="D1802" s="9" t="s">
        <v>33</v>
      </c>
      <c r="E1802" s="9" t="s">
        <v>60</v>
      </c>
      <c r="F1802" s="9">
        <v>1</v>
      </c>
      <c r="G1802" s="9">
        <v>2902.95</v>
      </c>
      <c r="H1802" s="9">
        <v>0.6</v>
      </c>
      <c r="I1802" s="9">
        <v>1161.18</v>
      </c>
      <c r="J1802" s="10">
        <v>45576</v>
      </c>
      <c r="K1802" s="9" t="s">
        <v>44</v>
      </c>
      <c r="L1802" s="9" t="s">
        <v>25</v>
      </c>
      <c r="M1802" s="9">
        <v>-855.08</v>
      </c>
    </row>
    <row r="1803" spans="1:13" x14ac:dyDescent="0.35">
      <c r="A1803" s="9">
        <v>4250</v>
      </c>
      <c r="B1803" s="9" t="s">
        <v>28</v>
      </c>
      <c r="C1803" s="9" t="s">
        <v>22</v>
      </c>
      <c r="D1803" s="9" t="s">
        <v>65</v>
      </c>
      <c r="E1803" s="9" t="s">
        <v>59</v>
      </c>
      <c r="F1803" s="9">
        <v>0</v>
      </c>
      <c r="G1803" s="9">
        <v>0</v>
      </c>
      <c r="H1803" s="9">
        <v>0</v>
      </c>
      <c r="I1803" s="9">
        <v>0</v>
      </c>
      <c r="J1803" s="10">
        <v>45673</v>
      </c>
      <c r="K1803" s="9" t="s">
        <v>45</v>
      </c>
      <c r="L1803" s="9" t="s">
        <v>27</v>
      </c>
      <c r="M1803" s="9">
        <v>2005.64</v>
      </c>
    </row>
    <row r="1804" spans="1:13" x14ac:dyDescent="0.35">
      <c r="A1804" s="9">
        <v>4251</v>
      </c>
      <c r="B1804" s="9" t="s">
        <v>34</v>
      </c>
      <c r="C1804" s="9" t="s">
        <v>22</v>
      </c>
      <c r="D1804" s="9" t="s">
        <v>30</v>
      </c>
      <c r="E1804" s="9" t="s">
        <v>59</v>
      </c>
      <c r="F1804" s="9">
        <v>1</v>
      </c>
      <c r="G1804" s="9">
        <v>0</v>
      </c>
      <c r="H1804" s="9">
        <v>0.59</v>
      </c>
      <c r="I1804" s="9">
        <v>0</v>
      </c>
      <c r="J1804" s="10">
        <v>45298</v>
      </c>
      <c r="K1804" s="9" t="s">
        <v>44</v>
      </c>
      <c r="L1804" s="9" t="s">
        <v>26</v>
      </c>
      <c r="M1804" s="9">
        <v>354.2</v>
      </c>
    </row>
    <row r="1805" spans="1:13" x14ac:dyDescent="0.35">
      <c r="A1805" s="9">
        <v>4252</v>
      </c>
      <c r="B1805" s="9" t="s">
        <v>34</v>
      </c>
      <c r="C1805" s="9" t="s">
        <v>18</v>
      </c>
      <c r="D1805" s="9" t="s">
        <v>37</v>
      </c>
      <c r="E1805" s="9" t="s">
        <v>60</v>
      </c>
      <c r="F1805" s="9">
        <v>0</v>
      </c>
      <c r="G1805" s="9">
        <v>0</v>
      </c>
      <c r="H1805" s="9">
        <v>1</v>
      </c>
      <c r="I1805" s="9">
        <v>0</v>
      </c>
      <c r="J1805" s="10">
        <v>45451</v>
      </c>
      <c r="K1805" s="9" t="s">
        <v>45</v>
      </c>
      <c r="L1805" s="9" t="s">
        <v>32</v>
      </c>
      <c r="M1805" s="9">
        <v>2633.21</v>
      </c>
    </row>
    <row r="1806" spans="1:13" x14ac:dyDescent="0.35">
      <c r="A1806" s="9">
        <v>2019</v>
      </c>
      <c r="B1806" s="9" t="s">
        <v>31</v>
      </c>
      <c r="C1806" s="9" t="s">
        <v>20</v>
      </c>
      <c r="D1806" s="9" t="s">
        <v>66</v>
      </c>
      <c r="E1806" s="9" t="s">
        <v>62</v>
      </c>
      <c r="F1806" s="9">
        <v>2</v>
      </c>
      <c r="G1806" s="9">
        <v>8072.86</v>
      </c>
      <c r="H1806" s="9">
        <v>0</v>
      </c>
      <c r="I1806" s="9">
        <v>0</v>
      </c>
      <c r="J1806" s="10">
        <v>45451</v>
      </c>
      <c r="K1806" s="9" t="s">
        <v>45</v>
      </c>
      <c r="L1806" s="9" t="s">
        <v>27</v>
      </c>
      <c r="M1806" s="9">
        <v>1387.97</v>
      </c>
    </row>
    <row r="1807" spans="1:13" x14ac:dyDescent="0.35">
      <c r="A1807" s="9">
        <v>4256</v>
      </c>
      <c r="B1807" s="9" t="s">
        <v>28</v>
      </c>
      <c r="C1807" s="9" t="s">
        <v>19</v>
      </c>
      <c r="D1807" s="9" t="s">
        <v>42</v>
      </c>
      <c r="E1807" s="9" t="s">
        <v>62</v>
      </c>
      <c r="F1807" s="9">
        <v>4</v>
      </c>
      <c r="G1807" s="9">
        <v>0</v>
      </c>
      <c r="H1807" s="9">
        <v>0.52</v>
      </c>
      <c r="I1807" s="9">
        <v>0</v>
      </c>
      <c r="J1807" s="10">
        <v>45644</v>
      </c>
      <c r="K1807" s="9" t="s">
        <v>45</v>
      </c>
      <c r="L1807" s="9" t="s">
        <v>32</v>
      </c>
      <c r="M1807" s="9">
        <v>-782.15</v>
      </c>
    </row>
    <row r="1808" spans="1:13" x14ac:dyDescent="0.35">
      <c r="A1808" s="9">
        <v>4258</v>
      </c>
      <c r="B1808" s="9" t="s">
        <v>34</v>
      </c>
      <c r="C1808" s="9" t="s">
        <v>21</v>
      </c>
      <c r="D1808" s="9" t="s">
        <v>71</v>
      </c>
      <c r="E1808" s="9" t="s">
        <v>60</v>
      </c>
      <c r="F1808" s="9">
        <v>-1</v>
      </c>
      <c r="G1808" s="9">
        <v>4189.3599999999997</v>
      </c>
      <c r="H1808" s="9">
        <v>0</v>
      </c>
      <c r="I1808" s="9">
        <v>0</v>
      </c>
      <c r="J1808" s="10">
        <v>45453</v>
      </c>
      <c r="K1808" s="9" t="s">
        <v>44</v>
      </c>
      <c r="L1808" s="9" t="s">
        <v>35</v>
      </c>
      <c r="M1808" s="9">
        <v>1276.3399999999999</v>
      </c>
    </row>
    <row r="1809" spans="1:13" x14ac:dyDescent="0.35">
      <c r="A1809" s="9">
        <v>4259</v>
      </c>
      <c r="B1809" s="9" t="s">
        <v>31</v>
      </c>
      <c r="C1809" s="9" t="s">
        <v>21</v>
      </c>
      <c r="D1809" s="9" t="s">
        <v>40</v>
      </c>
      <c r="E1809" s="9" t="s">
        <v>60</v>
      </c>
      <c r="F1809" s="9">
        <v>0</v>
      </c>
      <c r="G1809" s="9">
        <v>0</v>
      </c>
      <c r="H1809" s="9">
        <v>0.35</v>
      </c>
      <c r="I1809" s="9">
        <v>0</v>
      </c>
      <c r="J1809" s="10">
        <v>45191</v>
      </c>
      <c r="K1809" s="9" t="s">
        <v>44</v>
      </c>
      <c r="L1809" s="9" t="s">
        <v>25</v>
      </c>
      <c r="M1809" s="9">
        <v>3351.25</v>
      </c>
    </row>
    <row r="1810" spans="1:13" x14ac:dyDescent="0.35">
      <c r="A1810" s="9">
        <v>2044</v>
      </c>
      <c r="B1810" s="9" t="s">
        <v>31</v>
      </c>
      <c r="C1810" s="9" t="s">
        <v>18</v>
      </c>
      <c r="D1810" s="9" t="s">
        <v>33</v>
      </c>
      <c r="E1810" s="9" t="s">
        <v>62</v>
      </c>
      <c r="F1810" s="9">
        <v>0</v>
      </c>
      <c r="G1810" s="9">
        <v>0</v>
      </c>
      <c r="H1810" s="9">
        <v>0</v>
      </c>
      <c r="I1810" s="9">
        <v>0</v>
      </c>
      <c r="J1810" s="10">
        <v>45151</v>
      </c>
      <c r="K1810" s="9" t="s">
        <v>45</v>
      </c>
      <c r="L1810" s="9" t="s">
        <v>25</v>
      </c>
      <c r="M1810" s="9">
        <v>1192.96</v>
      </c>
    </row>
    <row r="1811" spans="1:13" x14ac:dyDescent="0.35">
      <c r="A1811" s="9">
        <v>4262</v>
      </c>
      <c r="B1811" s="9" t="s">
        <v>28</v>
      </c>
      <c r="C1811" s="9" t="s">
        <v>22</v>
      </c>
      <c r="D1811" s="9" t="s">
        <v>30</v>
      </c>
      <c r="E1811" s="9" t="s">
        <v>62</v>
      </c>
      <c r="F1811" s="9">
        <v>0</v>
      </c>
      <c r="G1811" s="9">
        <v>0</v>
      </c>
      <c r="H1811" s="9">
        <v>0</v>
      </c>
      <c r="I1811" s="9">
        <v>0</v>
      </c>
      <c r="J1811" s="10">
        <v>45765</v>
      </c>
      <c r="K1811" s="9" t="s">
        <v>45</v>
      </c>
      <c r="L1811" s="9" t="s">
        <v>26</v>
      </c>
      <c r="M1811" s="9">
        <v>-975.63</v>
      </c>
    </row>
    <row r="1812" spans="1:13" x14ac:dyDescent="0.35">
      <c r="A1812" s="9">
        <v>4264</v>
      </c>
      <c r="B1812" s="9" t="s">
        <v>34</v>
      </c>
      <c r="C1812" s="9" t="s">
        <v>21</v>
      </c>
      <c r="D1812" s="9" t="s">
        <v>40</v>
      </c>
      <c r="E1812" s="9" t="s">
        <v>59</v>
      </c>
      <c r="F1812" s="9">
        <v>-1</v>
      </c>
      <c r="G1812" s="9">
        <v>6012.55</v>
      </c>
      <c r="H1812" s="9">
        <v>0</v>
      </c>
      <c r="I1812" s="9">
        <v>0</v>
      </c>
      <c r="J1812" s="10">
        <v>45302</v>
      </c>
      <c r="K1812" s="9" t="s">
        <v>45</v>
      </c>
      <c r="L1812" s="9" t="s">
        <v>29</v>
      </c>
      <c r="M1812" s="9">
        <v>783.79</v>
      </c>
    </row>
    <row r="1813" spans="1:13" x14ac:dyDescent="0.35">
      <c r="A1813" s="9">
        <v>4265</v>
      </c>
      <c r="B1813" s="9" t="s">
        <v>34</v>
      </c>
      <c r="C1813" s="9" t="s">
        <v>18</v>
      </c>
      <c r="D1813" s="9" t="s">
        <v>33</v>
      </c>
      <c r="E1813" s="9" t="s">
        <v>59</v>
      </c>
      <c r="F1813" s="9">
        <v>0</v>
      </c>
      <c r="G1813" s="9">
        <v>0</v>
      </c>
      <c r="H1813" s="9">
        <v>0</v>
      </c>
      <c r="I1813" s="9">
        <v>0</v>
      </c>
      <c r="J1813" s="10">
        <v>45330</v>
      </c>
      <c r="K1813" s="9" t="s">
        <v>45</v>
      </c>
      <c r="L1813" s="9" t="s">
        <v>27</v>
      </c>
      <c r="M1813" s="9">
        <v>1852.59</v>
      </c>
    </row>
    <row r="1814" spans="1:13" x14ac:dyDescent="0.35">
      <c r="A1814" s="9">
        <v>4266</v>
      </c>
      <c r="B1814" s="9" t="s">
        <v>31</v>
      </c>
      <c r="C1814" s="9" t="s">
        <v>21</v>
      </c>
      <c r="D1814" s="9" t="s">
        <v>64</v>
      </c>
      <c r="E1814" s="9" t="s">
        <v>62</v>
      </c>
      <c r="F1814" s="9">
        <v>3</v>
      </c>
      <c r="G1814" s="9">
        <v>0</v>
      </c>
      <c r="H1814" s="9">
        <v>0</v>
      </c>
      <c r="I1814" s="9">
        <v>0</v>
      </c>
      <c r="J1814" s="10">
        <v>45842</v>
      </c>
      <c r="K1814" s="9" t="s">
        <v>45</v>
      </c>
      <c r="L1814" s="9" t="s">
        <v>26</v>
      </c>
      <c r="M1814" s="9">
        <v>-898.11</v>
      </c>
    </row>
    <row r="1815" spans="1:13" x14ac:dyDescent="0.35">
      <c r="A1815" s="9">
        <v>4267</v>
      </c>
      <c r="B1815" s="9" t="s">
        <v>28</v>
      </c>
      <c r="C1815" s="9" t="s">
        <v>22</v>
      </c>
      <c r="D1815" s="9" t="s">
        <v>68</v>
      </c>
      <c r="E1815" s="9" t="s">
        <v>60</v>
      </c>
      <c r="F1815" s="9">
        <v>0</v>
      </c>
      <c r="G1815" s="9">
        <v>4101.5</v>
      </c>
      <c r="H1815" s="9">
        <v>0.28000000000000003</v>
      </c>
      <c r="I1815" s="9">
        <v>0</v>
      </c>
      <c r="J1815" s="10">
        <v>45842</v>
      </c>
      <c r="K1815" s="9" t="s">
        <v>44</v>
      </c>
      <c r="L1815" s="9" t="s">
        <v>35</v>
      </c>
      <c r="M1815" s="9">
        <v>2289.0500000000002</v>
      </c>
    </row>
    <row r="1816" spans="1:13" x14ac:dyDescent="0.35">
      <c r="A1816" s="9">
        <v>4268</v>
      </c>
      <c r="B1816" s="9" t="s">
        <v>31</v>
      </c>
      <c r="C1816" s="9" t="s">
        <v>21</v>
      </c>
      <c r="D1816" s="9" t="s">
        <v>64</v>
      </c>
      <c r="E1816" s="9" t="s">
        <v>60</v>
      </c>
      <c r="F1816" s="9">
        <v>1</v>
      </c>
      <c r="G1816" s="9">
        <v>6321.98</v>
      </c>
      <c r="H1816" s="9">
        <v>0</v>
      </c>
      <c r="I1816" s="9">
        <v>0</v>
      </c>
      <c r="J1816" s="10">
        <v>45842</v>
      </c>
      <c r="K1816" s="9" t="s">
        <v>45</v>
      </c>
      <c r="L1816" s="9" t="s">
        <v>26</v>
      </c>
      <c r="M1816" s="9">
        <v>-557.35</v>
      </c>
    </row>
    <row r="1817" spans="1:13" x14ac:dyDescent="0.35">
      <c r="A1817" s="9">
        <v>4269</v>
      </c>
      <c r="B1817" s="9" t="s">
        <v>34</v>
      </c>
      <c r="C1817" s="9" t="s">
        <v>22</v>
      </c>
      <c r="D1817" s="9" t="s">
        <v>68</v>
      </c>
      <c r="E1817" s="9" t="s">
        <v>60</v>
      </c>
      <c r="F1817" s="9">
        <v>2</v>
      </c>
      <c r="G1817" s="9">
        <v>0</v>
      </c>
      <c r="H1817" s="9">
        <v>0</v>
      </c>
      <c r="I1817" s="9">
        <v>0</v>
      </c>
      <c r="J1817" s="10">
        <v>45842</v>
      </c>
      <c r="K1817" s="9" t="s">
        <v>45</v>
      </c>
      <c r="L1817" s="9" t="s">
        <v>35</v>
      </c>
      <c r="M1817" s="9">
        <v>672.46</v>
      </c>
    </row>
    <row r="1818" spans="1:13" x14ac:dyDescent="0.35">
      <c r="A1818" s="9">
        <v>4270</v>
      </c>
      <c r="B1818" s="9" t="s">
        <v>34</v>
      </c>
      <c r="C1818" s="9" t="s">
        <v>19</v>
      </c>
      <c r="D1818" s="9" t="s">
        <v>42</v>
      </c>
      <c r="E1818" s="9" t="s">
        <v>60</v>
      </c>
      <c r="F1818" s="9">
        <v>0</v>
      </c>
      <c r="G1818" s="9">
        <v>0</v>
      </c>
      <c r="H1818" s="9">
        <v>0</v>
      </c>
      <c r="I1818" s="9">
        <v>0</v>
      </c>
      <c r="J1818" s="10">
        <v>45658</v>
      </c>
      <c r="K1818" s="9" t="s">
        <v>45</v>
      </c>
      <c r="L1818" s="9" t="s">
        <v>25</v>
      </c>
      <c r="M1818" s="9">
        <v>679.64</v>
      </c>
    </row>
    <row r="1819" spans="1:13" x14ac:dyDescent="0.35">
      <c r="A1819" s="9">
        <v>4271</v>
      </c>
      <c r="B1819" s="9" t="s">
        <v>34</v>
      </c>
      <c r="C1819" s="9" t="s">
        <v>21</v>
      </c>
      <c r="D1819" s="9" t="s">
        <v>64</v>
      </c>
      <c r="E1819" s="9" t="s">
        <v>62</v>
      </c>
      <c r="F1819" s="9">
        <v>0</v>
      </c>
      <c r="G1819" s="9">
        <v>4426.6899999999996</v>
      </c>
      <c r="H1819" s="9">
        <v>0.52</v>
      </c>
      <c r="I1819" s="9">
        <v>0</v>
      </c>
      <c r="J1819" s="10">
        <v>45670</v>
      </c>
      <c r="K1819" s="9" t="s">
        <v>45</v>
      </c>
      <c r="L1819" s="9" t="s">
        <v>25</v>
      </c>
      <c r="M1819" s="9">
        <v>-389.08</v>
      </c>
    </row>
    <row r="1820" spans="1:13" x14ac:dyDescent="0.35">
      <c r="A1820" s="9">
        <v>4272</v>
      </c>
      <c r="B1820" s="9" t="s">
        <v>28</v>
      </c>
      <c r="C1820" s="9" t="s">
        <v>22</v>
      </c>
      <c r="D1820" s="9" t="s">
        <v>65</v>
      </c>
      <c r="E1820" s="9" t="s">
        <v>59</v>
      </c>
      <c r="F1820" s="9">
        <v>0</v>
      </c>
      <c r="G1820" s="9">
        <v>4529.5200000000004</v>
      </c>
      <c r="H1820" s="9">
        <v>0</v>
      </c>
      <c r="I1820" s="9">
        <v>0</v>
      </c>
      <c r="J1820" s="10">
        <v>45831</v>
      </c>
      <c r="K1820" s="9" t="s">
        <v>45</v>
      </c>
      <c r="L1820" s="9" t="s">
        <v>26</v>
      </c>
      <c r="M1820" s="9">
        <v>2722.9</v>
      </c>
    </row>
    <row r="1821" spans="1:13" x14ac:dyDescent="0.35">
      <c r="A1821" s="9">
        <v>4273</v>
      </c>
      <c r="B1821" s="9" t="s">
        <v>34</v>
      </c>
      <c r="C1821" s="9" t="s">
        <v>19</v>
      </c>
      <c r="D1821" s="9" t="s">
        <v>69</v>
      </c>
      <c r="E1821" s="9" t="s">
        <v>59</v>
      </c>
      <c r="F1821" s="9">
        <v>3</v>
      </c>
      <c r="G1821" s="9">
        <v>3407.16</v>
      </c>
      <c r="H1821" s="9">
        <v>0</v>
      </c>
      <c r="I1821" s="9">
        <v>0</v>
      </c>
      <c r="J1821" s="10">
        <v>45677</v>
      </c>
      <c r="K1821" s="9" t="s">
        <v>44</v>
      </c>
      <c r="L1821" s="9" t="s">
        <v>26</v>
      </c>
      <c r="M1821" s="9">
        <v>1161.05</v>
      </c>
    </row>
    <row r="1822" spans="1:13" x14ac:dyDescent="0.35">
      <c r="A1822" s="9">
        <v>4274</v>
      </c>
      <c r="B1822" s="9" t="s">
        <v>31</v>
      </c>
      <c r="C1822" s="9" t="s">
        <v>22</v>
      </c>
      <c r="D1822" s="9" t="s">
        <v>67</v>
      </c>
      <c r="E1822" s="9" t="s">
        <v>62</v>
      </c>
      <c r="F1822" s="9">
        <v>0</v>
      </c>
      <c r="G1822" s="9">
        <v>0</v>
      </c>
      <c r="H1822" s="9">
        <v>0</v>
      </c>
      <c r="I1822" s="9">
        <v>0</v>
      </c>
      <c r="J1822" s="10">
        <v>45774</v>
      </c>
      <c r="K1822" s="9" t="s">
        <v>45</v>
      </c>
      <c r="L1822" s="9" t="s">
        <v>26</v>
      </c>
      <c r="M1822" s="9">
        <v>1957.94</v>
      </c>
    </row>
    <row r="1823" spans="1:13" x14ac:dyDescent="0.35">
      <c r="A1823" s="9">
        <v>4275</v>
      </c>
      <c r="B1823" s="9" t="s">
        <v>28</v>
      </c>
      <c r="C1823" s="9" t="s">
        <v>21</v>
      </c>
      <c r="D1823" s="9" t="s">
        <v>71</v>
      </c>
      <c r="E1823" s="9" t="s">
        <v>59</v>
      </c>
      <c r="F1823" s="9">
        <v>0</v>
      </c>
      <c r="G1823" s="9">
        <v>0</v>
      </c>
      <c r="H1823" s="9">
        <v>0</v>
      </c>
      <c r="I1823" s="9">
        <v>0</v>
      </c>
      <c r="J1823" s="10">
        <v>45774</v>
      </c>
      <c r="K1823" s="9" t="s">
        <v>44</v>
      </c>
      <c r="L1823" s="9" t="s">
        <v>26</v>
      </c>
      <c r="M1823" s="9">
        <v>557.80999999999995</v>
      </c>
    </row>
    <row r="1824" spans="1:13" x14ac:dyDescent="0.35">
      <c r="A1824" s="9">
        <v>4276</v>
      </c>
      <c r="B1824" s="9" t="s">
        <v>31</v>
      </c>
      <c r="C1824" s="9" t="s">
        <v>22</v>
      </c>
      <c r="D1824" s="9" t="s">
        <v>67</v>
      </c>
      <c r="E1824" s="9" t="s">
        <v>59</v>
      </c>
      <c r="F1824" s="9">
        <v>3</v>
      </c>
      <c r="G1824" s="9">
        <v>0</v>
      </c>
      <c r="H1824" s="9">
        <v>0</v>
      </c>
      <c r="I1824" s="9">
        <v>0</v>
      </c>
      <c r="J1824" s="10">
        <v>45693</v>
      </c>
      <c r="K1824" s="9" t="s">
        <v>44</v>
      </c>
      <c r="L1824" s="9" t="s">
        <v>25</v>
      </c>
      <c r="M1824" s="9">
        <v>-1109.4000000000001</v>
      </c>
    </row>
    <row r="1825" spans="1:13" x14ac:dyDescent="0.35">
      <c r="A1825" s="9">
        <v>4277</v>
      </c>
      <c r="B1825" s="9" t="s">
        <v>28</v>
      </c>
      <c r="C1825" s="9" t="s">
        <v>19</v>
      </c>
      <c r="D1825" s="9" t="s">
        <v>69</v>
      </c>
      <c r="E1825" s="9" t="s">
        <v>59</v>
      </c>
      <c r="F1825" s="9">
        <v>0</v>
      </c>
      <c r="G1825" s="9">
        <v>6924.77</v>
      </c>
      <c r="H1825" s="9">
        <v>0</v>
      </c>
      <c r="I1825" s="9">
        <v>0</v>
      </c>
      <c r="J1825" s="10">
        <v>45568</v>
      </c>
      <c r="K1825" s="9" t="s">
        <v>45</v>
      </c>
      <c r="L1825" s="9" t="s">
        <v>25</v>
      </c>
      <c r="M1825" s="9">
        <v>555.86</v>
      </c>
    </row>
    <row r="1826" spans="1:13" x14ac:dyDescent="0.35">
      <c r="A1826" s="9">
        <v>4278</v>
      </c>
      <c r="B1826" s="9" t="s">
        <v>34</v>
      </c>
      <c r="C1826" s="9" t="s">
        <v>22</v>
      </c>
      <c r="D1826" s="9" t="s">
        <v>68</v>
      </c>
      <c r="E1826" s="9" t="s">
        <v>59</v>
      </c>
      <c r="F1826" s="9">
        <v>0</v>
      </c>
      <c r="G1826" s="9">
        <v>5606.81</v>
      </c>
      <c r="H1826" s="9">
        <v>0</v>
      </c>
      <c r="I1826" s="9">
        <v>0</v>
      </c>
      <c r="J1826" s="10">
        <v>45568</v>
      </c>
      <c r="K1826" s="9" t="s">
        <v>44</v>
      </c>
      <c r="L1826" s="9" t="s">
        <v>35</v>
      </c>
      <c r="M1826" s="9">
        <v>-356.42</v>
      </c>
    </row>
    <row r="1827" spans="1:13" x14ac:dyDescent="0.35">
      <c r="A1827" s="9">
        <v>4279</v>
      </c>
      <c r="B1827" s="9" t="s">
        <v>31</v>
      </c>
      <c r="C1827" s="9" t="s">
        <v>18</v>
      </c>
      <c r="D1827" s="9" t="s">
        <v>38</v>
      </c>
      <c r="E1827" s="9" t="s">
        <v>62</v>
      </c>
      <c r="F1827" s="9">
        <v>0</v>
      </c>
      <c r="G1827" s="9">
        <v>0</v>
      </c>
      <c r="H1827" s="9">
        <v>0</v>
      </c>
      <c r="I1827" s="9">
        <v>0</v>
      </c>
      <c r="J1827" s="10">
        <v>45777</v>
      </c>
      <c r="K1827" s="9" t="s">
        <v>44</v>
      </c>
      <c r="L1827" s="9" t="s">
        <v>35</v>
      </c>
      <c r="M1827" s="9">
        <v>1724.71</v>
      </c>
    </row>
    <row r="1828" spans="1:13" x14ac:dyDescent="0.35">
      <c r="A1828" s="9">
        <v>4280</v>
      </c>
      <c r="B1828" s="9" t="s">
        <v>28</v>
      </c>
      <c r="C1828" s="9" t="s">
        <v>19</v>
      </c>
      <c r="D1828" s="9" t="s">
        <v>69</v>
      </c>
      <c r="E1828" s="9" t="s">
        <v>59</v>
      </c>
      <c r="F1828" s="9">
        <v>0</v>
      </c>
      <c r="G1828" s="9">
        <v>0</v>
      </c>
      <c r="H1828" s="9">
        <v>0.45</v>
      </c>
      <c r="I1828" s="9">
        <v>0</v>
      </c>
      <c r="J1828" s="10">
        <v>45515</v>
      </c>
      <c r="K1828" s="9" t="s">
        <v>44</v>
      </c>
      <c r="L1828" s="9" t="s">
        <v>27</v>
      </c>
      <c r="M1828" s="9">
        <v>3800.29</v>
      </c>
    </row>
    <row r="1829" spans="1:13" x14ac:dyDescent="0.35">
      <c r="A1829" s="9">
        <v>4281</v>
      </c>
      <c r="B1829" s="9" t="s">
        <v>34</v>
      </c>
      <c r="C1829" s="9" t="s">
        <v>22</v>
      </c>
      <c r="D1829" s="9" t="s">
        <v>65</v>
      </c>
      <c r="E1829" s="9" t="s">
        <v>59</v>
      </c>
      <c r="F1829" s="9">
        <v>0</v>
      </c>
      <c r="G1829" s="9">
        <v>0</v>
      </c>
      <c r="H1829" s="9">
        <v>0</v>
      </c>
      <c r="I1829" s="9">
        <v>0</v>
      </c>
      <c r="J1829" s="10">
        <v>45515</v>
      </c>
      <c r="K1829" s="9" t="s">
        <v>44</v>
      </c>
      <c r="L1829" s="9" t="s">
        <v>26</v>
      </c>
      <c r="M1829" s="9">
        <v>88.91</v>
      </c>
    </row>
    <row r="1830" spans="1:13" x14ac:dyDescent="0.35">
      <c r="A1830" s="9">
        <v>4283</v>
      </c>
      <c r="B1830" s="9" t="s">
        <v>31</v>
      </c>
      <c r="C1830" s="9" t="s">
        <v>18</v>
      </c>
      <c r="D1830" s="9" t="s">
        <v>38</v>
      </c>
      <c r="E1830" s="9" t="s">
        <v>59</v>
      </c>
      <c r="F1830" s="9">
        <v>1</v>
      </c>
      <c r="G1830" s="9">
        <v>9649.36</v>
      </c>
      <c r="H1830" s="9">
        <v>0.95</v>
      </c>
      <c r="I1830" s="9">
        <v>482.47</v>
      </c>
      <c r="J1830" s="10">
        <v>45714</v>
      </c>
      <c r="K1830" s="9" t="s">
        <v>44</v>
      </c>
      <c r="L1830" s="9" t="s">
        <v>25</v>
      </c>
      <c r="M1830" s="9">
        <v>1158.69</v>
      </c>
    </row>
    <row r="1831" spans="1:13" x14ac:dyDescent="0.35">
      <c r="A1831" s="9">
        <v>4286</v>
      </c>
      <c r="B1831" s="9" t="s">
        <v>34</v>
      </c>
      <c r="C1831" s="9" t="s">
        <v>19</v>
      </c>
      <c r="D1831" s="9" t="s">
        <v>42</v>
      </c>
      <c r="E1831" s="9" t="s">
        <v>60</v>
      </c>
      <c r="F1831" s="9">
        <v>0</v>
      </c>
      <c r="G1831" s="9">
        <v>5385.78</v>
      </c>
      <c r="H1831" s="9">
        <v>0</v>
      </c>
      <c r="I1831" s="9">
        <v>0</v>
      </c>
      <c r="J1831" s="10">
        <v>45816</v>
      </c>
      <c r="K1831" s="9" t="s">
        <v>45</v>
      </c>
      <c r="L1831" s="9" t="s">
        <v>27</v>
      </c>
      <c r="M1831" s="9">
        <v>840.25</v>
      </c>
    </row>
    <row r="1832" spans="1:13" x14ac:dyDescent="0.35">
      <c r="A1832" s="9">
        <v>4287</v>
      </c>
      <c r="B1832" s="9" t="s">
        <v>34</v>
      </c>
      <c r="C1832" s="9" t="s">
        <v>21</v>
      </c>
      <c r="D1832" s="9" t="s">
        <v>64</v>
      </c>
      <c r="E1832" s="9" t="s">
        <v>59</v>
      </c>
      <c r="F1832" s="9">
        <v>0</v>
      </c>
      <c r="G1832" s="9">
        <v>0</v>
      </c>
      <c r="H1832" s="9">
        <v>0</v>
      </c>
      <c r="I1832" s="9">
        <v>0</v>
      </c>
      <c r="J1832" s="10">
        <v>45816</v>
      </c>
      <c r="K1832" s="9" t="s">
        <v>44</v>
      </c>
      <c r="L1832" s="9" t="s">
        <v>27</v>
      </c>
      <c r="M1832" s="9">
        <v>-157.55000000000001</v>
      </c>
    </row>
    <row r="1833" spans="1:13" x14ac:dyDescent="0.35">
      <c r="A1833" s="9">
        <v>4289</v>
      </c>
      <c r="B1833" s="9" t="s">
        <v>31</v>
      </c>
      <c r="C1833" s="9" t="s">
        <v>21</v>
      </c>
      <c r="D1833" s="9" t="s">
        <v>64</v>
      </c>
      <c r="E1833" s="9" t="s">
        <v>60</v>
      </c>
      <c r="F1833" s="9">
        <v>0</v>
      </c>
      <c r="G1833" s="9">
        <v>0</v>
      </c>
      <c r="H1833" s="9">
        <v>0.1</v>
      </c>
      <c r="I1833" s="9">
        <v>0</v>
      </c>
      <c r="J1833" s="10">
        <v>45816</v>
      </c>
      <c r="K1833" s="9" t="s">
        <v>44</v>
      </c>
      <c r="L1833" s="9" t="s">
        <v>29</v>
      </c>
      <c r="M1833" s="9">
        <v>2164.64</v>
      </c>
    </row>
    <row r="1834" spans="1:13" x14ac:dyDescent="0.35">
      <c r="A1834" s="9">
        <v>4291</v>
      </c>
      <c r="B1834" s="9" t="s">
        <v>28</v>
      </c>
      <c r="C1834" s="9" t="s">
        <v>19</v>
      </c>
      <c r="D1834" s="9" t="s">
        <v>69</v>
      </c>
      <c r="E1834" s="9" t="s">
        <v>62</v>
      </c>
      <c r="F1834" s="9">
        <v>0</v>
      </c>
      <c r="G1834" s="9">
        <v>9306.5400000000009</v>
      </c>
      <c r="H1834" s="9">
        <v>0</v>
      </c>
      <c r="I1834" s="9">
        <v>0</v>
      </c>
      <c r="J1834" s="10">
        <v>45816</v>
      </c>
      <c r="K1834" s="9" t="s">
        <v>44</v>
      </c>
      <c r="L1834" s="9" t="s">
        <v>29</v>
      </c>
      <c r="M1834" s="9">
        <v>-25.67</v>
      </c>
    </row>
    <row r="1835" spans="1:13" x14ac:dyDescent="0.35">
      <c r="A1835" s="9">
        <v>4292</v>
      </c>
      <c r="B1835" s="9" t="s">
        <v>31</v>
      </c>
      <c r="C1835" s="9" t="s">
        <v>18</v>
      </c>
      <c r="D1835" s="9" t="s">
        <v>38</v>
      </c>
      <c r="E1835" s="9" t="s">
        <v>60</v>
      </c>
      <c r="F1835" s="9">
        <v>2</v>
      </c>
      <c r="G1835" s="9">
        <v>0</v>
      </c>
      <c r="H1835" s="9">
        <v>0.23</v>
      </c>
      <c r="I1835" s="9">
        <v>0</v>
      </c>
      <c r="J1835" s="10">
        <v>45620</v>
      </c>
      <c r="K1835" s="9" t="s">
        <v>45</v>
      </c>
      <c r="L1835" s="9" t="s">
        <v>29</v>
      </c>
      <c r="M1835" s="9">
        <v>1328.75</v>
      </c>
    </row>
    <row r="1836" spans="1:13" x14ac:dyDescent="0.35">
      <c r="A1836" s="9">
        <v>4293</v>
      </c>
      <c r="B1836" s="9" t="s">
        <v>28</v>
      </c>
      <c r="C1836" s="9" t="s">
        <v>22</v>
      </c>
      <c r="D1836" s="9" t="s">
        <v>67</v>
      </c>
      <c r="E1836" s="9" t="s">
        <v>62</v>
      </c>
      <c r="F1836" s="9">
        <v>0</v>
      </c>
      <c r="G1836" s="9">
        <v>0</v>
      </c>
      <c r="H1836" s="9">
        <v>0</v>
      </c>
      <c r="I1836" s="9">
        <v>0</v>
      </c>
      <c r="J1836" s="10">
        <v>45736</v>
      </c>
      <c r="K1836" s="9" t="s">
        <v>44</v>
      </c>
      <c r="L1836" s="9" t="s">
        <v>29</v>
      </c>
      <c r="M1836" s="9">
        <v>635.45000000000005</v>
      </c>
    </row>
    <row r="1837" spans="1:13" x14ac:dyDescent="0.35">
      <c r="A1837" s="9">
        <v>4295</v>
      </c>
      <c r="B1837" s="9" t="s">
        <v>28</v>
      </c>
      <c r="C1837" s="9" t="s">
        <v>22</v>
      </c>
      <c r="D1837" s="9" t="s">
        <v>65</v>
      </c>
      <c r="E1837" s="9" t="s">
        <v>59</v>
      </c>
      <c r="F1837" s="9">
        <v>4</v>
      </c>
      <c r="G1837" s="9">
        <v>4469.12</v>
      </c>
      <c r="H1837" s="9">
        <v>0</v>
      </c>
      <c r="I1837" s="9">
        <v>0</v>
      </c>
      <c r="J1837" s="10">
        <v>45731</v>
      </c>
      <c r="K1837" s="9" t="s">
        <v>44</v>
      </c>
      <c r="L1837" s="9" t="s">
        <v>26</v>
      </c>
      <c r="M1837" s="9">
        <v>-1033.4100000000001</v>
      </c>
    </row>
    <row r="1838" spans="1:13" x14ac:dyDescent="0.35">
      <c r="A1838" s="9">
        <v>4296</v>
      </c>
      <c r="B1838" s="9" t="s">
        <v>28</v>
      </c>
      <c r="C1838" s="9" t="s">
        <v>21</v>
      </c>
      <c r="D1838" s="9" t="s">
        <v>64</v>
      </c>
      <c r="E1838" s="9" t="s">
        <v>59</v>
      </c>
      <c r="F1838" s="9">
        <v>3</v>
      </c>
      <c r="G1838" s="9">
        <v>4121.58</v>
      </c>
      <c r="H1838" s="9">
        <v>0</v>
      </c>
      <c r="I1838" s="9">
        <v>0</v>
      </c>
      <c r="J1838" s="10">
        <v>45731</v>
      </c>
      <c r="K1838" s="9" t="s">
        <v>45</v>
      </c>
      <c r="L1838" s="9" t="s">
        <v>26</v>
      </c>
      <c r="M1838" s="9">
        <v>3702.74</v>
      </c>
    </row>
    <row r="1839" spans="1:13" x14ac:dyDescent="0.35">
      <c r="A1839" s="9">
        <v>4297</v>
      </c>
      <c r="B1839" s="9" t="s">
        <v>28</v>
      </c>
      <c r="C1839" s="9" t="s">
        <v>20</v>
      </c>
      <c r="D1839" s="9" t="s">
        <v>61</v>
      </c>
      <c r="E1839" s="9" t="s">
        <v>60</v>
      </c>
      <c r="F1839" s="9">
        <v>0</v>
      </c>
      <c r="G1839" s="9">
        <v>0</v>
      </c>
      <c r="H1839" s="9">
        <v>0</v>
      </c>
      <c r="I1839" s="9">
        <v>0</v>
      </c>
      <c r="J1839" s="10">
        <v>45722</v>
      </c>
      <c r="K1839" s="9" t="s">
        <v>45</v>
      </c>
      <c r="L1839" s="9" t="s">
        <v>27</v>
      </c>
      <c r="M1839" s="9">
        <v>1123.18</v>
      </c>
    </row>
    <row r="1840" spans="1:13" x14ac:dyDescent="0.35">
      <c r="A1840" s="9">
        <v>4302</v>
      </c>
      <c r="B1840" s="9" t="s">
        <v>34</v>
      </c>
      <c r="C1840" s="9" t="s">
        <v>18</v>
      </c>
      <c r="D1840" s="9" t="s">
        <v>33</v>
      </c>
      <c r="E1840" s="9" t="s">
        <v>59</v>
      </c>
      <c r="F1840" s="9">
        <v>0</v>
      </c>
      <c r="G1840" s="9">
        <v>0</v>
      </c>
      <c r="H1840" s="9">
        <v>0</v>
      </c>
      <c r="I1840" s="9">
        <v>0</v>
      </c>
      <c r="J1840" s="10">
        <v>45811</v>
      </c>
      <c r="K1840" s="9" t="s">
        <v>44</v>
      </c>
      <c r="L1840" s="9" t="s">
        <v>35</v>
      </c>
      <c r="M1840" s="9">
        <v>3813.44</v>
      </c>
    </row>
    <row r="1841" spans="1:13" x14ac:dyDescent="0.35">
      <c r="A1841" s="9">
        <v>4303</v>
      </c>
      <c r="B1841" s="9" t="s">
        <v>31</v>
      </c>
      <c r="C1841" s="9" t="s">
        <v>19</v>
      </c>
      <c r="D1841" s="9" t="s">
        <v>69</v>
      </c>
      <c r="E1841" s="9" t="s">
        <v>60</v>
      </c>
      <c r="F1841" s="9">
        <v>0</v>
      </c>
      <c r="G1841" s="9">
        <v>7587.07</v>
      </c>
      <c r="H1841" s="9">
        <v>0</v>
      </c>
      <c r="I1841" s="9">
        <v>0</v>
      </c>
      <c r="J1841" s="10">
        <v>45494</v>
      </c>
      <c r="K1841" s="9" t="s">
        <v>45</v>
      </c>
      <c r="L1841" s="9" t="s">
        <v>25</v>
      </c>
      <c r="M1841" s="9">
        <v>-1131.99</v>
      </c>
    </row>
    <row r="1842" spans="1:13" x14ac:dyDescent="0.35">
      <c r="A1842" s="9">
        <v>4304</v>
      </c>
      <c r="B1842" s="9" t="s">
        <v>34</v>
      </c>
      <c r="C1842" s="9" t="s">
        <v>22</v>
      </c>
      <c r="D1842" s="9" t="s">
        <v>67</v>
      </c>
      <c r="E1842" s="9" t="s">
        <v>60</v>
      </c>
      <c r="F1842" s="9">
        <v>0</v>
      </c>
      <c r="G1842" s="9">
        <v>4877.24</v>
      </c>
      <c r="H1842" s="9">
        <v>0</v>
      </c>
      <c r="I1842" s="9">
        <v>0</v>
      </c>
      <c r="J1842" s="10">
        <v>45480</v>
      </c>
      <c r="K1842" s="9" t="s">
        <v>44</v>
      </c>
      <c r="L1842" s="9" t="s">
        <v>32</v>
      </c>
      <c r="M1842" s="9">
        <v>2692.2</v>
      </c>
    </row>
    <row r="1843" spans="1:13" x14ac:dyDescent="0.35">
      <c r="A1843" s="9">
        <v>4305</v>
      </c>
      <c r="B1843" s="9" t="s">
        <v>28</v>
      </c>
      <c r="C1843" s="9" t="s">
        <v>21</v>
      </c>
      <c r="D1843" s="9" t="s">
        <v>64</v>
      </c>
      <c r="E1843" s="9" t="s">
        <v>59</v>
      </c>
      <c r="F1843" s="9">
        <v>0</v>
      </c>
      <c r="G1843" s="9">
        <v>2270.5700000000002</v>
      </c>
      <c r="H1843" s="9">
        <v>0</v>
      </c>
      <c r="I1843" s="9">
        <v>0</v>
      </c>
      <c r="J1843" s="10">
        <v>45633</v>
      </c>
      <c r="K1843" s="9" t="s">
        <v>44</v>
      </c>
      <c r="L1843" s="9" t="s">
        <v>25</v>
      </c>
      <c r="M1843" s="9">
        <v>-331.09</v>
      </c>
    </row>
    <row r="1844" spans="1:13" x14ac:dyDescent="0.35">
      <c r="A1844" s="9">
        <v>4306</v>
      </c>
      <c r="B1844" s="9" t="s">
        <v>34</v>
      </c>
      <c r="C1844" s="9" t="s">
        <v>22</v>
      </c>
      <c r="D1844" s="9" t="s">
        <v>65</v>
      </c>
      <c r="E1844" s="9" t="s">
        <v>59</v>
      </c>
      <c r="F1844" s="9">
        <v>0</v>
      </c>
      <c r="G1844" s="9">
        <v>0</v>
      </c>
      <c r="H1844" s="9">
        <v>0</v>
      </c>
      <c r="I1844" s="9">
        <v>0</v>
      </c>
      <c r="J1844" s="10">
        <v>45556</v>
      </c>
      <c r="K1844" s="9" t="s">
        <v>44</v>
      </c>
      <c r="L1844" s="9" t="s">
        <v>25</v>
      </c>
      <c r="M1844" s="9">
        <v>867.77</v>
      </c>
    </row>
    <row r="1845" spans="1:13" x14ac:dyDescent="0.35">
      <c r="A1845" s="9">
        <v>4307</v>
      </c>
      <c r="B1845" s="9" t="s">
        <v>28</v>
      </c>
      <c r="C1845" s="9" t="s">
        <v>18</v>
      </c>
      <c r="D1845" s="9" t="s">
        <v>37</v>
      </c>
      <c r="E1845" s="9" t="s">
        <v>59</v>
      </c>
      <c r="F1845" s="9">
        <v>0</v>
      </c>
      <c r="G1845" s="9">
        <v>6767.5</v>
      </c>
      <c r="H1845" s="9">
        <v>0</v>
      </c>
      <c r="I1845" s="9">
        <v>0</v>
      </c>
      <c r="J1845" s="10">
        <v>45556</v>
      </c>
      <c r="K1845" s="9" t="s">
        <v>44</v>
      </c>
      <c r="L1845" s="9" t="s">
        <v>29</v>
      </c>
      <c r="M1845" s="9">
        <v>1311.71</v>
      </c>
    </row>
    <row r="1846" spans="1:13" x14ac:dyDescent="0.35">
      <c r="A1846" s="9">
        <v>4308</v>
      </c>
      <c r="B1846" s="9" t="s">
        <v>31</v>
      </c>
      <c r="C1846" s="9" t="s">
        <v>22</v>
      </c>
      <c r="D1846" s="9" t="s">
        <v>30</v>
      </c>
      <c r="E1846" s="9" t="s">
        <v>62</v>
      </c>
      <c r="F1846" s="9">
        <v>0</v>
      </c>
      <c r="G1846" s="9">
        <v>0</v>
      </c>
      <c r="H1846" s="9">
        <v>0.21</v>
      </c>
      <c r="I1846" s="9">
        <v>0</v>
      </c>
      <c r="J1846" s="10">
        <v>45813</v>
      </c>
      <c r="K1846" s="9" t="s">
        <v>44</v>
      </c>
      <c r="L1846" s="9" t="s">
        <v>35</v>
      </c>
      <c r="M1846" s="9">
        <v>982.03</v>
      </c>
    </row>
    <row r="1847" spans="1:13" x14ac:dyDescent="0.35">
      <c r="A1847" s="9">
        <v>4309</v>
      </c>
      <c r="B1847" s="9" t="s">
        <v>28</v>
      </c>
      <c r="C1847" s="9" t="s">
        <v>18</v>
      </c>
      <c r="D1847" s="9" t="s">
        <v>41</v>
      </c>
      <c r="E1847" s="9" t="s">
        <v>59</v>
      </c>
      <c r="F1847" s="9">
        <v>0</v>
      </c>
      <c r="G1847" s="9">
        <v>0</v>
      </c>
      <c r="H1847" s="9">
        <v>0.12</v>
      </c>
      <c r="I1847" s="9">
        <v>0</v>
      </c>
      <c r="J1847" s="10">
        <v>45826</v>
      </c>
      <c r="K1847" s="9" t="s">
        <v>45</v>
      </c>
      <c r="L1847" s="9" t="s">
        <v>35</v>
      </c>
      <c r="M1847" s="9">
        <v>-9.44</v>
      </c>
    </row>
    <row r="1848" spans="1:13" x14ac:dyDescent="0.35">
      <c r="A1848" s="9">
        <v>4310</v>
      </c>
      <c r="B1848" s="9" t="s">
        <v>34</v>
      </c>
      <c r="C1848" s="9" t="s">
        <v>22</v>
      </c>
      <c r="D1848" s="9" t="s">
        <v>68</v>
      </c>
      <c r="E1848" s="9" t="s">
        <v>62</v>
      </c>
      <c r="F1848" s="9">
        <v>0</v>
      </c>
      <c r="G1848" s="9">
        <v>9745.69</v>
      </c>
      <c r="H1848" s="9">
        <v>0.16</v>
      </c>
      <c r="I1848" s="9">
        <v>0</v>
      </c>
      <c r="J1848" s="10">
        <v>45825</v>
      </c>
      <c r="K1848" s="9" t="s">
        <v>44</v>
      </c>
      <c r="L1848" s="9" t="s">
        <v>29</v>
      </c>
      <c r="M1848" s="9">
        <v>138.5</v>
      </c>
    </row>
    <row r="1849" spans="1:13" x14ac:dyDescent="0.35">
      <c r="A1849" s="9">
        <v>4311</v>
      </c>
      <c r="B1849" s="9" t="s">
        <v>31</v>
      </c>
      <c r="C1849" s="9" t="s">
        <v>18</v>
      </c>
      <c r="D1849" s="9" t="s">
        <v>37</v>
      </c>
      <c r="E1849" s="9" t="s">
        <v>60</v>
      </c>
      <c r="F1849" s="9">
        <v>3</v>
      </c>
      <c r="G1849" s="9">
        <v>0</v>
      </c>
      <c r="H1849" s="9">
        <v>0.46</v>
      </c>
      <c r="I1849" s="9">
        <v>0</v>
      </c>
      <c r="J1849" s="10">
        <v>45154</v>
      </c>
      <c r="K1849" s="9" t="s">
        <v>44</v>
      </c>
      <c r="L1849" s="9" t="s">
        <v>25</v>
      </c>
      <c r="M1849" s="9">
        <v>2595.5100000000002</v>
      </c>
    </row>
    <row r="1850" spans="1:13" x14ac:dyDescent="0.35">
      <c r="A1850" s="9">
        <v>4313</v>
      </c>
      <c r="B1850" s="9" t="s">
        <v>28</v>
      </c>
      <c r="C1850" s="9" t="s">
        <v>19</v>
      </c>
      <c r="D1850" s="9" t="s">
        <v>42</v>
      </c>
      <c r="E1850" s="9" t="s">
        <v>59</v>
      </c>
      <c r="F1850" s="9">
        <v>0</v>
      </c>
      <c r="G1850" s="9">
        <v>0</v>
      </c>
      <c r="H1850" s="9">
        <v>0</v>
      </c>
      <c r="I1850" s="9">
        <v>0</v>
      </c>
      <c r="J1850" s="10">
        <v>45154</v>
      </c>
      <c r="K1850" s="9" t="s">
        <v>44</v>
      </c>
      <c r="L1850" s="9" t="s">
        <v>25</v>
      </c>
      <c r="M1850" s="9">
        <v>3611.15</v>
      </c>
    </row>
    <row r="1851" spans="1:13" x14ac:dyDescent="0.35">
      <c r="A1851" s="9">
        <v>4315</v>
      </c>
      <c r="B1851" s="9" t="s">
        <v>28</v>
      </c>
      <c r="C1851" s="9" t="s">
        <v>21</v>
      </c>
      <c r="D1851" s="9" t="s">
        <v>71</v>
      </c>
      <c r="E1851" s="9" t="s">
        <v>59</v>
      </c>
      <c r="F1851" s="9">
        <v>4</v>
      </c>
      <c r="G1851" s="9">
        <v>4080.51</v>
      </c>
      <c r="H1851" s="9">
        <v>0</v>
      </c>
      <c r="I1851" s="9">
        <v>0</v>
      </c>
      <c r="J1851" s="10">
        <v>45355</v>
      </c>
      <c r="K1851" s="9" t="s">
        <v>44</v>
      </c>
      <c r="L1851" s="9" t="s">
        <v>35</v>
      </c>
      <c r="M1851" s="9">
        <v>3322.21</v>
      </c>
    </row>
    <row r="1852" spans="1:13" x14ac:dyDescent="0.35">
      <c r="A1852" s="9">
        <v>4316</v>
      </c>
      <c r="B1852" s="9" t="s">
        <v>31</v>
      </c>
      <c r="C1852" s="9" t="s">
        <v>20</v>
      </c>
      <c r="D1852" s="9" t="s">
        <v>61</v>
      </c>
      <c r="E1852" s="9" t="s">
        <v>62</v>
      </c>
      <c r="F1852" s="9">
        <v>0</v>
      </c>
      <c r="G1852" s="9">
        <v>0</v>
      </c>
      <c r="H1852" s="9">
        <v>0</v>
      </c>
      <c r="I1852" s="9">
        <v>0</v>
      </c>
      <c r="J1852" s="10">
        <v>45295</v>
      </c>
      <c r="K1852" s="9" t="s">
        <v>44</v>
      </c>
      <c r="L1852" s="9" t="s">
        <v>32</v>
      </c>
      <c r="M1852" s="9">
        <v>405.43</v>
      </c>
    </row>
    <row r="1853" spans="1:13" x14ac:dyDescent="0.35">
      <c r="A1853" s="9">
        <v>4317</v>
      </c>
      <c r="B1853" s="9" t="s">
        <v>34</v>
      </c>
      <c r="C1853" s="9" t="s">
        <v>21</v>
      </c>
      <c r="D1853" s="9" t="s">
        <v>36</v>
      </c>
      <c r="E1853" s="9" t="s">
        <v>60</v>
      </c>
      <c r="F1853" s="9">
        <v>0</v>
      </c>
      <c r="G1853" s="9">
        <v>9623.5300000000007</v>
      </c>
      <c r="H1853" s="9">
        <v>0</v>
      </c>
      <c r="I1853" s="9">
        <v>0</v>
      </c>
      <c r="J1853" s="10">
        <v>45580</v>
      </c>
      <c r="K1853" s="9" t="s">
        <v>44</v>
      </c>
      <c r="L1853" s="9" t="s">
        <v>25</v>
      </c>
      <c r="M1853" s="9">
        <v>-448.89</v>
      </c>
    </row>
    <row r="1854" spans="1:13" x14ac:dyDescent="0.35">
      <c r="A1854" s="9">
        <v>4318</v>
      </c>
      <c r="B1854" s="9" t="s">
        <v>28</v>
      </c>
      <c r="C1854" s="9" t="s">
        <v>22</v>
      </c>
      <c r="D1854" s="9" t="s">
        <v>67</v>
      </c>
      <c r="E1854" s="9" t="s">
        <v>59</v>
      </c>
      <c r="F1854" s="9">
        <v>-1</v>
      </c>
      <c r="G1854" s="9">
        <v>0</v>
      </c>
      <c r="H1854" s="9">
        <v>0</v>
      </c>
      <c r="I1854" s="9">
        <v>0</v>
      </c>
      <c r="J1854" s="10">
        <v>45581</v>
      </c>
      <c r="K1854" s="9" t="s">
        <v>44</v>
      </c>
      <c r="L1854" s="9" t="s">
        <v>27</v>
      </c>
      <c r="M1854" s="9">
        <v>883.91</v>
      </c>
    </row>
    <row r="1855" spans="1:13" x14ac:dyDescent="0.35">
      <c r="A1855" s="9">
        <v>2027</v>
      </c>
      <c r="B1855" s="9" t="s">
        <v>31</v>
      </c>
      <c r="C1855" s="9" t="s">
        <v>18</v>
      </c>
      <c r="D1855" s="9" t="s">
        <v>37</v>
      </c>
      <c r="E1855" s="9" t="s">
        <v>60</v>
      </c>
      <c r="F1855" s="9">
        <v>0</v>
      </c>
      <c r="G1855" s="9">
        <v>0</v>
      </c>
      <c r="H1855" s="9">
        <v>0.08</v>
      </c>
      <c r="I1855" s="9">
        <v>0</v>
      </c>
      <c r="J1855" s="10">
        <v>45610</v>
      </c>
      <c r="K1855" s="9" t="s">
        <v>44</v>
      </c>
      <c r="L1855" s="9" t="s">
        <v>27</v>
      </c>
      <c r="M1855" s="9">
        <v>126.1</v>
      </c>
    </row>
    <row r="1856" spans="1:13" x14ac:dyDescent="0.35">
      <c r="A1856" s="9">
        <v>4320</v>
      </c>
      <c r="B1856" s="9" t="s">
        <v>28</v>
      </c>
      <c r="C1856" s="9" t="s">
        <v>18</v>
      </c>
      <c r="D1856" s="9" t="s">
        <v>37</v>
      </c>
      <c r="E1856" s="9" t="s">
        <v>59</v>
      </c>
      <c r="F1856" s="9">
        <v>0</v>
      </c>
      <c r="G1856" s="9">
        <v>0</v>
      </c>
      <c r="H1856" s="9">
        <v>0</v>
      </c>
      <c r="I1856" s="9">
        <v>0</v>
      </c>
      <c r="J1856" s="10">
        <v>45562</v>
      </c>
      <c r="K1856" s="9" t="s">
        <v>45</v>
      </c>
      <c r="L1856" s="9" t="s">
        <v>29</v>
      </c>
      <c r="M1856" s="9">
        <v>1848.29</v>
      </c>
    </row>
    <row r="1857" spans="1:13" x14ac:dyDescent="0.35">
      <c r="A1857" s="9">
        <v>4321</v>
      </c>
      <c r="B1857" s="9" t="s">
        <v>34</v>
      </c>
      <c r="C1857" s="9" t="s">
        <v>20</v>
      </c>
      <c r="D1857" s="9" t="s">
        <v>66</v>
      </c>
      <c r="E1857" s="9" t="s">
        <v>62</v>
      </c>
      <c r="F1857" s="9">
        <v>0</v>
      </c>
      <c r="G1857" s="9">
        <v>6646.84</v>
      </c>
      <c r="H1857" s="9">
        <v>0</v>
      </c>
      <c r="I1857" s="9">
        <v>0</v>
      </c>
      <c r="J1857" s="10">
        <v>45306</v>
      </c>
      <c r="K1857" s="9" t="s">
        <v>45</v>
      </c>
      <c r="L1857" s="9" t="s">
        <v>26</v>
      </c>
      <c r="M1857" s="9">
        <v>2210.19</v>
      </c>
    </row>
    <row r="1858" spans="1:13" x14ac:dyDescent="0.35">
      <c r="A1858" s="9">
        <v>4322</v>
      </c>
      <c r="B1858" s="9" t="s">
        <v>28</v>
      </c>
      <c r="C1858" s="9" t="s">
        <v>21</v>
      </c>
      <c r="D1858" s="9" t="s">
        <v>64</v>
      </c>
      <c r="E1858" s="9" t="s">
        <v>59</v>
      </c>
      <c r="F1858" s="9">
        <v>0</v>
      </c>
      <c r="G1858" s="9">
        <v>0</v>
      </c>
      <c r="H1858" s="9">
        <v>0</v>
      </c>
      <c r="I1858" s="9">
        <v>0</v>
      </c>
      <c r="J1858" s="10">
        <v>45677</v>
      </c>
      <c r="K1858" s="9" t="s">
        <v>45</v>
      </c>
      <c r="L1858" s="9" t="s">
        <v>26</v>
      </c>
      <c r="M1858" s="9">
        <v>1939.05</v>
      </c>
    </row>
    <row r="1859" spans="1:13" x14ac:dyDescent="0.35">
      <c r="A1859" s="9">
        <v>4323</v>
      </c>
      <c r="B1859" s="9" t="s">
        <v>31</v>
      </c>
      <c r="C1859" s="9" t="s">
        <v>21</v>
      </c>
      <c r="D1859" s="9" t="s">
        <v>40</v>
      </c>
      <c r="E1859" s="9" t="s">
        <v>59</v>
      </c>
      <c r="F1859" s="9">
        <v>0</v>
      </c>
      <c r="G1859" s="9">
        <v>8526.42</v>
      </c>
      <c r="H1859" s="9">
        <v>1.02</v>
      </c>
      <c r="I1859" s="9">
        <v>0</v>
      </c>
      <c r="J1859" s="10">
        <v>45591</v>
      </c>
      <c r="K1859" s="9" t="s">
        <v>44</v>
      </c>
      <c r="L1859" s="9" t="s">
        <v>29</v>
      </c>
      <c r="M1859" s="9">
        <v>3573.83</v>
      </c>
    </row>
    <row r="1860" spans="1:13" x14ac:dyDescent="0.35">
      <c r="A1860" s="9">
        <v>4324</v>
      </c>
      <c r="B1860" s="9" t="s">
        <v>28</v>
      </c>
      <c r="C1860" s="9" t="s">
        <v>19</v>
      </c>
      <c r="D1860" s="9" t="s">
        <v>42</v>
      </c>
      <c r="E1860" s="9" t="s">
        <v>59</v>
      </c>
      <c r="F1860" s="9">
        <v>0</v>
      </c>
      <c r="G1860" s="9">
        <v>0</v>
      </c>
      <c r="H1860" s="9">
        <v>0</v>
      </c>
      <c r="I1860" s="9">
        <v>0</v>
      </c>
      <c r="J1860" s="10">
        <v>45591</v>
      </c>
      <c r="K1860" s="9" t="s">
        <v>44</v>
      </c>
      <c r="L1860" s="9" t="s">
        <v>26</v>
      </c>
      <c r="M1860" s="9">
        <v>920.34</v>
      </c>
    </row>
    <row r="1861" spans="1:13" x14ac:dyDescent="0.35">
      <c r="A1861" s="9">
        <v>4325</v>
      </c>
      <c r="B1861" s="9" t="s">
        <v>31</v>
      </c>
      <c r="C1861" s="9" t="s">
        <v>22</v>
      </c>
      <c r="D1861" s="9" t="s">
        <v>68</v>
      </c>
      <c r="E1861" s="9" t="s">
        <v>60</v>
      </c>
      <c r="F1861" s="9">
        <v>0</v>
      </c>
      <c r="G1861" s="9">
        <v>0</v>
      </c>
      <c r="H1861" s="9">
        <v>0</v>
      </c>
      <c r="I1861" s="9">
        <v>0</v>
      </c>
      <c r="J1861" s="10">
        <v>45672</v>
      </c>
      <c r="K1861" s="9" t="s">
        <v>44</v>
      </c>
      <c r="L1861" s="9" t="s">
        <v>25</v>
      </c>
      <c r="M1861" s="9">
        <v>-402.21</v>
      </c>
    </row>
    <row r="1862" spans="1:13" x14ac:dyDescent="0.35">
      <c r="A1862" s="9">
        <v>4326</v>
      </c>
      <c r="B1862" s="9" t="s">
        <v>28</v>
      </c>
      <c r="C1862" s="9" t="s">
        <v>21</v>
      </c>
      <c r="D1862" s="9" t="s">
        <v>40</v>
      </c>
      <c r="E1862" s="9" t="s">
        <v>62</v>
      </c>
      <c r="F1862" s="9">
        <v>0</v>
      </c>
      <c r="G1862" s="9">
        <v>9604.84</v>
      </c>
      <c r="H1862" s="9">
        <v>0.31</v>
      </c>
      <c r="I1862" s="9">
        <v>0</v>
      </c>
      <c r="J1862" s="10">
        <v>45449</v>
      </c>
      <c r="K1862" s="9" t="s">
        <v>44</v>
      </c>
      <c r="L1862" s="9" t="s">
        <v>29</v>
      </c>
      <c r="M1862" s="9">
        <v>-143.11000000000001</v>
      </c>
    </row>
    <row r="1863" spans="1:13" x14ac:dyDescent="0.35">
      <c r="A1863" s="9">
        <v>2003</v>
      </c>
      <c r="B1863" s="9" t="s">
        <v>31</v>
      </c>
      <c r="C1863" s="9" t="s">
        <v>21</v>
      </c>
      <c r="D1863" s="9" t="s">
        <v>36</v>
      </c>
      <c r="E1863" s="9" t="s">
        <v>59</v>
      </c>
      <c r="F1863" s="9">
        <v>3</v>
      </c>
      <c r="G1863" s="9">
        <v>0</v>
      </c>
      <c r="H1863" s="9">
        <v>0.36</v>
      </c>
      <c r="I1863" s="9">
        <v>0</v>
      </c>
      <c r="J1863" s="10">
        <v>45520</v>
      </c>
      <c r="K1863" s="9" t="s">
        <v>44</v>
      </c>
      <c r="L1863" s="9" t="s">
        <v>29</v>
      </c>
      <c r="M1863" s="9">
        <v>1884.04</v>
      </c>
    </row>
    <row r="1864" spans="1:13" x14ac:dyDescent="0.35">
      <c r="A1864" s="9">
        <v>4330</v>
      </c>
      <c r="B1864" s="9" t="s">
        <v>34</v>
      </c>
      <c r="C1864" s="9" t="s">
        <v>21</v>
      </c>
      <c r="D1864" s="9" t="s">
        <v>40</v>
      </c>
      <c r="E1864" s="9" t="s">
        <v>59</v>
      </c>
      <c r="F1864" s="9">
        <v>1</v>
      </c>
      <c r="G1864" s="9">
        <v>4087.76</v>
      </c>
      <c r="H1864" s="9">
        <v>0</v>
      </c>
      <c r="I1864" s="9">
        <v>0</v>
      </c>
      <c r="J1864" s="10">
        <v>45855</v>
      </c>
      <c r="K1864" s="9" t="s">
        <v>44</v>
      </c>
      <c r="L1864" s="9" t="s">
        <v>25</v>
      </c>
      <c r="M1864" s="9">
        <v>-831.23</v>
      </c>
    </row>
    <row r="1865" spans="1:13" x14ac:dyDescent="0.35">
      <c r="A1865" s="9">
        <v>4336</v>
      </c>
      <c r="B1865" s="9" t="s">
        <v>31</v>
      </c>
      <c r="C1865" s="9" t="s">
        <v>19</v>
      </c>
      <c r="D1865" s="9" t="s">
        <v>69</v>
      </c>
      <c r="E1865" s="9" t="s">
        <v>62</v>
      </c>
      <c r="F1865" s="9">
        <v>-1</v>
      </c>
      <c r="G1865" s="9">
        <v>7120.57</v>
      </c>
      <c r="H1865" s="9">
        <v>0.09</v>
      </c>
      <c r="I1865" s="9">
        <v>-6479.72</v>
      </c>
      <c r="J1865" s="10">
        <v>45855</v>
      </c>
      <c r="K1865" s="9" t="s">
        <v>44</v>
      </c>
      <c r="L1865" s="9" t="s">
        <v>35</v>
      </c>
      <c r="M1865" s="9">
        <v>1916.22</v>
      </c>
    </row>
    <row r="1866" spans="1:13" x14ac:dyDescent="0.35">
      <c r="A1866" s="9">
        <v>4338</v>
      </c>
      <c r="B1866" s="9" t="s">
        <v>31</v>
      </c>
      <c r="C1866" s="9" t="s">
        <v>20</v>
      </c>
      <c r="D1866" s="9" t="s">
        <v>43</v>
      </c>
      <c r="E1866" s="9" t="s">
        <v>62</v>
      </c>
      <c r="F1866" s="9">
        <v>0</v>
      </c>
      <c r="G1866" s="9">
        <v>0</v>
      </c>
      <c r="H1866" s="9">
        <v>0</v>
      </c>
      <c r="I1866" s="9">
        <v>0</v>
      </c>
      <c r="J1866" s="10">
        <v>45855</v>
      </c>
      <c r="K1866" s="9" t="s">
        <v>45</v>
      </c>
      <c r="L1866" s="9" t="s">
        <v>35</v>
      </c>
      <c r="M1866" s="9">
        <v>1586.94</v>
      </c>
    </row>
    <row r="1867" spans="1:13" x14ac:dyDescent="0.35">
      <c r="A1867" s="9">
        <v>4339</v>
      </c>
      <c r="B1867" s="9" t="s">
        <v>28</v>
      </c>
      <c r="C1867" s="9" t="s">
        <v>21</v>
      </c>
      <c r="D1867" s="9" t="s">
        <v>71</v>
      </c>
      <c r="E1867" s="9" t="s">
        <v>60</v>
      </c>
      <c r="F1867" s="9">
        <v>0</v>
      </c>
      <c r="G1867" s="9">
        <v>0</v>
      </c>
      <c r="H1867" s="9">
        <v>0.33</v>
      </c>
      <c r="I1867" s="9">
        <v>0</v>
      </c>
      <c r="J1867" s="10">
        <v>45617</v>
      </c>
      <c r="K1867" s="9" t="s">
        <v>44</v>
      </c>
      <c r="L1867" s="9" t="s">
        <v>32</v>
      </c>
      <c r="M1867" s="9">
        <v>2003</v>
      </c>
    </row>
    <row r="1868" spans="1:13" x14ac:dyDescent="0.35">
      <c r="A1868" s="9">
        <v>4340</v>
      </c>
      <c r="B1868" s="9" t="s">
        <v>28</v>
      </c>
      <c r="C1868" s="9" t="s">
        <v>18</v>
      </c>
      <c r="D1868" s="9" t="s">
        <v>38</v>
      </c>
      <c r="E1868" s="9" t="s">
        <v>59</v>
      </c>
      <c r="F1868" s="9">
        <v>0</v>
      </c>
      <c r="G1868" s="9">
        <v>3051.51</v>
      </c>
      <c r="H1868" s="9">
        <v>0</v>
      </c>
      <c r="I1868" s="9">
        <v>0</v>
      </c>
      <c r="J1868" s="10">
        <v>45617</v>
      </c>
      <c r="K1868" s="9" t="s">
        <v>44</v>
      </c>
      <c r="L1868" s="9" t="s">
        <v>25</v>
      </c>
      <c r="M1868" s="9">
        <v>728.33</v>
      </c>
    </row>
    <row r="1869" spans="1:13" x14ac:dyDescent="0.35">
      <c r="A1869" s="9">
        <v>2009</v>
      </c>
      <c r="B1869" s="9" t="s">
        <v>34</v>
      </c>
      <c r="C1869" s="9" t="s">
        <v>20</v>
      </c>
      <c r="D1869" s="9" t="s">
        <v>70</v>
      </c>
      <c r="E1869" s="9" t="s">
        <v>60</v>
      </c>
      <c r="F1869" s="9">
        <v>0</v>
      </c>
      <c r="G1869" s="9">
        <v>0</v>
      </c>
      <c r="H1869" s="9">
        <v>0.84</v>
      </c>
      <c r="I1869" s="9">
        <v>0</v>
      </c>
      <c r="J1869" s="10">
        <v>45252</v>
      </c>
      <c r="K1869" s="9" t="s">
        <v>44</v>
      </c>
      <c r="L1869" s="9" t="s">
        <v>29</v>
      </c>
      <c r="M1869" s="9">
        <v>1671.62</v>
      </c>
    </row>
    <row r="1870" spans="1:13" x14ac:dyDescent="0.35">
      <c r="A1870" s="9">
        <v>4343</v>
      </c>
      <c r="B1870" s="9" t="s">
        <v>34</v>
      </c>
      <c r="C1870" s="9" t="s">
        <v>18</v>
      </c>
      <c r="D1870" s="9" t="s">
        <v>41</v>
      </c>
      <c r="E1870" s="9" t="s">
        <v>59</v>
      </c>
      <c r="F1870" s="9">
        <v>0</v>
      </c>
      <c r="G1870" s="9">
        <v>5890.69</v>
      </c>
      <c r="H1870" s="9">
        <v>0</v>
      </c>
      <c r="I1870" s="9">
        <v>0</v>
      </c>
      <c r="J1870" s="10">
        <v>45252</v>
      </c>
      <c r="K1870" s="9" t="s">
        <v>44</v>
      </c>
      <c r="L1870" s="9" t="s">
        <v>25</v>
      </c>
      <c r="M1870" s="9">
        <v>1390.36</v>
      </c>
    </row>
    <row r="1871" spans="1:13" x14ac:dyDescent="0.35">
      <c r="A1871" s="9">
        <v>4344</v>
      </c>
      <c r="B1871" s="9" t="s">
        <v>34</v>
      </c>
      <c r="C1871" s="9" t="s">
        <v>19</v>
      </c>
      <c r="D1871" s="9" t="s">
        <v>39</v>
      </c>
      <c r="E1871" s="9" t="s">
        <v>59</v>
      </c>
      <c r="F1871" s="9">
        <v>0</v>
      </c>
      <c r="G1871" s="9">
        <v>0</v>
      </c>
      <c r="H1871" s="9">
        <v>0</v>
      </c>
      <c r="I1871" s="9">
        <v>0</v>
      </c>
      <c r="J1871" s="10">
        <v>45309</v>
      </c>
      <c r="K1871" s="9" t="s">
        <v>45</v>
      </c>
      <c r="L1871" s="9" t="s">
        <v>29</v>
      </c>
      <c r="M1871" s="9">
        <v>-467.18</v>
      </c>
    </row>
    <row r="1872" spans="1:13" x14ac:dyDescent="0.35">
      <c r="A1872" s="9">
        <v>4346</v>
      </c>
      <c r="B1872" s="9" t="s">
        <v>31</v>
      </c>
      <c r="C1872" s="9" t="s">
        <v>18</v>
      </c>
      <c r="D1872" s="9" t="s">
        <v>38</v>
      </c>
      <c r="E1872" s="9" t="s">
        <v>59</v>
      </c>
      <c r="F1872" s="9">
        <v>0</v>
      </c>
      <c r="G1872" s="9">
        <v>0</v>
      </c>
      <c r="H1872" s="9">
        <v>0.71</v>
      </c>
      <c r="I1872" s="9">
        <v>0</v>
      </c>
      <c r="J1872" s="10">
        <v>45781</v>
      </c>
      <c r="K1872" s="9" t="s">
        <v>45</v>
      </c>
      <c r="L1872" s="9" t="s">
        <v>26</v>
      </c>
      <c r="M1872" s="9">
        <v>3222.9</v>
      </c>
    </row>
    <row r="1873" spans="1:13" x14ac:dyDescent="0.35">
      <c r="A1873" s="9">
        <v>4347</v>
      </c>
      <c r="B1873" s="9" t="s">
        <v>31</v>
      </c>
      <c r="C1873" s="9" t="s">
        <v>21</v>
      </c>
      <c r="D1873" s="9" t="s">
        <v>71</v>
      </c>
      <c r="E1873" s="9" t="s">
        <v>59</v>
      </c>
      <c r="F1873" s="9">
        <v>-1</v>
      </c>
      <c r="G1873" s="9">
        <v>9440.9500000000007</v>
      </c>
      <c r="H1873" s="9">
        <v>0</v>
      </c>
      <c r="I1873" s="9">
        <v>0</v>
      </c>
      <c r="J1873" s="10">
        <v>45726</v>
      </c>
      <c r="K1873" s="9" t="s">
        <v>44</v>
      </c>
      <c r="L1873" s="9" t="s">
        <v>32</v>
      </c>
      <c r="M1873" s="9">
        <v>2945.56</v>
      </c>
    </row>
    <row r="1874" spans="1:13" x14ac:dyDescent="0.35">
      <c r="A1874" s="9">
        <v>4350</v>
      </c>
      <c r="B1874" s="9" t="s">
        <v>31</v>
      </c>
      <c r="C1874" s="9" t="s">
        <v>19</v>
      </c>
      <c r="D1874" s="9" t="s">
        <v>69</v>
      </c>
      <c r="E1874" s="9" t="s">
        <v>59</v>
      </c>
      <c r="F1874" s="9">
        <v>0</v>
      </c>
      <c r="G1874" s="9">
        <v>0</v>
      </c>
      <c r="H1874" s="9">
        <v>0</v>
      </c>
      <c r="I1874" s="9">
        <v>0</v>
      </c>
      <c r="J1874" s="10">
        <v>45442</v>
      </c>
      <c r="K1874" s="9" t="s">
        <v>45</v>
      </c>
      <c r="L1874" s="9" t="s">
        <v>29</v>
      </c>
      <c r="M1874" s="9">
        <v>2515.85</v>
      </c>
    </row>
    <row r="1875" spans="1:13" x14ac:dyDescent="0.35">
      <c r="A1875" s="9">
        <v>4351</v>
      </c>
      <c r="B1875" s="9" t="s">
        <v>31</v>
      </c>
      <c r="C1875" s="9" t="s">
        <v>19</v>
      </c>
      <c r="D1875" s="9" t="s">
        <v>63</v>
      </c>
      <c r="E1875" s="9" t="s">
        <v>59</v>
      </c>
      <c r="F1875" s="9">
        <v>0</v>
      </c>
      <c r="G1875" s="9">
        <v>0</v>
      </c>
      <c r="H1875" s="9">
        <v>0</v>
      </c>
      <c r="I1875" s="9">
        <v>0</v>
      </c>
      <c r="J1875" s="10">
        <v>45523</v>
      </c>
      <c r="K1875" s="9" t="s">
        <v>45</v>
      </c>
      <c r="L1875" s="9" t="s">
        <v>35</v>
      </c>
      <c r="M1875" s="9">
        <v>3303.1</v>
      </c>
    </row>
    <row r="1876" spans="1:13" x14ac:dyDescent="0.35">
      <c r="A1876" s="9">
        <v>4352</v>
      </c>
      <c r="B1876" s="9" t="s">
        <v>31</v>
      </c>
      <c r="C1876" s="9" t="s">
        <v>20</v>
      </c>
      <c r="D1876" s="9" t="s">
        <v>70</v>
      </c>
      <c r="E1876" s="9" t="s">
        <v>59</v>
      </c>
      <c r="F1876" s="9">
        <v>-1</v>
      </c>
      <c r="G1876" s="9">
        <v>9332.64</v>
      </c>
      <c r="H1876" s="9">
        <v>0.56999999999999995</v>
      </c>
      <c r="I1876" s="9">
        <v>-4013.04</v>
      </c>
      <c r="J1876" s="10">
        <v>45667</v>
      </c>
      <c r="K1876" s="9" t="s">
        <v>44</v>
      </c>
      <c r="L1876" s="9" t="s">
        <v>27</v>
      </c>
      <c r="M1876" s="9">
        <v>-238.9</v>
      </c>
    </row>
    <row r="1877" spans="1:13" x14ac:dyDescent="0.35">
      <c r="A1877" s="9">
        <v>4353</v>
      </c>
      <c r="B1877" s="9" t="s">
        <v>31</v>
      </c>
      <c r="C1877" s="9" t="s">
        <v>19</v>
      </c>
      <c r="D1877" s="9" t="s">
        <v>39</v>
      </c>
      <c r="E1877" s="9" t="s">
        <v>59</v>
      </c>
      <c r="F1877" s="9">
        <v>-1</v>
      </c>
      <c r="G1877" s="9">
        <v>0</v>
      </c>
      <c r="H1877" s="9">
        <v>0</v>
      </c>
      <c r="I1877" s="9">
        <v>0</v>
      </c>
      <c r="J1877" s="10">
        <v>45667</v>
      </c>
      <c r="K1877" s="9" t="s">
        <v>44</v>
      </c>
      <c r="L1877" s="9" t="s">
        <v>25</v>
      </c>
      <c r="M1877" s="9">
        <v>1665.83</v>
      </c>
    </row>
    <row r="1878" spans="1:13" x14ac:dyDescent="0.35">
      <c r="A1878" s="9">
        <v>2007</v>
      </c>
      <c r="B1878" s="9" t="s">
        <v>34</v>
      </c>
      <c r="C1878" s="9" t="s">
        <v>22</v>
      </c>
      <c r="D1878" s="9" t="s">
        <v>30</v>
      </c>
      <c r="E1878" s="9" t="s">
        <v>59</v>
      </c>
      <c r="F1878" s="9">
        <v>0</v>
      </c>
      <c r="G1878" s="9">
        <v>0</v>
      </c>
      <c r="H1878" s="9">
        <v>0</v>
      </c>
      <c r="I1878" s="9">
        <v>0</v>
      </c>
      <c r="J1878" s="10">
        <v>45667</v>
      </c>
      <c r="K1878" s="9" t="s">
        <v>44</v>
      </c>
      <c r="L1878" s="9" t="s">
        <v>27</v>
      </c>
      <c r="M1878" s="9">
        <v>1779.99</v>
      </c>
    </row>
    <row r="1879" spans="1:13" x14ac:dyDescent="0.35">
      <c r="A1879" s="9">
        <v>4356</v>
      </c>
      <c r="B1879" s="9" t="s">
        <v>31</v>
      </c>
      <c r="C1879" s="9" t="s">
        <v>19</v>
      </c>
      <c r="D1879" s="9" t="s">
        <v>69</v>
      </c>
      <c r="E1879" s="9" t="s">
        <v>59</v>
      </c>
      <c r="F1879" s="9">
        <v>1</v>
      </c>
      <c r="G1879" s="9">
        <v>9557.32</v>
      </c>
      <c r="H1879" s="9">
        <v>0</v>
      </c>
      <c r="I1879" s="9">
        <v>0</v>
      </c>
      <c r="J1879" s="10">
        <v>45667</v>
      </c>
      <c r="K1879" s="9" t="s">
        <v>45</v>
      </c>
      <c r="L1879" s="9" t="s">
        <v>29</v>
      </c>
      <c r="M1879" s="9">
        <v>1465.63</v>
      </c>
    </row>
    <row r="1880" spans="1:13" x14ac:dyDescent="0.35">
      <c r="A1880" s="9">
        <v>4357</v>
      </c>
      <c r="B1880" s="9" t="s">
        <v>28</v>
      </c>
      <c r="C1880" s="9" t="s">
        <v>21</v>
      </c>
      <c r="D1880" s="9" t="s">
        <v>40</v>
      </c>
      <c r="E1880" s="9" t="s">
        <v>59</v>
      </c>
      <c r="F1880" s="9">
        <v>0</v>
      </c>
      <c r="G1880" s="9">
        <v>7723.9</v>
      </c>
      <c r="H1880" s="9">
        <v>0</v>
      </c>
      <c r="I1880" s="9">
        <v>0</v>
      </c>
      <c r="J1880" s="10">
        <v>45684</v>
      </c>
      <c r="K1880" s="9" t="s">
        <v>45</v>
      </c>
      <c r="L1880" s="9" t="s">
        <v>35</v>
      </c>
      <c r="M1880" s="9">
        <v>3626.91</v>
      </c>
    </row>
    <row r="1881" spans="1:13" x14ac:dyDescent="0.35">
      <c r="A1881" s="9">
        <v>4358</v>
      </c>
      <c r="B1881" s="9" t="s">
        <v>34</v>
      </c>
      <c r="C1881" s="9" t="s">
        <v>22</v>
      </c>
      <c r="D1881" s="9" t="s">
        <v>30</v>
      </c>
      <c r="E1881" s="9" t="s">
        <v>62</v>
      </c>
      <c r="F1881" s="9">
        <v>2</v>
      </c>
      <c r="G1881" s="9">
        <v>0</v>
      </c>
      <c r="H1881" s="9">
        <v>0.43</v>
      </c>
      <c r="I1881" s="9">
        <v>0</v>
      </c>
      <c r="J1881" s="10">
        <v>45583</v>
      </c>
      <c r="K1881" s="9" t="s">
        <v>45</v>
      </c>
      <c r="L1881" s="9" t="s">
        <v>26</v>
      </c>
      <c r="M1881" s="9">
        <v>2538.9699999999998</v>
      </c>
    </row>
    <row r="1882" spans="1:13" x14ac:dyDescent="0.35">
      <c r="A1882" s="9">
        <v>4359</v>
      </c>
      <c r="B1882" s="9" t="s">
        <v>34</v>
      </c>
      <c r="C1882" s="9" t="s">
        <v>20</v>
      </c>
      <c r="D1882" s="9" t="s">
        <v>70</v>
      </c>
      <c r="E1882" s="9" t="s">
        <v>60</v>
      </c>
      <c r="F1882" s="9">
        <v>0</v>
      </c>
      <c r="G1882" s="9">
        <v>9336.51</v>
      </c>
      <c r="H1882" s="9">
        <v>0</v>
      </c>
      <c r="I1882" s="9">
        <v>0</v>
      </c>
      <c r="J1882" s="10">
        <v>45711</v>
      </c>
      <c r="K1882" s="9" t="s">
        <v>45</v>
      </c>
      <c r="L1882" s="9" t="s">
        <v>25</v>
      </c>
      <c r="M1882" s="9">
        <v>92.73</v>
      </c>
    </row>
    <row r="1883" spans="1:13" x14ac:dyDescent="0.35">
      <c r="A1883" s="9">
        <v>4361</v>
      </c>
      <c r="B1883" s="9" t="s">
        <v>34</v>
      </c>
      <c r="C1883" s="9" t="s">
        <v>21</v>
      </c>
      <c r="D1883" s="9" t="s">
        <v>36</v>
      </c>
      <c r="E1883" s="9" t="s">
        <v>59</v>
      </c>
      <c r="F1883" s="9">
        <v>0</v>
      </c>
      <c r="G1883" s="9">
        <v>5294.22</v>
      </c>
      <c r="H1883" s="9">
        <v>0</v>
      </c>
      <c r="I1883" s="9">
        <v>0</v>
      </c>
      <c r="J1883" s="10">
        <v>45529</v>
      </c>
      <c r="K1883" s="9" t="s">
        <v>44</v>
      </c>
      <c r="L1883" s="9" t="s">
        <v>27</v>
      </c>
      <c r="M1883" s="9">
        <v>-787.71</v>
      </c>
    </row>
    <row r="1884" spans="1:13" x14ac:dyDescent="0.35">
      <c r="A1884" s="9">
        <v>4363</v>
      </c>
      <c r="B1884" s="9" t="s">
        <v>34</v>
      </c>
      <c r="C1884" s="9" t="s">
        <v>22</v>
      </c>
      <c r="D1884" s="9" t="s">
        <v>65</v>
      </c>
      <c r="E1884" s="9" t="s">
        <v>60</v>
      </c>
      <c r="F1884" s="9">
        <v>2</v>
      </c>
      <c r="G1884" s="9">
        <v>0</v>
      </c>
      <c r="H1884" s="9">
        <v>0.75</v>
      </c>
      <c r="I1884" s="9">
        <v>0</v>
      </c>
      <c r="J1884" s="10">
        <v>45620</v>
      </c>
      <c r="K1884" s="9" t="s">
        <v>45</v>
      </c>
      <c r="L1884" s="9" t="s">
        <v>29</v>
      </c>
      <c r="M1884" s="9">
        <v>-1071.83</v>
      </c>
    </row>
    <row r="1885" spans="1:13" x14ac:dyDescent="0.35">
      <c r="A1885" s="9">
        <v>4365</v>
      </c>
      <c r="B1885" s="9" t="s">
        <v>31</v>
      </c>
      <c r="C1885" s="9" t="s">
        <v>22</v>
      </c>
      <c r="D1885" s="9" t="s">
        <v>68</v>
      </c>
      <c r="E1885" s="9" t="s">
        <v>60</v>
      </c>
      <c r="F1885" s="9">
        <v>0</v>
      </c>
      <c r="G1885" s="9">
        <v>7357.98</v>
      </c>
      <c r="H1885" s="9">
        <v>0</v>
      </c>
      <c r="I1885" s="9">
        <v>0</v>
      </c>
      <c r="J1885" s="10">
        <v>45567</v>
      </c>
      <c r="K1885" s="9" t="s">
        <v>45</v>
      </c>
      <c r="L1885" s="9" t="s">
        <v>27</v>
      </c>
      <c r="M1885" s="9">
        <v>-86.8</v>
      </c>
    </row>
    <row r="1886" spans="1:13" x14ac:dyDescent="0.35">
      <c r="A1886" s="9">
        <v>4366</v>
      </c>
      <c r="B1886" s="9" t="s">
        <v>34</v>
      </c>
      <c r="C1886" s="9" t="s">
        <v>18</v>
      </c>
      <c r="D1886" s="9" t="s">
        <v>37</v>
      </c>
      <c r="E1886" s="9" t="s">
        <v>60</v>
      </c>
      <c r="F1886" s="9">
        <v>0</v>
      </c>
      <c r="G1886" s="9">
        <v>2572.92</v>
      </c>
      <c r="H1886" s="9">
        <v>0</v>
      </c>
      <c r="I1886" s="9">
        <v>0</v>
      </c>
      <c r="J1886" s="10">
        <v>45704</v>
      </c>
      <c r="K1886" s="9" t="s">
        <v>44</v>
      </c>
      <c r="L1886" s="9" t="s">
        <v>27</v>
      </c>
      <c r="M1886" s="9">
        <v>714.82</v>
      </c>
    </row>
    <row r="1887" spans="1:13" x14ac:dyDescent="0.35">
      <c r="A1887" s="9">
        <v>4368</v>
      </c>
      <c r="B1887" s="9" t="s">
        <v>28</v>
      </c>
      <c r="C1887" s="9" t="s">
        <v>19</v>
      </c>
      <c r="D1887" s="9" t="s">
        <v>42</v>
      </c>
      <c r="E1887" s="9" t="s">
        <v>59</v>
      </c>
      <c r="F1887" s="9">
        <v>3</v>
      </c>
      <c r="G1887" s="9">
        <v>5481.64</v>
      </c>
      <c r="H1887" s="9">
        <v>1.18</v>
      </c>
      <c r="I1887" s="9">
        <v>-2960.09</v>
      </c>
      <c r="J1887" s="10">
        <v>45577</v>
      </c>
      <c r="K1887" s="9" t="s">
        <v>44</v>
      </c>
      <c r="L1887" s="9" t="s">
        <v>29</v>
      </c>
      <c r="M1887" s="9">
        <v>2234.2800000000002</v>
      </c>
    </row>
    <row r="1888" spans="1:13" x14ac:dyDescent="0.35">
      <c r="A1888" s="9">
        <v>4369</v>
      </c>
      <c r="B1888" s="9" t="s">
        <v>28</v>
      </c>
      <c r="C1888" s="9" t="s">
        <v>18</v>
      </c>
      <c r="D1888" s="9" t="s">
        <v>37</v>
      </c>
      <c r="E1888" s="9" t="s">
        <v>60</v>
      </c>
      <c r="F1888" s="9">
        <v>0</v>
      </c>
      <c r="G1888" s="9">
        <v>0</v>
      </c>
      <c r="H1888" s="9">
        <v>0</v>
      </c>
      <c r="I1888" s="9">
        <v>0</v>
      </c>
      <c r="J1888" s="10">
        <v>45577</v>
      </c>
      <c r="K1888" s="9" t="s">
        <v>45</v>
      </c>
      <c r="L1888" s="9" t="s">
        <v>32</v>
      </c>
      <c r="M1888" s="9">
        <v>1525.91</v>
      </c>
    </row>
    <row r="1889" spans="1:13" x14ac:dyDescent="0.35">
      <c r="A1889" s="9">
        <v>4370</v>
      </c>
      <c r="B1889" s="9" t="s">
        <v>28</v>
      </c>
      <c r="C1889" s="9" t="s">
        <v>20</v>
      </c>
      <c r="D1889" s="9" t="s">
        <v>70</v>
      </c>
      <c r="E1889" s="9" t="s">
        <v>60</v>
      </c>
      <c r="F1889" s="9">
        <v>2</v>
      </c>
      <c r="G1889" s="9">
        <v>5046.05</v>
      </c>
      <c r="H1889" s="9">
        <v>0.38</v>
      </c>
      <c r="I1889" s="9">
        <v>6257.1</v>
      </c>
      <c r="J1889" s="10">
        <v>45578</v>
      </c>
      <c r="K1889" s="9" t="s">
        <v>44</v>
      </c>
      <c r="L1889" s="9" t="s">
        <v>26</v>
      </c>
      <c r="M1889" s="9">
        <v>2530.73</v>
      </c>
    </row>
    <row r="1890" spans="1:13" x14ac:dyDescent="0.35">
      <c r="A1890" s="9">
        <v>4371</v>
      </c>
      <c r="B1890" s="9" t="s">
        <v>31</v>
      </c>
      <c r="C1890" s="9" t="s">
        <v>21</v>
      </c>
      <c r="D1890" s="9" t="s">
        <v>36</v>
      </c>
      <c r="E1890" s="9" t="s">
        <v>59</v>
      </c>
      <c r="F1890" s="9">
        <v>0</v>
      </c>
      <c r="G1890" s="9">
        <v>2042.87</v>
      </c>
      <c r="H1890" s="9">
        <v>1.25</v>
      </c>
      <c r="I1890" s="9">
        <v>0</v>
      </c>
      <c r="J1890" s="10">
        <v>45618</v>
      </c>
      <c r="K1890" s="9" t="s">
        <v>44</v>
      </c>
      <c r="L1890" s="9" t="s">
        <v>32</v>
      </c>
      <c r="M1890" s="9">
        <v>510.02</v>
      </c>
    </row>
    <row r="1891" spans="1:13" x14ac:dyDescent="0.35">
      <c r="A1891" s="9">
        <v>2029</v>
      </c>
      <c r="B1891" s="9" t="s">
        <v>34</v>
      </c>
      <c r="C1891" s="9" t="s">
        <v>20</v>
      </c>
      <c r="D1891" s="9" t="s">
        <v>66</v>
      </c>
      <c r="E1891" s="9" t="s">
        <v>59</v>
      </c>
      <c r="F1891" s="9">
        <v>0</v>
      </c>
      <c r="G1891" s="9">
        <v>0</v>
      </c>
      <c r="H1891" s="9">
        <v>0</v>
      </c>
      <c r="I1891" s="9">
        <v>0</v>
      </c>
      <c r="J1891" s="10">
        <v>45618</v>
      </c>
      <c r="K1891" s="9" t="s">
        <v>44</v>
      </c>
      <c r="L1891" s="9" t="s">
        <v>26</v>
      </c>
      <c r="M1891" s="9">
        <v>2598.77</v>
      </c>
    </row>
    <row r="1892" spans="1:13" x14ac:dyDescent="0.35">
      <c r="A1892" s="9">
        <v>4373</v>
      </c>
      <c r="B1892" s="9" t="s">
        <v>31</v>
      </c>
      <c r="C1892" s="9" t="s">
        <v>21</v>
      </c>
      <c r="D1892" s="9" t="s">
        <v>64</v>
      </c>
      <c r="E1892" s="9" t="s">
        <v>59</v>
      </c>
      <c r="F1892" s="9">
        <v>0</v>
      </c>
      <c r="G1892" s="9">
        <v>0</v>
      </c>
      <c r="H1892" s="9">
        <v>0</v>
      </c>
      <c r="I1892" s="9">
        <v>0</v>
      </c>
      <c r="J1892" s="10">
        <v>45505</v>
      </c>
      <c r="K1892" s="9" t="s">
        <v>44</v>
      </c>
      <c r="L1892" s="9" t="s">
        <v>25</v>
      </c>
      <c r="M1892" s="9">
        <v>396.99</v>
      </c>
    </row>
    <row r="1893" spans="1:13" x14ac:dyDescent="0.35">
      <c r="A1893" s="9">
        <v>4374</v>
      </c>
      <c r="B1893" s="9" t="s">
        <v>28</v>
      </c>
      <c r="C1893" s="9" t="s">
        <v>22</v>
      </c>
      <c r="D1893" s="9" t="s">
        <v>68</v>
      </c>
      <c r="E1893" s="9" t="s">
        <v>62</v>
      </c>
      <c r="F1893" s="9">
        <v>3</v>
      </c>
      <c r="G1893" s="9">
        <v>0</v>
      </c>
      <c r="H1893" s="9">
        <v>0</v>
      </c>
      <c r="I1893" s="9">
        <v>0</v>
      </c>
      <c r="J1893" s="10">
        <v>45615</v>
      </c>
      <c r="K1893" s="9" t="s">
        <v>44</v>
      </c>
      <c r="L1893" s="9" t="s">
        <v>35</v>
      </c>
      <c r="M1893" s="9">
        <v>-1129.3800000000001</v>
      </c>
    </row>
    <row r="1894" spans="1:13" x14ac:dyDescent="0.35">
      <c r="A1894" s="9">
        <v>4375</v>
      </c>
      <c r="B1894" s="9" t="s">
        <v>28</v>
      </c>
      <c r="C1894" s="9" t="s">
        <v>18</v>
      </c>
      <c r="D1894" s="9" t="s">
        <v>38</v>
      </c>
      <c r="E1894" s="9" t="s">
        <v>60</v>
      </c>
      <c r="F1894" s="9">
        <v>-1</v>
      </c>
      <c r="G1894" s="9">
        <v>0</v>
      </c>
      <c r="H1894" s="9">
        <v>0.45</v>
      </c>
      <c r="I1894" s="9">
        <v>0</v>
      </c>
      <c r="J1894" s="10">
        <v>45820</v>
      </c>
      <c r="K1894" s="9" t="s">
        <v>45</v>
      </c>
      <c r="L1894" s="9" t="s">
        <v>27</v>
      </c>
      <c r="M1894" s="9">
        <v>-693.38</v>
      </c>
    </row>
    <row r="1895" spans="1:13" x14ac:dyDescent="0.35">
      <c r="A1895" s="9">
        <v>4376</v>
      </c>
      <c r="B1895" s="9" t="s">
        <v>31</v>
      </c>
      <c r="C1895" s="9" t="s">
        <v>19</v>
      </c>
      <c r="D1895" s="9" t="s">
        <v>69</v>
      </c>
      <c r="E1895" s="9" t="s">
        <v>59</v>
      </c>
      <c r="F1895" s="9">
        <v>0</v>
      </c>
      <c r="G1895" s="9">
        <v>7651.93</v>
      </c>
      <c r="H1895" s="9">
        <v>1.08</v>
      </c>
      <c r="I1895" s="9">
        <v>0</v>
      </c>
      <c r="J1895" s="10">
        <v>45509</v>
      </c>
      <c r="K1895" s="9" t="s">
        <v>45</v>
      </c>
      <c r="L1895" s="9" t="s">
        <v>27</v>
      </c>
      <c r="M1895" s="9">
        <v>546.84</v>
      </c>
    </row>
    <row r="1896" spans="1:13" x14ac:dyDescent="0.35">
      <c r="A1896" s="9">
        <v>4377</v>
      </c>
      <c r="B1896" s="9" t="s">
        <v>28</v>
      </c>
      <c r="C1896" s="9" t="s">
        <v>20</v>
      </c>
      <c r="D1896" s="9" t="s">
        <v>66</v>
      </c>
      <c r="E1896" s="9" t="s">
        <v>59</v>
      </c>
      <c r="F1896" s="9">
        <v>0</v>
      </c>
      <c r="G1896" s="9">
        <v>0</v>
      </c>
      <c r="H1896" s="9">
        <v>0.89</v>
      </c>
      <c r="I1896" s="9">
        <v>0</v>
      </c>
      <c r="J1896" s="10">
        <v>45633</v>
      </c>
      <c r="K1896" s="9" t="s">
        <v>44</v>
      </c>
      <c r="L1896" s="9" t="s">
        <v>26</v>
      </c>
      <c r="M1896" s="9">
        <v>2302.2199999999998</v>
      </c>
    </row>
    <row r="1897" spans="1:13" x14ac:dyDescent="0.35">
      <c r="A1897" s="9">
        <v>4379</v>
      </c>
      <c r="B1897" s="9" t="s">
        <v>28</v>
      </c>
      <c r="C1897" s="9" t="s">
        <v>21</v>
      </c>
      <c r="D1897" s="9" t="s">
        <v>40</v>
      </c>
      <c r="E1897" s="9" t="s">
        <v>59</v>
      </c>
      <c r="F1897" s="9">
        <v>3</v>
      </c>
      <c r="G1897" s="9">
        <v>0</v>
      </c>
      <c r="H1897" s="9">
        <v>0</v>
      </c>
      <c r="I1897" s="9">
        <v>0</v>
      </c>
      <c r="J1897" s="10">
        <v>45633</v>
      </c>
      <c r="K1897" s="9" t="s">
        <v>45</v>
      </c>
      <c r="L1897" s="9" t="s">
        <v>32</v>
      </c>
      <c r="M1897" s="9">
        <v>974.37</v>
      </c>
    </row>
    <row r="1898" spans="1:13" x14ac:dyDescent="0.35">
      <c r="A1898" s="9">
        <v>4380</v>
      </c>
      <c r="B1898" s="9" t="s">
        <v>31</v>
      </c>
      <c r="C1898" s="9" t="s">
        <v>19</v>
      </c>
      <c r="D1898" s="9" t="s">
        <v>69</v>
      </c>
      <c r="E1898" s="9" t="s">
        <v>59</v>
      </c>
      <c r="F1898" s="9">
        <v>1</v>
      </c>
      <c r="G1898" s="9">
        <v>0</v>
      </c>
      <c r="H1898" s="9">
        <v>0.56999999999999995</v>
      </c>
      <c r="I1898" s="9">
        <v>0</v>
      </c>
      <c r="J1898" s="10">
        <v>45633</v>
      </c>
      <c r="K1898" s="9" t="s">
        <v>45</v>
      </c>
      <c r="L1898" s="9" t="s">
        <v>35</v>
      </c>
      <c r="M1898" s="9">
        <v>3456.67</v>
      </c>
    </row>
    <row r="1899" spans="1:13" x14ac:dyDescent="0.35">
      <c r="A1899" s="9">
        <v>4381</v>
      </c>
      <c r="B1899" s="9" t="s">
        <v>31</v>
      </c>
      <c r="C1899" s="9" t="s">
        <v>18</v>
      </c>
      <c r="D1899" s="9" t="s">
        <v>33</v>
      </c>
      <c r="E1899" s="9" t="s">
        <v>62</v>
      </c>
      <c r="F1899" s="9">
        <v>0</v>
      </c>
      <c r="G1899" s="9">
        <v>2476.41</v>
      </c>
      <c r="H1899" s="9">
        <v>0</v>
      </c>
      <c r="I1899" s="9">
        <v>0</v>
      </c>
      <c r="J1899" s="10">
        <v>45633</v>
      </c>
      <c r="K1899" s="9" t="s">
        <v>44</v>
      </c>
      <c r="L1899" s="9" t="s">
        <v>35</v>
      </c>
      <c r="M1899" s="9">
        <v>1189.49</v>
      </c>
    </row>
    <row r="1900" spans="1:13" x14ac:dyDescent="0.35">
      <c r="A1900" s="9">
        <v>4385</v>
      </c>
      <c r="B1900" s="9" t="s">
        <v>31</v>
      </c>
      <c r="C1900" s="9" t="s">
        <v>22</v>
      </c>
      <c r="D1900" s="9" t="s">
        <v>67</v>
      </c>
      <c r="E1900" s="9" t="s">
        <v>60</v>
      </c>
      <c r="F1900" s="9">
        <v>0</v>
      </c>
      <c r="G1900" s="9">
        <v>9057.85</v>
      </c>
      <c r="H1900" s="9">
        <v>0.84</v>
      </c>
      <c r="I1900" s="9">
        <v>0</v>
      </c>
      <c r="J1900" s="10">
        <v>45273</v>
      </c>
      <c r="K1900" s="9" t="s">
        <v>44</v>
      </c>
      <c r="L1900" s="9" t="s">
        <v>27</v>
      </c>
      <c r="M1900" s="9">
        <v>1767.32</v>
      </c>
    </row>
    <row r="1901" spans="1:13" x14ac:dyDescent="0.35">
      <c r="A1901" s="9">
        <v>4388</v>
      </c>
      <c r="B1901" s="9" t="s">
        <v>28</v>
      </c>
      <c r="C1901" s="9" t="s">
        <v>18</v>
      </c>
      <c r="D1901" s="9" t="s">
        <v>38</v>
      </c>
      <c r="E1901" s="9" t="s">
        <v>59</v>
      </c>
      <c r="F1901" s="9">
        <v>0</v>
      </c>
      <c r="G1901" s="9">
        <v>0</v>
      </c>
      <c r="H1901" s="9">
        <v>0</v>
      </c>
      <c r="I1901" s="9">
        <v>0</v>
      </c>
      <c r="J1901" s="10">
        <v>45840</v>
      </c>
      <c r="K1901" s="9" t="s">
        <v>44</v>
      </c>
      <c r="L1901" s="9" t="s">
        <v>25</v>
      </c>
      <c r="M1901" s="9">
        <v>2186.94</v>
      </c>
    </row>
    <row r="1902" spans="1:13" x14ac:dyDescent="0.35">
      <c r="A1902" s="9">
        <v>4389</v>
      </c>
      <c r="B1902" s="9" t="s">
        <v>28</v>
      </c>
      <c r="C1902" s="9" t="s">
        <v>22</v>
      </c>
      <c r="D1902" s="9" t="s">
        <v>68</v>
      </c>
      <c r="E1902" s="9" t="s">
        <v>59</v>
      </c>
      <c r="F1902" s="9">
        <v>0</v>
      </c>
      <c r="G1902" s="9">
        <v>9304.56</v>
      </c>
      <c r="H1902" s="9">
        <v>0</v>
      </c>
      <c r="I1902" s="9">
        <v>0</v>
      </c>
      <c r="J1902" s="10">
        <v>45844</v>
      </c>
      <c r="K1902" s="9" t="s">
        <v>45</v>
      </c>
      <c r="L1902" s="9" t="s">
        <v>27</v>
      </c>
      <c r="M1902" s="9">
        <v>2773.13</v>
      </c>
    </row>
    <row r="1903" spans="1:13" x14ac:dyDescent="0.35">
      <c r="A1903" s="9">
        <v>4390</v>
      </c>
      <c r="B1903" s="9" t="s">
        <v>34</v>
      </c>
      <c r="C1903" s="9" t="s">
        <v>21</v>
      </c>
      <c r="D1903" s="9" t="s">
        <v>64</v>
      </c>
      <c r="E1903" s="9" t="s">
        <v>60</v>
      </c>
      <c r="F1903" s="9">
        <v>0</v>
      </c>
      <c r="G1903" s="9">
        <v>0</v>
      </c>
      <c r="H1903" s="9">
        <v>1.1100000000000001</v>
      </c>
      <c r="I1903" s="9">
        <v>0</v>
      </c>
      <c r="J1903" s="10">
        <v>45631</v>
      </c>
      <c r="K1903" s="9" t="s">
        <v>45</v>
      </c>
      <c r="L1903" s="9" t="s">
        <v>25</v>
      </c>
      <c r="M1903" s="9">
        <v>848.64</v>
      </c>
    </row>
    <row r="1904" spans="1:13" x14ac:dyDescent="0.35">
      <c r="A1904" s="9">
        <v>4391</v>
      </c>
      <c r="B1904" s="9" t="s">
        <v>28</v>
      </c>
      <c r="C1904" s="9" t="s">
        <v>21</v>
      </c>
      <c r="D1904" s="9" t="s">
        <v>71</v>
      </c>
      <c r="E1904" s="9" t="s">
        <v>59</v>
      </c>
      <c r="F1904" s="9">
        <v>0</v>
      </c>
      <c r="G1904" s="9">
        <v>9569.18</v>
      </c>
      <c r="H1904" s="9">
        <v>0</v>
      </c>
      <c r="I1904" s="9">
        <v>0</v>
      </c>
      <c r="J1904" s="10">
        <v>45767</v>
      </c>
      <c r="K1904" s="9" t="s">
        <v>44</v>
      </c>
      <c r="L1904" s="9" t="s">
        <v>35</v>
      </c>
      <c r="M1904" s="9">
        <v>2446.09</v>
      </c>
    </row>
    <row r="1905" spans="1:13" x14ac:dyDescent="0.35">
      <c r="A1905" s="9">
        <v>4393</v>
      </c>
      <c r="B1905" s="9" t="s">
        <v>28</v>
      </c>
      <c r="C1905" s="9" t="s">
        <v>22</v>
      </c>
      <c r="D1905" s="9" t="s">
        <v>67</v>
      </c>
      <c r="E1905" s="9" t="s">
        <v>60</v>
      </c>
      <c r="F1905" s="9">
        <v>0</v>
      </c>
      <c r="G1905" s="9">
        <v>0</v>
      </c>
      <c r="H1905" s="9">
        <v>0</v>
      </c>
      <c r="I1905" s="9">
        <v>0</v>
      </c>
      <c r="J1905" s="10">
        <v>45767</v>
      </c>
      <c r="K1905" s="9" t="s">
        <v>44</v>
      </c>
      <c r="L1905" s="9" t="s">
        <v>27</v>
      </c>
      <c r="M1905" s="9">
        <v>-41.67</v>
      </c>
    </row>
    <row r="1906" spans="1:13" x14ac:dyDescent="0.35">
      <c r="A1906" s="9">
        <v>4394</v>
      </c>
      <c r="B1906" s="9" t="s">
        <v>28</v>
      </c>
      <c r="C1906" s="9" t="s">
        <v>18</v>
      </c>
      <c r="D1906" s="9" t="s">
        <v>38</v>
      </c>
      <c r="E1906" s="9" t="s">
        <v>60</v>
      </c>
      <c r="F1906" s="9">
        <v>0</v>
      </c>
      <c r="G1906" s="9">
        <v>8873.61</v>
      </c>
      <c r="H1906" s="9">
        <v>0.81</v>
      </c>
      <c r="I1906" s="9">
        <v>0</v>
      </c>
      <c r="J1906" s="10">
        <v>45730</v>
      </c>
      <c r="K1906" s="9" t="s">
        <v>44</v>
      </c>
      <c r="L1906" s="9" t="s">
        <v>25</v>
      </c>
      <c r="M1906" s="9">
        <v>1663.56</v>
      </c>
    </row>
    <row r="1907" spans="1:13" x14ac:dyDescent="0.35">
      <c r="A1907" s="9">
        <v>4395</v>
      </c>
      <c r="B1907" s="9" t="s">
        <v>34</v>
      </c>
      <c r="C1907" s="9" t="s">
        <v>20</v>
      </c>
      <c r="D1907" s="9" t="s">
        <v>43</v>
      </c>
      <c r="E1907" s="9" t="s">
        <v>59</v>
      </c>
      <c r="F1907" s="9">
        <v>2</v>
      </c>
      <c r="G1907" s="9">
        <v>5282.31</v>
      </c>
      <c r="H1907" s="9">
        <v>0</v>
      </c>
      <c r="I1907" s="9">
        <v>0</v>
      </c>
      <c r="J1907" s="10">
        <v>45767</v>
      </c>
      <c r="K1907" s="9" t="s">
        <v>45</v>
      </c>
      <c r="L1907" s="9" t="s">
        <v>26</v>
      </c>
      <c r="M1907" s="9">
        <v>3365.61</v>
      </c>
    </row>
    <row r="1908" spans="1:13" x14ac:dyDescent="0.35">
      <c r="A1908" s="9">
        <v>4397</v>
      </c>
      <c r="B1908" s="9" t="s">
        <v>31</v>
      </c>
      <c r="C1908" s="9" t="s">
        <v>20</v>
      </c>
      <c r="D1908" s="9" t="s">
        <v>61</v>
      </c>
      <c r="E1908" s="9" t="s">
        <v>59</v>
      </c>
      <c r="F1908" s="9">
        <v>-1</v>
      </c>
      <c r="G1908" s="9">
        <v>0</v>
      </c>
      <c r="H1908" s="9">
        <v>0</v>
      </c>
      <c r="I1908" s="9">
        <v>0</v>
      </c>
      <c r="J1908" s="10">
        <v>45785</v>
      </c>
      <c r="K1908" s="9" t="s">
        <v>44</v>
      </c>
      <c r="L1908" s="9" t="s">
        <v>29</v>
      </c>
      <c r="M1908" s="9">
        <v>-671.54</v>
      </c>
    </row>
    <row r="1909" spans="1:13" x14ac:dyDescent="0.35">
      <c r="A1909" s="9">
        <v>4398</v>
      </c>
      <c r="B1909" s="9" t="s">
        <v>31</v>
      </c>
      <c r="C1909" s="9" t="s">
        <v>19</v>
      </c>
      <c r="D1909" s="9" t="s">
        <v>39</v>
      </c>
      <c r="E1909" s="9" t="s">
        <v>62</v>
      </c>
      <c r="F1909" s="9">
        <v>2</v>
      </c>
      <c r="G1909" s="9">
        <v>0</v>
      </c>
      <c r="H1909" s="9">
        <v>0</v>
      </c>
      <c r="I1909" s="9">
        <v>0</v>
      </c>
      <c r="J1909" s="10">
        <v>45472</v>
      </c>
      <c r="K1909" s="9" t="s">
        <v>45</v>
      </c>
      <c r="L1909" s="9" t="s">
        <v>29</v>
      </c>
      <c r="M1909" s="9">
        <v>1971.9</v>
      </c>
    </row>
    <row r="1910" spans="1:13" x14ac:dyDescent="0.35">
      <c r="A1910" s="9">
        <v>4399</v>
      </c>
      <c r="B1910" s="9" t="s">
        <v>31</v>
      </c>
      <c r="C1910" s="9" t="s">
        <v>22</v>
      </c>
      <c r="D1910" s="9" t="s">
        <v>65</v>
      </c>
      <c r="E1910" s="9" t="s">
        <v>60</v>
      </c>
      <c r="F1910" s="9">
        <v>0</v>
      </c>
      <c r="G1910" s="9">
        <v>7607.91</v>
      </c>
      <c r="H1910" s="9">
        <v>0</v>
      </c>
      <c r="I1910" s="9">
        <v>0</v>
      </c>
      <c r="J1910" s="10">
        <v>45663</v>
      </c>
      <c r="K1910" s="9" t="s">
        <v>45</v>
      </c>
      <c r="L1910" s="9" t="s">
        <v>25</v>
      </c>
      <c r="M1910" s="9">
        <v>-161.85</v>
      </c>
    </row>
    <row r="1911" spans="1:13" x14ac:dyDescent="0.35">
      <c r="A1911" s="9">
        <v>4400</v>
      </c>
      <c r="B1911" s="9" t="s">
        <v>28</v>
      </c>
      <c r="C1911" s="9" t="s">
        <v>21</v>
      </c>
      <c r="D1911" s="9" t="s">
        <v>40</v>
      </c>
      <c r="E1911" s="9" t="s">
        <v>59</v>
      </c>
      <c r="F1911" s="9">
        <v>4</v>
      </c>
      <c r="G1911" s="9">
        <v>7798.57</v>
      </c>
      <c r="H1911" s="9">
        <v>0.28000000000000003</v>
      </c>
      <c r="I1911" s="9">
        <v>22459.88</v>
      </c>
      <c r="J1911" s="10">
        <v>45804</v>
      </c>
      <c r="K1911" s="9" t="s">
        <v>44</v>
      </c>
      <c r="L1911" s="9" t="s">
        <v>27</v>
      </c>
      <c r="M1911" s="9">
        <v>1334.4</v>
      </c>
    </row>
    <row r="1912" spans="1:13" x14ac:dyDescent="0.35">
      <c r="A1912" s="9">
        <v>4401</v>
      </c>
      <c r="B1912" s="9" t="s">
        <v>31</v>
      </c>
      <c r="C1912" s="9" t="s">
        <v>21</v>
      </c>
      <c r="D1912" s="9" t="s">
        <v>36</v>
      </c>
      <c r="E1912" s="9" t="s">
        <v>62</v>
      </c>
      <c r="F1912" s="9">
        <v>0</v>
      </c>
      <c r="G1912" s="9">
        <v>0</v>
      </c>
      <c r="H1912" s="9">
        <v>0</v>
      </c>
      <c r="I1912" s="9">
        <v>0</v>
      </c>
      <c r="J1912" s="10">
        <v>45621</v>
      </c>
      <c r="K1912" s="9" t="s">
        <v>44</v>
      </c>
      <c r="L1912" s="9" t="s">
        <v>27</v>
      </c>
      <c r="M1912" s="9">
        <v>3410.82</v>
      </c>
    </row>
    <row r="1913" spans="1:13" x14ac:dyDescent="0.35">
      <c r="A1913" s="9">
        <v>4403</v>
      </c>
      <c r="B1913" s="9" t="s">
        <v>34</v>
      </c>
      <c r="C1913" s="9" t="s">
        <v>22</v>
      </c>
      <c r="D1913" s="9" t="s">
        <v>67</v>
      </c>
      <c r="E1913" s="9" t="s">
        <v>60</v>
      </c>
      <c r="F1913" s="9">
        <v>0</v>
      </c>
      <c r="G1913" s="9">
        <v>3086.75</v>
      </c>
      <c r="H1913" s="9">
        <v>0</v>
      </c>
      <c r="I1913" s="9">
        <v>0</v>
      </c>
      <c r="J1913" s="10">
        <v>45531</v>
      </c>
      <c r="K1913" s="9" t="s">
        <v>45</v>
      </c>
      <c r="L1913" s="9" t="s">
        <v>35</v>
      </c>
      <c r="M1913" s="9">
        <v>-681.62</v>
      </c>
    </row>
    <row r="1914" spans="1:13" x14ac:dyDescent="0.35">
      <c r="A1914" s="9">
        <v>4404</v>
      </c>
      <c r="B1914" s="9" t="s">
        <v>28</v>
      </c>
      <c r="C1914" s="9" t="s">
        <v>20</v>
      </c>
      <c r="D1914" s="9" t="s">
        <v>66</v>
      </c>
      <c r="E1914" s="9" t="s">
        <v>59</v>
      </c>
      <c r="F1914" s="9">
        <v>0</v>
      </c>
      <c r="G1914" s="9">
        <v>0</v>
      </c>
      <c r="H1914" s="9">
        <v>0</v>
      </c>
      <c r="I1914" s="9">
        <v>0</v>
      </c>
      <c r="J1914" s="10">
        <v>45531</v>
      </c>
      <c r="K1914" s="9" t="s">
        <v>44</v>
      </c>
      <c r="L1914" s="9" t="s">
        <v>32</v>
      </c>
      <c r="M1914" s="9">
        <v>2129.29</v>
      </c>
    </row>
    <row r="1915" spans="1:13" x14ac:dyDescent="0.35">
      <c r="A1915" s="9">
        <v>4405</v>
      </c>
      <c r="B1915" s="9" t="s">
        <v>28</v>
      </c>
      <c r="C1915" s="9" t="s">
        <v>18</v>
      </c>
      <c r="D1915" s="9" t="s">
        <v>33</v>
      </c>
      <c r="E1915" s="9" t="s">
        <v>62</v>
      </c>
      <c r="F1915" s="9">
        <v>-1</v>
      </c>
      <c r="G1915" s="9">
        <v>0</v>
      </c>
      <c r="H1915" s="9">
        <v>1.24</v>
      </c>
      <c r="I1915" s="9">
        <v>0</v>
      </c>
      <c r="J1915" s="10">
        <v>45712</v>
      </c>
      <c r="K1915" s="9" t="s">
        <v>44</v>
      </c>
      <c r="L1915" s="9" t="s">
        <v>35</v>
      </c>
      <c r="M1915" s="9">
        <v>3373.28</v>
      </c>
    </row>
    <row r="1916" spans="1:13" x14ac:dyDescent="0.35">
      <c r="A1916" s="9">
        <v>4407</v>
      </c>
      <c r="B1916" s="9" t="s">
        <v>34</v>
      </c>
      <c r="C1916" s="9" t="s">
        <v>21</v>
      </c>
      <c r="D1916" s="9" t="s">
        <v>64</v>
      </c>
      <c r="E1916" s="9" t="s">
        <v>59</v>
      </c>
      <c r="F1916" s="9">
        <v>0</v>
      </c>
      <c r="G1916" s="9">
        <v>0</v>
      </c>
      <c r="H1916" s="9">
        <v>1.1100000000000001</v>
      </c>
      <c r="I1916" s="9">
        <v>0</v>
      </c>
      <c r="J1916" s="10">
        <v>45712</v>
      </c>
      <c r="K1916" s="9" t="s">
        <v>45</v>
      </c>
      <c r="L1916" s="9" t="s">
        <v>26</v>
      </c>
      <c r="M1916" s="9">
        <v>3172.6</v>
      </c>
    </row>
    <row r="1917" spans="1:13" x14ac:dyDescent="0.35">
      <c r="A1917" s="9">
        <v>4408</v>
      </c>
      <c r="B1917" s="9" t="s">
        <v>34</v>
      </c>
      <c r="C1917" s="9" t="s">
        <v>18</v>
      </c>
      <c r="D1917" s="9" t="s">
        <v>41</v>
      </c>
      <c r="E1917" s="9" t="s">
        <v>62</v>
      </c>
      <c r="F1917" s="9">
        <v>1</v>
      </c>
      <c r="G1917" s="9">
        <v>3409.83</v>
      </c>
      <c r="H1917" s="9">
        <v>0</v>
      </c>
      <c r="I1917" s="9">
        <v>0</v>
      </c>
      <c r="J1917" s="10">
        <v>45712</v>
      </c>
      <c r="K1917" s="9" t="s">
        <v>45</v>
      </c>
      <c r="L1917" s="9" t="s">
        <v>25</v>
      </c>
      <c r="M1917" s="9">
        <v>1822</v>
      </c>
    </row>
    <row r="1918" spans="1:13" x14ac:dyDescent="0.35">
      <c r="A1918" s="9">
        <v>4409</v>
      </c>
      <c r="B1918" s="9" t="s">
        <v>34</v>
      </c>
      <c r="C1918" s="9" t="s">
        <v>18</v>
      </c>
      <c r="D1918" s="9" t="s">
        <v>33</v>
      </c>
      <c r="E1918" s="9" t="s">
        <v>60</v>
      </c>
      <c r="F1918" s="9">
        <v>0</v>
      </c>
      <c r="G1918" s="9">
        <v>0</v>
      </c>
      <c r="H1918" s="9">
        <v>0.01</v>
      </c>
      <c r="I1918" s="9">
        <v>0</v>
      </c>
      <c r="J1918" s="10">
        <v>45712</v>
      </c>
      <c r="K1918" s="9" t="s">
        <v>44</v>
      </c>
      <c r="L1918" s="9" t="s">
        <v>25</v>
      </c>
      <c r="M1918" s="9">
        <v>2707.33</v>
      </c>
    </row>
    <row r="1919" spans="1:13" x14ac:dyDescent="0.35">
      <c r="A1919" s="9">
        <v>4410</v>
      </c>
      <c r="B1919" s="9" t="s">
        <v>31</v>
      </c>
      <c r="C1919" s="9" t="s">
        <v>22</v>
      </c>
      <c r="D1919" s="9" t="s">
        <v>67</v>
      </c>
      <c r="E1919" s="9" t="s">
        <v>62</v>
      </c>
      <c r="F1919" s="9">
        <v>-1</v>
      </c>
      <c r="G1919" s="9">
        <v>5967.57</v>
      </c>
      <c r="H1919" s="9">
        <v>1.1000000000000001</v>
      </c>
      <c r="I1919" s="9">
        <v>596.76</v>
      </c>
      <c r="J1919" s="10">
        <v>45317</v>
      </c>
      <c r="K1919" s="9" t="s">
        <v>44</v>
      </c>
      <c r="L1919" s="9" t="s">
        <v>26</v>
      </c>
      <c r="M1919" s="9">
        <v>-1011.68</v>
      </c>
    </row>
    <row r="1920" spans="1:13" x14ac:dyDescent="0.35">
      <c r="A1920" s="9">
        <v>4411</v>
      </c>
      <c r="B1920" s="9" t="s">
        <v>34</v>
      </c>
      <c r="C1920" s="9" t="s">
        <v>21</v>
      </c>
      <c r="D1920" s="9" t="s">
        <v>40</v>
      </c>
      <c r="E1920" s="9" t="s">
        <v>59</v>
      </c>
      <c r="F1920" s="9">
        <v>0</v>
      </c>
      <c r="G1920" s="9">
        <v>0</v>
      </c>
      <c r="H1920" s="9">
        <v>0</v>
      </c>
      <c r="I1920" s="9">
        <v>0</v>
      </c>
      <c r="J1920" s="10">
        <v>45317</v>
      </c>
      <c r="K1920" s="9" t="s">
        <v>44</v>
      </c>
      <c r="L1920" s="9" t="s">
        <v>32</v>
      </c>
      <c r="M1920" s="9">
        <v>3130.26</v>
      </c>
    </row>
    <row r="1921" spans="1:13" x14ac:dyDescent="0.35">
      <c r="A1921" s="9">
        <v>4412</v>
      </c>
      <c r="B1921" s="9" t="s">
        <v>34</v>
      </c>
      <c r="C1921" s="9" t="s">
        <v>21</v>
      </c>
      <c r="D1921" s="9" t="s">
        <v>36</v>
      </c>
      <c r="E1921" s="9" t="s">
        <v>62</v>
      </c>
      <c r="F1921" s="9">
        <v>1</v>
      </c>
      <c r="G1921" s="9">
        <v>0</v>
      </c>
      <c r="H1921" s="9">
        <v>0</v>
      </c>
      <c r="I1921" s="9">
        <v>0</v>
      </c>
      <c r="J1921" s="10">
        <v>45802</v>
      </c>
      <c r="K1921" s="9" t="s">
        <v>45</v>
      </c>
      <c r="L1921" s="9" t="s">
        <v>27</v>
      </c>
      <c r="M1921" s="9">
        <v>3452.75</v>
      </c>
    </row>
    <row r="1922" spans="1:13" x14ac:dyDescent="0.35">
      <c r="A1922" s="9">
        <v>4413</v>
      </c>
      <c r="B1922" s="9" t="s">
        <v>31</v>
      </c>
      <c r="C1922" s="9" t="s">
        <v>20</v>
      </c>
      <c r="D1922" s="9" t="s">
        <v>66</v>
      </c>
      <c r="E1922" s="9" t="s">
        <v>59</v>
      </c>
      <c r="F1922" s="9">
        <v>0</v>
      </c>
      <c r="G1922" s="9">
        <v>0</v>
      </c>
      <c r="H1922" s="9">
        <v>0</v>
      </c>
      <c r="I1922" s="9">
        <v>0</v>
      </c>
      <c r="J1922" s="10">
        <v>45538</v>
      </c>
      <c r="K1922" s="9" t="s">
        <v>44</v>
      </c>
      <c r="L1922" s="9" t="s">
        <v>32</v>
      </c>
      <c r="M1922" s="9">
        <v>2790.67</v>
      </c>
    </row>
    <row r="1923" spans="1:13" x14ac:dyDescent="0.35">
      <c r="A1923" s="9">
        <v>4414</v>
      </c>
      <c r="B1923" s="9" t="s">
        <v>34</v>
      </c>
      <c r="C1923" s="9" t="s">
        <v>20</v>
      </c>
      <c r="D1923" s="9" t="s">
        <v>70</v>
      </c>
      <c r="E1923" s="9" t="s">
        <v>59</v>
      </c>
      <c r="F1923" s="9">
        <v>0</v>
      </c>
      <c r="G1923" s="9">
        <v>0</v>
      </c>
      <c r="H1923" s="9">
        <v>0.32</v>
      </c>
      <c r="I1923" s="9">
        <v>0</v>
      </c>
      <c r="J1923" s="10">
        <v>45540</v>
      </c>
      <c r="K1923" s="9" t="s">
        <v>44</v>
      </c>
      <c r="L1923" s="9" t="s">
        <v>32</v>
      </c>
      <c r="M1923" s="9">
        <v>3503.26</v>
      </c>
    </row>
    <row r="1924" spans="1:13" x14ac:dyDescent="0.35">
      <c r="A1924" s="9">
        <v>4415</v>
      </c>
      <c r="B1924" s="9" t="s">
        <v>34</v>
      </c>
      <c r="C1924" s="9" t="s">
        <v>20</v>
      </c>
      <c r="D1924" s="9" t="s">
        <v>66</v>
      </c>
      <c r="E1924" s="9" t="s">
        <v>59</v>
      </c>
      <c r="F1924" s="9">
        <v>0</v>
      </c>
      <c r="G1924" s="9">
        <v>3671.95</v>
      </c>
      <c r="H1924" s="9">
        <v>0</v>
      </c>
      <c r="I1924" s="9">
        <v>0</v>
      </c>
      <c r="J1924" s="10">
        <v>45540</v>
      </c>
      <c r="K1924" s="9" t="s">
        <v>44</v>
      </c>
      <c r="L1924" s="9" t="s">
        <v>35</v>
      </c>
      <c r="M1924" s="9">
        <v>2797.91</v>
      </c>
    </row>
    <row r="1925" spans="1:13" x14ac:dyDescent="0.35">
      <c r="A1925" s="9">
        <v>4417</v>
      </c>
      <c r="B1925" s="9" t="s">
        <v>28</v>
      </c>
      <c r="C1925" s="9" t="s">
        <v>19</v>
      </c>
      <c r="D1925" s="9" t="s">
        <v>42</v>
      </c>
      <c r="E1925" s="9" t="s">
        <v>60</v>
      </c>
      <c r="F1925" s="9">
        <v>0</v>
      </c>
      <c r="G1925" s="9">
        <v>0</v>
      </c>
      <c r="H1925" s="9">
        <v>0.83</v>
      </c>
      <c r="I1925" s="9">
        <v>0</v>
      </c>
      <c r="J1925" s="10">
        <v>45540</v>
      </c>
      <c r="K1925" s="9" t="s">
        <v>44</v>
      </c>
      <c r="L1925" s="9" t="s">
        <v>32</v>
      </c>
      <c r="M1925" s="9">
        <v>2668.14</v>
      </c>
    </row>
    <row r="1926" spans="1:13" x14ac:dyDescent="0.35">
      <c r="A1926" s="9">
        <v>4418</v>
      </c>
      <c r="B1926" s="9" t="s">
        <v>28</v>
      </c>
      <c r="C1926" s="9" t="s">
        <v>18</v>
      </c>
      <c r="D1926" s="9" t="s">
        <v>41</v>
      </c>
      <c r="E1926" s="9" t="s">
        <v>62</v>
      </c>
      <c r="F1926" s="9">
        <v>2</v>
      </c>
      <c r="G1926" s="9">
        <v>3139.93</v>
      </c>
      <c r="H1926" s="9">
        <v>0.46</v>
      </c>
      <c r="I1926" s="9">
        <v>3391.12</v>
      </c>
      <c r="J1926" s="10">
        <v>45540</v>
      </c>
      <c r="K1926" s="9" t="s">
        <v>45</v>
      </c>
      <c r="L1926" s="9" t="s">
        <v>27</v>
      </c>
      <c r="M1926" s="9">
        <v>3548.13</v>
      </c>
    </row>
    <row r="1927" spans="1:13" x14ac:dyDescent="0.35">
      <c r="A1927" s="9">
        <v>4419</v>
      </c>
      <c r="B1927" s="9" t="s">
        <v>34</v>
      </c>
      <c r="C1927" s="9" t="s">
        <v>18</v>
      </c>
      <c r="D1927" s="9" t="s">
        <v>33</v>
      </c>
      <c r="E1927" s="9" t="s">
        <v>59</v>
      </c>
      <c r="F1927" s="9">
        <v>0</v>
      </c>
      <c r="G1927" s="9">
        <v>0</v>
      </c>
      <c r="H1927" s="9">
        <v>0</v>
      </c>
      <c r="I1927" s="9">
        <v>0</v>
      </c>
      <c r="J1927" s="10">
        <v>45674</v>
      </c>
      <c r="K1927" s="9" t="s">
        <v>45</v>
      </c>
      <c r="L1927" s="9" t="s">
        <v>25</v>
      </c>
      <c r="M1927" s="9">
        <v>61.45</v>
      </c>
    </row>
    <row r="1928" spans="1:13" x14ac:dyDescent="0.35">
      <c r="A1928" s="9">
        <v>4420</v>
      </c>
      <c r="B1928" s="9" t="s">
        <v>28</v>
      </c>
      <c r="C1928" s="9" t="s">
        <v>21</v>
      </c>
      <c r="D1928" s="9" t="s">
        <v>36</v>
      </c>
      <c r="E1928" s="9" t="s">
        <v>60</v>
      </c>
      <c r="F1928" s="9">
        <v>4</v>
      </c>
      <c r="G1928" s="9">
        <v>4904.79</v>
      </c>
      <c r="H1928" s="9">
        <v>1.19</v>
      </c>
      <c r="I1928" s="9">
        <v>-3727.64</v>
      </c>
      <c r="J1928" s="10">
        <v>45238</v>
      </c>
      <c r="K1928" s="9" t="s">
        <v>44</v>
      </c>
      <c r="L1928" s="9" t="s">
        <v>35</v>
      </c>
      <c r="M1928" s="9">
        <v>2633.82</v>
      </c>
    </row>
    <row r="1929" spans="1:13" x14ac:dyDescent="0.35">
      <c r="A1929" s="9">
        <v>4421</v>
      </c>
      <c r="B1929" s="9" t="s">
        <v>28</v>
      </c>
      <c r="C1929" s="9" t="s">
        <v>20</v>
      </c>
      <c r="D1929" s="9" t="s">
        <v>61</v>
      </c>
      <c r="E1929" s="9" t="s">
        <v>62</v>
      </c>
      <c r="F1929" s="9">
        <v>0</v>
      </c>
      <c r="G1929" s="9">
        <v>0</v>
      </c>
      <c r="H1929" s="9">
        <v>0</v>
      </c>
      <c r="I1929" s="9">
        <v>0</v>
      </c>
      <c r="J1929" s="10">
        <v>45540</v>
      </c>
      <c r="K1929" s="9" t="s">
        <v>45</v>
      </c>
      <c r="L1929" s="9" t="s">
        <v>26</v>
      </c>
      <c r="M1929" s="9">
        <v>3005.03</v>
      </c>
    </row>
    <row r="1930" spans="1:13" x14ac:dyDescent="0.35">
      <c r="A1930" s="9">
        <v>4423</v>
      </c>
      <c r="B1930" s="9" t="s">
        <v>31</v>
      </c>
      <c r="C1930" s="9" t="s">
        <v>20</v>
      </c>
      <c r="D1930" s="9" t="s">
        <v>66</v>
      </c>
      <c r="E1930" s="9" t="s">
        <v>59</v>
      </c>
      <c r="F1930" s="9">
        <v>1</v>
      </c>
      <c r="G1930" s="9">
        <v>5381.5</v>
      </c>
      <c r="H1930" s="9">
        <v>0</v>
      </c>
      <c r="I1930" s="9">
        <v>0</v>
      </c>
      <c r="J1930" s="10">
        <v>45660</v>
      </c>
      <c r="K1930" s="9" t="s">
        <v>44</v>
      </c>
      <c r="L1930" s="9" t="s">
        <v>35</v>
      </c>
      <c r="M1930" s="9">
        <v>57.84</v>
      </c>
    </row>
    <row r="1931" spans="1:13" x14ac:dyDescent="0.35">
      <c r="A1931" s="9">
        <v>2007</v>
      </c>
      <c r="B1931" s="9" t="s">
        <v>31</v>
      </c>
      <c r="C1931" s="9" t="s">
        <v>19</v>
      </c>
      <c r="D1931" s="9" t="s">
        <v>69</v>
      </c>
      <c r="E1931" s="9" t="s">
        <v>60</v>
      </c>
      <c r="F1931" s="9">
        <v>0</v>
      </c>
      <c r="G1931" s="9">
        <v>7652.31</v>
      </c>
      <c r="H1931" s="9">
        <v>0</v>
      </c>
      <c r="I1931" s="9">
        <v>0</v>
      </c>
      <c r="J1931" s="10">
        <v>45198</v>
      </c>
      <c r="K1931" s="9" t="s">
        <v>44</v>
      </c>
      <c r="L1931" s="9" t="s">
        <v>25</v>
      </c>
      <c r="M1931" s="9">
        <v>1515.95</v>
      </c>
    </row>
    <row r="1932" spans="1:13" x14ac:dyDescent="0.35">
      <c r="A1932" s="9">
        <v>4425</v>
      </c>
      <c r="B1932" s="9" t="s">
        <v>28</v>
      </c>
      <c r="C1932" s="9" t="s">
        <v>20</v>
      </c>
      <c r="D1932" s="9" t="s">
        <v>43</v>
      </c>
      <c r="E1932" s="9" t="s">
        <v>60</v>
      </c>
      <c r="F1932" s="9">
        <v>0</v>
      </c>
      <c r="G1932" s="9">
        <v>4034.25</v>
      </c>
      <c r="H1932" s="9">
        <v>0</v>
      </c>
      <c r="I1932" s="9">
        <v>0</v>
      </c>
      <c r="J1932" s="10">
        <v>45173</v>
      </c>
      <c r="K1932" s="9" t="s">
        <v>44</v>
      </c>
      <c r="L1932" s="9" t="s">
        <v>29</v>
      </c>
      <c r="M1932" s="9">
        <v>363.8</v>
      </c>
    </row>
    <row r="1933" spans="1:13" x14ac:dyDescent="0.35">
      <c r="A1933" s="9">
        <v>4426</v>
      </c>
      <c r="B1933" s="9" t="s">
        <v>31</v>
      </c>
      <c r="C1933" s="9" t="s">
        <v>21</v>
      </c>
      <c r="D1933" s="9" t="s">
        <v>36</v>
      </c>
      <c r="E1933" s="9" t="s">
        <v>59</v>
      </c>
      <c r="F1933" s="9">
        <v>1</v>
      </c>
      <c r="G1933" s="9">
        <v>0</v>
      </c>
      <c r="H1933" s="9">
        <v>0</v>
      </c>
      <c r="I1933" s="9">
        <v>0</v>
      </c>
      <c r="J1933" s="10">
        <v>45628</v>
      </c>
      <c r="K1933" s="9" t="s">
        <v>45</v>
      </c>
      <c r="L1933" s="9" t="s">
        <v>35</v>
      </c>
      <c r="M1933" s="9">
        <v>2133.39</v>
      </c>
    </row>
    <row r="1934" spans="1:13" x14ac:dyDescent="0.35">
      <c r="A1934" s="9">
        <v>4429</v>
      </c>
      <c r="B1934" s="9" t="s">
        <v>34</v>
      </c>
      <c r="C1934" s="9" t="s">
        <v>19</v>
      </c>
      <c r="D1934" s="9" t="s">
        <v>39</v>
      </c>
      <c r="E1934" s="9" t="s">
        <v>62</v>
      </c>
      <c r="F1934" s="9">
        <v>2</v>
      </c>
      <c r="G1934" s="9">
        <v>0</v>
      </c>
      <c r="H1934" s="9">
        <v>0.49</v>
      </c>
      <c r="I1934" s="9">
        <v>0</v>
      </c>
      <c r="J1934" s="10">
        <v>45675</v>
      </c>
      <c r="K1934" s="9" t="s">
        <v>44</v>
      </c>
      <c r="L1934" s="9" t="s">
        <v>27</v>
      </c>
      <c r="M1934" s="9">
        <v>3905.15</v>
      </c>
    </row>
    <row r="1935" spans="1:13" x14ac:dyDescent="0.35">
      <c r="A1935" s="9">
        <v>4430</v>
      </c>
      <c r="B1935" s="9" t="s">
        <v>34</v>
      </c>
      <c r="C1935" s="9" t="s">
        <v>22</v>
      </c>
      <c r="D1935" s="9" t="s">
        <v>67</v>
      </c>
      <c r="E1935" s="9" t="s">
        <v>60</v>
      </c>
      <c r="F1935" s="9">
        <v>2</v>
      </c>
      <c r="G1935" s="9">
        <v>0</v>
      </c>
      <c r="H1935" s="9">
        <v>0.15</v>
      </c>
      <c r="I1935" s="9">
        <v>0</v>
      </c>
      <c r="J1935" s="10">
        <v>45793</v>
      </c>
      <c r="K1935" s="9" t="s">
        <v>44</v>
      </c>
      <c r="L1935" s="9" t="s">
        <v>25</v>
      </c>
      <c r="M1935" s="9">
        <v>3590.87</v>
      </c>
    </row>
    <row r="1936" spans="1:13" x14ac:dyDescent="0.35">
      <c r="A1936" s="9">
        <v>4431</v>
      </c>
      <c r="B1936" s="9" t="s">
        <v>34</v>
      </c>
      <c r="C1936" s="9" t="s">
        <v>18</v>
      </c>
      <c r="D1936" s="9" t="s">
        <v>41</v>
      </c>
      <c r="E1936" s="9" t="s">
        <v>62</v>
      </c>
      <c r="F1936" s="9">
        <v>0</v>
      </c>
      <c r="G1936" s="9">
        <v>0</v>
      </c>
      <c r="H1936" s="9">
        <v>0</v>
      </c>
      <c r="I1936" s="9">
        <v>0</v>
      </c>
      <c r="J1936" s="10">
        <v>45672</v>
      </c>
      <c r="K1936" s="9" t="s">
        <v>45</v>
      </c>
      <c r="L1936" s="9" t="s">
        <v>25</v>
      </c>
      <c r="M1936" s="9">
        <v>-537.53</v>
      </c>
    </row>
    <row r="1937" spans="1:13" x14ac:dyDescent="0.35">
      <c r="A1937" s="9">
        <v>4432</v>
      </c>
      <c r="B1937" s="9" t="s">
        <v>31</v>
      </c>
      <c r="C1937" s="9" t="s">
        <v>22</v>
      </c>
      <c r="D1937" s="9" t="s">
        <v>65</v>
      </c>
      <c r="E1937" s="9" t="s">
        <v>62</v>
      </c>
      <c r="F1937" s="9">
        <v>0</v>
      </c>
      <c r="G1937" s="9">
        <v>6378.45</v>
      </c>
      <c r="H1937" s="9">
        <v>0</v>
      </c>
      <c r="I1937" s="9">
        <v>0</v>
      </c>
      <c r="J1937" s="10">
        <v>45814</v>
      </c>
      <c r="K1937" s="9" t="s">
        <v>44</v>
      </c>
      <c r="L1937" s="9" t="s">
        <v>32</v>
      </c>
      <c r="M1937" s="9">
        <v>2573.36</v>
      </c>
    </row>
    <row r="1938" spans="1:13" x14ac:dyDescent="0.35">
      <c r="A1938" s="9">
        <v>4433</v>
      </c>
      <c r="B1938" s="9" t="s">
        <v>31</v>
      </c>
      <c r="C1938" s="9" t="s">
        <v>19</v>
      </c>
      <c r="D1938" s="9" t="s">
        <v>69</v>
      </c>
      <c r="E1938" s="9" t="s">
        <v>59</v>
      </c>
      <c r="F1938" s="9">
        <v>4</v>
      </c>
      <c r="G1938" s="9">
        <v>4840.5</v>
      </c>
      <c r="H1938" s="9">
        <v>0</v>
      </c>
      <c r="I1938" s="9">
        <v>0</v>
      </c>
      <c r="J1938" s="10">
        <v>45814</v>
      </c>
      <c r="K1938" s="9" t="s">
        <v>44</v>
      </c>
      <c r="L1938" s="9" t="s">
        <v>32</v>
      </c>
      <c r="M1938" s="9">
        <v>3226.65</v>
      </c>
    </row>
    <row r="1939" spans="1:13" x14ac:dyDescent="0.35">
      <c r="A1939" s="9">
        <v>4434</v>
      </c>
      <c r="B1939" s="9" t="s">
        <v>31</v>
      </c>
      <c r="C1939" s="9" t="s">
        <v>22</v>
      </c>
      <c r="D1939" s="9" t="s">
        <v>68</v>
      </c>
      <c r="E1939" s="9" t="s">
        <v>60</v>
      </c>
      <c r="F1939" s="9">
        <v>3</v>
      </c>
      <c r="G1939" s="9">
        <v>3844.82</v>
      </c>
      <c r="H1939" s="9">
        <v>0</v>
      </c>
      <c r="I1939" s="9">
        <v>0</v>
      </c>
      <c r="J1939" s="10">
        <v>45697</v>
      </c>
      <c r="K1939" s="9" t="s">
        <v>45</v>
      </c>
      <c r="L1939" s="9" t="s">
        <v>32</v>
      </c>
      <c r="M1939" s="9">
        <v>-289.83</v>
      </c>
    </row>
    <row r="1940" spans="1:13" x14ac:dyDescent="0.35">
      <c r="A1940" s="9">
        <v>4435</v>
      </c>
      <c r="B1940" s="9" t="s">
        <v>28</v>
      </c>
      <c r="C1940" s="9" t="s">
        <v>18</v>
      </c>
      <c r="D1940" s="9" t="s">
        <v>33</v>
      </c>
      <c r="E1940" s="9" t="s">
        <v>59</v>
      </c>
      <c r="F1940" s="9">
        <v>0</v>
      </c>
      <c r="G1940" s="9">
        <v>0</v>
      </c>
      <c r="H1940" s="9">
        <v>0</v>
      </c>
      <c r="I1940" s="9">
        <v>0</v>
      </c>
      <c r="J1940" s="10">
        <v>45697</v>
      </c>
      <c r="K1940" s="9" t="s">
        <v>45</v>
      </c>
      <c r="L1940" s="9" t="s">
        <v>32</v>
      </c>
      <c r="M1940" s="9">
        <v>2607.5700000000002</v>
      </c>
    </row>
    <row r="1941" spans="1:13" x14ac:dyDescent="0.35">
      <c r="A1941" s="9">
        <v>4436</v>
      </c>
      <c r="B1941" s="9" t="s">
        <v>31</v>
      </c>
      <c r="C1941" s="9" t="s">
        <v>18</v>
      </c>
      <c r="D1941" s="9" t="s">
        <v>37</v>
      </c>
      <c r="E1941" s="9" t="s">
        <v>59</v>
      </c>
      <c r="F1941" s="9">
        <v>4</v>
      </c>
      <c r="G1941" s="9">
        <v>2720.7</v>
      </c>
      <c r="H1941" s="9">
        <v>0</v>
      </c>
      <c r="I1941" s="9">
        <v>0</v>
      </c>
      <c r="J1941" s="10">
        <v>45755</v>
      </c>
      <c r="K1941" s="9" t="s">
        <v>45</v>
      </c>
      <c r="L1941" s="9" t="s">
        <v>35</v>
      </c>
      <c r="M1941" s="9">
        <v>-818.53</v>
      </c>
    </row>
    <row r="1942" spans="1:13" x14ac:dyDescent="0.35">
      <c r="A1942" s="9">
        <v>4437</v>
      </c>
      <c r="B1942" s="9" t="s">
        <v>31</v>
      </c>
      <c r="C1942" s="9" t="s">
        <v>22</v>
      </c>
      <c r="D1942" s="9" t="s">
        <v>67</v>
      </c>
      <c r="E1942" s="9" t="s">
        <v>62</v>
      </c>
      <c r="F1942" s="9">
        <v>2</v>
      </c>
      <c r="G1942" s="9">
        <v>0</v>
      </c>
      <c r="H1942" s="9">
        <v>0</v>
      </c>
      <c r="I1942" s="9">
        <v>0</v>
      </c>
      <c r="J1942" s="10">
        <v>45255</v>
      </c>
      <c r="K1942" s="9" t="s">
        <v>44</v>
      </c>
      <c r="L1942" s="9" t="s">
        <v>32</v>
      </c>
      <c r="M1942" s="9">
        <v>3972.33</v>
      </c>
    </row>
    <row r="1943" spans="1:13" x14ac:dyDescent="0.35">
      <c r="A1943" s="9">
        <v>4440</v>
      </c>
      <c r="B1943" s="9" t="s">
        <v>31</v>
      </c>
      <c r="C1943" s="9" t="s">
        <v>22</v>
      </c>
      <c r="D1943" s="9" t="s">
        <v>68</v>
      </c>
      <c r="E1943" s="9" t="s">
        <v>62</v>
      </c>
      <c r="F1943" s="9">
        <v>0</v>
      </c>
      <c r="G1943" s="9">
        <v>6172.36</v>
      </c>
      <c r="H1943" s="9">
        <v>0</v>
      </c>
      <c r="I1943" s="9">
        <v>0</v>
      </c>
      <c r="J1943" s="10">
        <v>45762</v>
      </c>
      <c r="K1943" s="9" t="s">
        <v>45</v>
      </c>
      <c r="L1943" s="9" t="s">
        <v>26</v>
      </c>
      <c r="M1943" s="9">
        <v>-551.75</v>
      </c>
    </row>
    <row r="1944" spans="1:13" x14ac:dyDescent="0.35">
      <c r="A1944" s="9">
        <v>4441</v>
      </c>
      <c r="B1944" s="9" t="s">
        <v>34</v>
      </c>
      <c r="C1944" s="9" t="s">
        <v>19</v>
      </c>
      <c r="D1944" s="9" t="s">
        <v>39</v>
      </c>
      <c r="E1944" s="9" t="s">
        <v>60</v>
      </c>
      <c r="F1944" s="9">
        <v>3</v>
      </c>
      <c r="G1944" s="9">
        <v>0</v>
      </c>
      <c r="H1944" s="9">
        <v>0</v>
      </c>
      <c r="I1944" s="9">
        <v>0</v>
      </c>
      <c r="J1944" s="10">
        <v>45417</v>
      </c>
      <c r="K1944" s="9" t="s">
        <v>44</v>
      </c>
      <c r="L1944" s="9" t="s">
        <v>27</v>
      </c>
      <c r="M1944" s="9">
        <v>2036.39</v>
      </c>
    </row>
    <row r="1945" spans="1:13" x14ac:dyDescent="0.35">
      <c r="A1945" s="9">
        <v>4442</v>
      </c>
      <c r="B1945" s="9" t="s">
        <v>28</v>
      </c>
      <c r="C1945" s="9" t="s">
        <v>19</v>
      </c>
      <c r="D1945" s="9" t="s">
        <v>69</v>
      </c>
      <c r="E1945" s="9" t="s">
        <v>60</v>
      </c>
      <c r="F1945" s="9">
        <v>0</v>
      </c>
      <c r="G1945" s="9">
        <v>0</v>
      </c>
      <c r="H1945" s="9">
        <v>0</v>
      </c>
      <c r="I1945" s="9">
        <v>0</v>
      </c>
      <c r="J1945" s="10">
        <v>45434</v>
      </c>
      <c r="K1945" s="9" t="s">
        <v>44</v>
      </c>
      <c r="L1945" s="9" t="s">
        <v>32</v>
      </c>
      <c r="M1945" s="9">
        <v>1366.18</v>
      </c>
    </row>
    <row r="1946" spans="1:13" x14ac:dyDescent="0.35">
      <c r="A1946" s="9">
        <v>4443</v>
      </c>
      <c r="B1946" s="9" t="s">
        <v>31</v>
      </c>
      <c r="C1946" s="9" t="s">
        <v>21</v>
      </c>
      <c r="D1946" s="9" t="s">
        <v>71</v>
      </c>
      <c r="E1946" s="9" t="s">
        <v>59</v>
      </c>
      <c r="F1946" s="9">
        <v>3</v>
      </c>
      <c r="G1946" s="9">
        <v>7953</v>
      </c>
      <c r="H1946" s="9">
        <v>1.21</v>
      </c>
      <c r="I1946" s="9">
        <v>-5010.3900000000003</v>
      </c>
      <c r="J1946" s="10">
        <v>45789</v>
      </c>
      <c r="K1946" s="9" t="s">
        <v>44</v>
      </c>
      <c r="L1946" s="9" t="s">
        <v>32</v>
      </c>
      <c r="M1946" s="9">
        <v>-665.22</v>
      </c>
    </row>
    <row r="1947" spans="1:13" x14ac:dyDescent="0.35">
      <c r="A1947" s="9">
        <v>4444</v>
      </c>
      <c r="B1947" s="9" t="s">
        <v>31</v>
      </c>
      <c r="C1947" s="9" t="s">
        <v>20</v>
      </c>
      <c r="D1947" s="9" t="s">
        <v>61</v>
      </c>
      <c r="E1947" s="9" t="s">
        <v>59</v>
      </c>
      <c r="F1947" s="9">
        <v>4</v>
      </c>
      <c r="G1947" s="9">
        <v>0</v>
      </c>
      <c r="H1947" s="9">
        <v>0.36</v>
      </c>
      <c r="I1947" s="9">
        <v>0</v>
      </c>
      <c r="J1947" s="10">
        <v>45569</v>
      </c>
      <c r="K1947" s="9" t="s">
        <v>45</v>
      </c>
      <c r="L1947" s="9" t="s">
        <v>27</v>
      </c>
      <c r="M1947" s="9">
        <v>243.39</v>
      </c>
    </row>
    <row r="1948" spans="1:13" x14ac:dyDescent="0.35">
      <c r="A1948" s="9">
        <v>4445</v>
      </c>
      <c r="B1948" s="9" t="s">
        <v>28</v>
      </c>
      <c r="C1948" s="9" t="s">
        <v>18</v>
      </c>
      <c r="D1948" s="9" t="s">
        <v>41</v>
      </c>
      <c r="E1948" s="9" t="s">
        <v>62</v>
      </c>
      <c r="F1948" s="9">
        <v>1</v>
      </c>
      <c r="G1948" s="9">
        <v>5915.27</v>
      </c>
      <c r="H1948" s="9">
        <v>0.12</v>
      </c>
      <c r="I1948" s="9">
        <v>5205.4399999999996</v>
      </c>
      <c r="J1948" s="10">
        <v>45641</v>
      </c>
      <c r="K1948" s="9" t="s">
        <v>44</v>
      </c>
      <c r="L1948" s="9" t="s">
        <v>26</v>
      </c>
      <c r="M1948" s="9">
        <v>3456.95</v>
      </c>
    </row>
    <row r="1949" spans="1:13" x14ac:dyDescent="0.35">
      <c r="A1949" s="9">
        <v>4446</v>
      </c>
      <c r="B1949" s="9" t="s">
        <v>31</v>
      </c>
      <c r="C1949" s="9" t="s">
        <v>19</v>
      </c>
      <c r="D1949" s="9" t="s">
        <v>63</v>
      </c>
      <c r="E1949" s="9" t="s">
        <v>59</v>
      </c>
      <c r="F1949" s="9">
        <v>2</v>
      </c>
      <c r="G1949" s="9">
        <v>3469.31</v>
      </c>
      <c r="H1949" s="9">
        <v>0.28000000000000003</v>
      </c>
      <c r="I1949" s="9">
        <v>4995.8100000000004</v>
      </c>
      <c r="J1949" s="10">
        <v>45683</v>
      </c>
      <c r="K1949" s="9" t="s">
        <v>44</v>
      </c>
      <c r="L1949" s="9" t="s">
        <v>35</v>
      </c>
      <c r="M1949" s="9">
        <v>2671.58</v>
      </c>
    </row>
    <row r="1950" spans="1:13" x14ac:dyDescent="0.35">
      <c r="A1950" s="9">
        <v>4447</v>
      </c>
      <c r="B1950" s="9" t="s">
        <v>34</v>
      </c>
      <c r="C1950" s="9" t="s">
        <v>20</v>
      </c>
      <c r="D1950" s="9" t="s">
        <v>66</v>
      </c>
      <c r="E1950" s="9" t="s">
        <v>62</v>
      </c>
      <c r="F1950" s="9">
        <v>0</v>
      </c>
      <c r="G1950" s="9">
        <v>0</v>
      </c>
      <c r="H1950" s="9">
        <v>0</v>
      </c>
      <c r="I1950" s="9">
        <v>0</v>
      </c>
      <c r="J1950" s="10">
        <v>45638</v>
      </c>
      <c r="K1950" s="9" t="s">
        <v>44</v>
      </c>
      <c r="L1950" s="9" t="s">
        <v>29</v>
      </c>
      <c r="M1950" s="9">
        <v>1574.91</v>
      </c>
    </row>
    <row r="1951" spans="1:13" x14ac:dyDescent="0.35">
      <c r="A1951" s="9">
        <v>2030</v>
      </c>
      <c r="B1951" s="9" t="s">
        <v>28</v>
      </c>
      <c r="C1951" s="9" t="s">
        <v>22</v>
      </c>
      <c r="D1951" s="9" t="s">
        <v>65</v>
      </c>
      <c r="E1951" s="9" t="s">
        <v>59</v>
      </c>
      <c r="F1951" s="9">
        <v>2</v>
      </c>
      <c r="G1951" s="9">
        <v>0</v>
      </c>
      <c r="H1951" s="9">
        <v>0</v>
      </c>
      <c r="I1951" s="9">
        <v>0</v>
      </c>
      <c r="J1951" s="10">
        <v>45818</v>
      </c>
      <c r="K1951" s="9" t="s">
        <v>44</v>
      </c>
      <c r="L1951" s="9" t="s">
        <v>26</v>
      </c>
      <c r="M1951" s="9">
        <v>2717.93</v>
      </c>
    </row>
    <row r="1952" spans="1:13" x14ac:dyDescent="0.35">
      <c r="A1952" s="9">
        <v>4449</v>
      </c>
      <c r="B1952" s="9" t="s">
        <v>31</v>
      </c>
      <c r="C1952" s="9" t="s">
        <v>21</v>
      </c>
      <c r="D1952" s="9" t="s">
        <v>40</v>
      </c>
      <c r="E1952" s="9" t="s">
        <v>59</v>
      </c>
      <c r="F1952" s="9">
        <v>0</v>
      </c>
      <c r="G1952" s="9">
        <v>5053.29</v>
      </c>
      <c r="H1952" s="9">
        <v>0</v>
      </c>
      <c r="I1952" s="9">
        <v>0</v>
      </c>
      <c r="J1952" s="10">
        <v>45712</v>
      </c>
      <c r="K1952" s="9" t="s">
        <v>44</v>
      </c>
      <c r="L1952" s="9" t="s">
        <v>27</v>
      </c>
      <c r="M1952" s="9">
        <v>3206.34</v>
      </c>
    </row>
    <row r="1953" spans="1:13" x14ac:dyDescent="0.35">
      <c r="A1953" s="9">
        <v>4452</v>
      </c>
      <c r="B1953" s="9" t="s">
        <v>28</v>
      </c>
      <c r="C1953" s="9" t="s">
        <v>21</v>
      </c>
      <c r="D1953" s="9" t="s">
        <v>36</v>
      </c>
      <c r="E1953" s="9" t="s">
        <v>59</v>
      </c>
      <c r="F1953" s="9">
        <v>1</v>
      </c>
      <c r="G1953" s="9">
        <v>0</v>
      </c>
      <c r="H1953" s="9">
        <v>0</v>
      </c>
      <c r="I1953" s="9">
        <v>0</v>
      </c>
      <c r="J1953" s="10">
        <v>45774</v>
      </c>
      <c r="K1953" s="9" t="s">
        <v>45</v>
      </c>
      <c r="L1953" s="9" t="s">
        <v>25</v>
      </c>
      <c r="M1953" s="9">
        <v>-86.63</v>
      </c>
    </row>
    <row r="1954" spans="1:13" x14ac:dyDescent="0.35">
      <c r="A1954" s="9">
        <v>4453</v>
      </c>
      <c r="B1954" s="9" t="s">
        <v>31</v>
      </c>
      <c r="C1954" s="9" t="s">
        <v>18</v>
      </c>
      <c r="D1954" s="9" t="s">
        <v>33</v>
      </c>
      <c r="E1954" s="9" t="s">
        <v>62</v>
      </c>
      <c r="F1954" s="9">
        <v>1</v>
      </c>
      <c r="G1954" s="9">
        <v>0</v>
      </c>
      <c r="H1954" s="9">
        <v>0</v>
      </c>
      <c r="I1954" s="9">
        <v>0</v>
      </c>
      <c r="J1954" s="10">
        <v>45803</v>
      </c>
      <c r="K1954" s="9" t="s">
        <v>44</v>
      </c>
      <c r="L1954" s="9" t="s">
        <v>25</v>
      </c>
      <c r="M1954" s="9">
        <v>2814.75</v>
      </c>
    </row>
    <row r="1955" spans="1:13" x14ac:dyDescent="0.35">
      <c r="A1955" s="9">
        <v>4454</v>
      </c>
      <c r="B1955" s="9" t="s">
        <v>34</v>
      </c>
      <c r="C1955" s="9" t="s">
        <v>20</v>
      </c>
      <c r="D1955" s="9" t="s">
        <v>70</v>
      </c>
      <c r="E1955" s="9" t="s">
        <v>59</v>
      </c>
      <c r="F1955" s="9">
        <v>0</v>
      </c>
      <c r="G1955" s="9">
        <v>2915.54</v>
      </c>
      <c r="H1955" s="9">
        <v>0</v>
      </c>
      <c r="I1955" s="9">
        <v>0</v>
      </c>
      <c r="J1955" s="10">
        <v>45659</v>
      </c>
      <c r="K1955" s="9" t="s">
        <v>44</v>
      </c>
      <c r="L1955" s="9" t="s">
        <v>29</v>
      </c>
      <c r="M1955" s="9">
        <v>-1188.6400000000001</v>
      </c>
    </row>
    <row r="1956" spans="1:13" x14ac:dyDescent="0.35">
      <c r="A1956" s="9">
        <v>4455</v>
      </c>
      <c r="B1956" s="9" t="s">
        <v>28</v>
      </c>
      <c r="C1956" s="9" t="s">
        <v>22</v>
      </c>
      <c r="D1956" s="9" t="s">
        <v>67</v>
      </c>
      <c r="E1956" s="9" t="s">
        <v>59</v>
      </c>
      <c r="F1956" s="9">
        <v>3</v>
      </c>
      <c r="G1956" s="9">
        <v>8629.75</v>
      </c>
      <c r="H1956" s="9">
        <v>0</v>
      </c>
      <c r="I1956" s="9">
        <v>0</v>
      </c>
      <c r="J1956" s="10">
        <v>45659</v>
      </c>
      <c r="K1956" s="9" t="s">
        <v>45</v>
      </c>
      <c r="L1956" s="9" t="s">
        <v>26</v>
      </c>
      <c r="M1956" s="9">
        <v>2417.15</v>
      </c>
    </row>
    <row r="1957" spans="1:13" x14ac:dyDescent="0.35">
      <c r="A1957" s="9">
        <v>4456</v>
      </c>
      <c r="B1957" s="9" t="s">
        <v>28</v>
      </c>
      <c r="C1957" s="9" t="s">
        <v>22</v>
      </c>
      <c r="D1957" s="9" t="s">
        <v>67</v>
      </c>
      <c r="E1957" s="9" t="s">
        <v>62</v>
      </c>
      <c r="F1957" s="9">
        <v>1</v>
      </c>
      <c r="G1957" s="9">
        <v>0</v>
      </c>
      <c r="H1957" s="9">
        <v>0.32</v>
      </c>
      <c r="I1957" s="9">
        <v>0</v>
      </c>
      <c r="J1957" s="10">
        <v>45276</v>
      </c>
      <c r="K1957" s="9" t="s">
        <v>44</v>
      </c>
      <c r="L1957" s="9" t="s">
        <v>32</v>
      </c>
      <c r="M1957" s="9">
        <v>450.51</v>
      </c>
    </row>
    <row r="1958" spans="1:13" x14ac:dyDescent="0.35">
      <c r="A1958" s="9">
        <v>2019</v>
      </c>
      <c r="B1958" s="9" t="s">
        <v>31</v>
      </c>
      <c r="C1958" s="9" t="s">
        <v>21</v>
      </c>
      <c r="D1958" s="9" t="s">
        <v>40</v>
      </c>
      <c r="E1958" s="9" t="s">
        <v>60</v>
      </c>
      <c r="F1958" s="9">
        <v>-1</v>
      </c>
      <c r="G1958" s="9">
        <v>2452.52</v>
      </c>
      <c r="H1958" s="9">
        <v>0.12</v>
      </c>
      <c r="I1958" s="9">
        <v>-2158.2199999999998</v>
      </c>
      <c r="J1958" s="10">
        <v>45499</v>
      </c>
      <c r="K1958" s="9" t="s">
        <v>44</v>
      </c>
      <c r="L1958" s="9" t="s">
        <v>32</v>
      </c>
      <c r="M1958" s="9">
        <v>-1199.45</v>
      </c>
    </row>
    <row r="1959" spans="1:13" x14ac:dyDescent="0.35">
      <c r="A1959" s="9">
        <v>4458</v>
      </c>
      <c r="B1959" s="9" t="s">
        <v>34</v>
      </c>
      <c r="C1959" s="9" t="s">
        <v>19</v>
      </c>
      <c r="D1959" s="9" t="s">
        <v>39</v>
      </c>
      <c r="E1959" s="9" t="s">
        <v>60</v>
      </c>
      <c r="F1959" s="9">
        <v>0</v>
      </c>
      <c r="G1959" s="9">
        <v>6500.77</v>
      </c>
      <c r="H1959" s="9">
        <v>0.22</v>
      </c>
      <c r="I1959" s="9">
        <v>0</v>
      </c>
      <c r="J1959" s="10">
        <v>45593</v>
      </c>
      <c r="K1959" s="9" t="s">
        <v>44</v>
      </c>
      <c r="L1959" s="9" t="s">
        <v>26</v>
      </c>
      <c r="M1959" s="9">
        <v>870.08</v>
      </c>
    </row>
    <row r="1960" spans="1:13" x14ac:dyDescent="0.35">
      <c r="A1960" s="9">
        <v>4460</v>
      </c>
      <c r="B1960" s="9" t="s">
        <v>28</v>
      </c>
      <c r="C1960" s="9" t="s">
        <v>19</v>
      </c>
      <c r="D1960" s="9" t="s">
        <v>42</v>
      </c>
      <c r="E1960" s="9" t="s">
        <v>59</v>
      </c>
      <c r="F1960" s="9">
        <v>-1</v>
      </c>
      <c r="G1960" s="9">
        <v>9682.2000000000007</v>
      </c>
      <c r="H1960" s="9">
        <v>0</v>
      </c>
      <c r="I1960" s="9">
        <v>0</v>
      </c>
      <c r="J1960" s="10">
        <v>45593</v>
      </c>
      <c r="K1960" s="9" t="s">
        <v>45</v>
      </c>
      <c r="L1960" s="9" t="s">
        <v>32</v>
      </c>
      <c r="M1960" s="9">
        <v>570.41999999999996</v>
      </c>
    </row>
    <row r="1961" spans="1:13" x14ac:dyDescent="0.35">
      <c r="A1961" s="9">
        <v>4461</v>
      </c>
      <c r="B1961" s="9" t="s">
        <v>34</v>
      </c>
      <c r="C1961" s="9" t="s">
        <v>21</v>
      </c>
      <c r="D1961" s="9" t="s">
        <v>64</v>
      </c>
      <c r="E1961" s="9" t="s">
        <v>62</v>
      </c>
      <c r="F1961" s="9">
        <v>0</v>
      </c>
      <c r="G1961" s="9">
        <v>0</v>
      </c>
      <c r="H1961" s="9">
        <v>0</v>
      </c>
      <c r="I1961" s="9">
        <v>0</v>
      </c>
      <c r="J1961" s="10">
        <v>45593</v>
      </c>
      <c r="K1961" s="9" t="s">
        <v>44</v>
      </c>
      <c r="L1961" s="9" t="s">
        <v>32</v>
      </c>
      <c r="M1961" s="9">
        <v>1800.98</v>
      </c>
    </row>
    <row r="1962" spans="1:13" x14ac:dyDescent="0.35">
      <c r="A1962" s="9">
        <v>4462</v>
      </c>
      <c r="B1962" s="9" t="s">
        <v>34</v>
      </c>
      <c r="C1962" s="9" t="s">
        <v>20</v>
      </c>
      <c r="D1962" s="9" t="s">
        <v>61</v>
      </c>
      <c r="E1962" s="9" t="s">
        <v>60</v>
      </c>
      <c r="F1962" s="9">
        <v>0</v>
      </c>
      <c r="G1962" s="9">
        <v>0</v>
      </c>
      <c r="H1962" s="9">
        <v>0</v>
      </c>
      <c r="I1962" s="9">
        <v>0</v>
      </c>
      <c r="J1962" s="10">
        <v>45593</v>
      </c>
      <c r="K1962" s="9" t="s">
        <v>44</v>
      </c>
      <c r="L1962" s="9" t="s">
        <v>35</v>
      </c>
      <c r="M1962" s="9">
        <v>2280.52</v>
      </c>
    </row>
    <row r="1963" spans="1:13" x14ac:dyDescent="0.35">
      <c r="A1963" s="9">
        <v>4463</v>
      </c>
      <c r="B1963" s="9" t="s">
        <v>31</v>
      </c>
      <c r="C1963" s="9" t="s">
        <v>19</v>
      </c>
      <c r="D1963" s="9" t="s">
        <v>39</v>
      </c>
      <c r="E1963" s="9" t="s">
        <v>59</v>
      </c>
      <c r="F1963" s="9">
        <v>3</v>
      </c>
      <c r="G1963" s="9">
        <v>8317.5300000000007</v>
      </c>
      <c r="H1963" s="9">
        <v>0.6</v>
      </c>
      <c r="I1963" s="9">
        <v>9981.0400000000009</v>
      </c>
      <c r="J1963" s="10">
        <v>45815</v>
      </c>
      <c r="K1963" s="9" t="s">
        <v>44</v>
      </c>
      <c r="L1963" s="9" t="s">
        <v>35</v>
      </c>
      <c r="M1963" s="9">
        <v>1821.65</v>
      </c>
    </row>
    <row r="1964" spans="1:13" x14ac:dyDescent="0.35">
      <c r="A1964" s="9">
        <v>4467</v>
      </c>
      <c r="B1964" s="9" t="s">
        <v>34</v>
      </c>
      <c r="C1964" s="9" t="s">
        <v>21</v>
      </c>
      <c r="D1964" s="9" t="s">
        <v>40</v>
      </c>
      <c r="E1964" s="9" t="s">
        <v>62</v>
      </c>
      <c r="F1964" s="9">
        <v>0</v>
      </c>
      <c r="G1964" s="9">
        <v>3918.43</v>
      </c>
      <c r="H1964" s="9">
        <v>0</v>
      </c>
      <c r="I1964" s="9">
        <v>0</v>
      </c>
      <c r="J1964" s="10">
        <v>45538</v>
      </c>
      <c r="K1964" s="9" t="s">
        <v>44</v>
      </c>
      <c r="L1964" s="9" t="s">
        <v>27</v>
      </c>
      <c r="M1964" s="9">
        <v>2820.24</v>
      </c>
    </row>
    <row r="1965" spans="1:13" x14ac:dyDescent="0.35">
      <c r="A1965" s="9">
        <v>4468</v>
      </c>
      <c r="B1965" s="9" t="s">
        <v>31</v>
      </c>
      <c r="C1965" s="9" t="s">
        <v>19</v>
      </c>
      <c r="D1965" s="9" t="s">
        <v>39</v>
      </c>
      <c r="E1965" s="9" t="s">
        <v>62</v>
      </c>
      <c r="F1965" s="9">
        <v>3</v>
      </c>
      <c r="G1965" s="9">
        <v>6077.13</v>
      </c>
      <c r="H1965" s="9">
        <v>1.1299999999999999</v>
      </c>
      <c r="I1965" s="9">
        <v>-2370.08</v>
      </c>
      <c r="J1965" s="10">
        <v>45257</v>
      </c>
      <c r="K1965" s="9" t="s">
        <v>45</v>
      </c>
      <c r="L1965" s="9" t="s">
        <v>26</v>
      </c>
      <c r="M1965" s="9">
        <v>3173.31</v>
      </c>
    </row>
    <row r="1966" spans="1:13" x14ac:dyDescent="0.35">
      <c r="A1966" s="9">
        <v>4469</v>
      </c>
      <c r="B1966" s="9" t="s">
        <v>34</v>
      </c>
      <c r="C1966" s="9" t="s">
        <v>22</v>
      </c>
      <c r="D1966" s="9" t="s">
        <v>30</v>
      </c>
      <c r="E1966" s="9" t="s">
        <v>59</v>
      </c>
      <c r="F1966" s="9">
        <v>0</v>
      </c>
      <c r="G1966" s="9">
        <v>0</v>
      </c>
      <c r="H1966" s="9">
        <v>0</v>
      </c>
      <c r="I1966" s="9">
        <v>0</v>
      </c>
      <c r="J1966" s="10">
        <v>45257</v>
      </c>
      <c r="K1966" s="9" t="s">
        <v>44</v>
      </c>
      <c r="L1966" s="9" t="s">
        <v>25</v>
      </c>
      <c r="M1966" s="9">
        <v>3626.93</v>
      </c>
    </row>
    <row r="1967" spans="1:13" x14ac:dyDescent="0.35">
      <c r="A1967" s="9">
        <v>4470</v>
      </c>
      <c r="B1967" s="9" t="s">
        <v>28</v>
      </c>
      <c r="C1967" s="9" t="s">
        <v>22</v>
      </c>
      <c r="D1967" s="9" t="s">
        <v>67</v>
      </c>
      <c r="E1967" s="9" t="s">
        <v>60</v>
      </c>
      <c r="F1967" s="9">
        <v>0</v>
      </c>
      <c r="G1967" s="9">
        <v>0</v>
      </c>
      <c r="H1967" s="9">
        <v>0</v>
      </c>
      <c r="I1967" s="9">
        <v>0</v>
      </c>
      <c r="J1967" s="10">
        <v>45257</v>
      </c>
      <c r="K1967" s="9" t="s">
        <v>45</v>
      </c>
      <c r="L1967" s="9" t="s">
        <v>25</v>
      </c>
      <c r="M1967" s="9">
        <v>3144.4</v>
      </c>
    </row>
    <row r="1968" spans="1:13" x14ac:dyDescent="0.35">
      <c r="A1968" s="9">
        <v>4473</v>
      </c>
      <c r="B1968" s="9" t="s">
        <v>34</v>
      </c>
      <c r="C1968" s="9" t="s">
        <v>21</v>
      </c>
      <c r="D1968" s="9" t="s">
        <v>64</v>
      </c>
      <c r="E1968" s="9" t="s">
        <v>59</v>
      </c>
      <c r="F1968" s="9">
        <v>0</v>
      </c>
      <c r="G1968" s="9">
        <v>0</v>
      </c>
      <c r="H1968" s="9">
        <v>0</v>
      </c>
      <c r="I1968" s="9">
        <v>0</v>
      </c>
      <c r="J1968" s="10">
        <v>45257</v>
      </c>
      <c r="K1968" s="9" t="s">
        <v>45</v>
      </c>
      <c r="L1968" s="9" t="s">
        <v>27</v>
      </c>
      <c r="M1968" s="9">
        <v>1011.74</v>
      </c>
    </row>
    <row r="1969" spans="1:13" x14ac:dyDescent="0.35">
      <c r="A1969" s="9">
        <v>4474</v>
      </c>
      <c r="B1969" s="9" t="s">
        <v>28</v>
      </c>
      <c r="C1969" s="9" t="s">
        <v>21</v>
      </c>
      <c r="D1969" s="9" t="s">
        <v>40</v>
      </c>
      <c r="E1969" s="9" t="s">
        <v>62</v>
      </c>
      <c r="F1969" s="9">
        <v>0</v>
      </c>
      <c r="G1969" s="9">
        <v>8130.71</v>
      </c>
      <c r="H1969" s="9">
        <v>0</v>
      </c>
      <c r="I1969" s="9">
        <v>0</v>
      </c>
      <c r="J1969" s="10">
        <v>45257</v>
      </c>
      <c r="K1969" s="9" t="s">
        <v>45</v>
      </c>
      <c r="L1969" s="9" t="s">
        <v>26</v>
      </c>
      <c r="M1969" s="9">
        <v>3536.87</v>
      </c>
    </row>
    <row r="1970" spans="1:13" x14ac:dyDescent="0.35">
      <c r="A1970" s="9">
        <v>4475</v>
      </c>
      <c r="B1970" s="9" t="s">
        <v>34</v>
      </c>
      <c r="C1970" s="9" t="s">
        <v>19</v>
      </c>
      <c r="D1970" s="9" t="s">
        <v>42</v>
      </c>
      <c r="E1970" s="9" t="s">
        <v>59</v>
      </c>
      <c r="F1970" s="9">
        <v>0</v>
      </c>
      <c r="G1970" s="9">
        <v>0</v>
      </c>
      <c r="H1970" s="9">
        <v>1.25</v>
      </c>
      <c r="I1970" s="9">
        <v>0</v>
      </c>
      <c r="J1970" s="10">
        <v>45355</v>
      </c>
      <c r="K1970" s="9" t="s">
        <v>45</v>
      </c>
      <c r="L1970" s="9" t="s">
        <v>32</v>
      </c>
      <c r="M1970" s="9">
        <v>1487.03</v>
      </c>
    </row>
    <row r="1971" spans="1:13" x14ac:dyDescent="0.35">
      <c r="A1971" s="9">
        <v>4476</v>
      </c>
      <c r="B1971" s="9" t="s">
        <v>28</v>
      </c>
      <c r="C1971" s="9" t="s">
        <v>21</v>
      </c>
      <c r="D1971" s="9" t="s">
        <v>64</v>
      </c>
      <c r="E1971" s="9" t="s">
        <v>60</v>
      </c>
      <c r="F1971" s="9">
        <v>0</v>
      </c>
      <c r="G1971" s="9">
        <v>4495.47</v>
      </c>
      <c r="H1971" s="9">
        <v>0</v>
      </c>
      <c r="I1971" s="9">
        <v>0</v>
      </c>
      <c r="J1971" s="10">
        <v>45684</v>
      </c>
      <c r="K1971" s="9" t="s">
        <v>45</v>
      </c>
      <c r="L1971" s="9" t="s">
        <v>25</v>
      </c>
      <c r="M1971" s="9">
        <v>560.20000000000005</v>
      </c>
    </row>
    <row r="1972" spans="1:13" x14ac:dyDescent="0.35">
      <c r="A1972" s="9">
        <v>4477</v>
      </c>
      <c r="B1972" s="9" t="s">
        <v>31</v>
      </c>
      <c r="C1972" s="9" t="s">
        <v>20</v>
      </c>
      <c r="D1972" s="9" t="s">
        <v>70</v>
      </c>
      <c r="E1972" s="9" t="s">
        <v>59</v>
      </c>
      <c r="F1972" s="9">
        <v>0</v>
      </c>
      <c r="G1972" s="9">
        <v>0</v>
      </c>
      <c r="H1972" s="9">
        <v>0</v>
      </c>
      <c r="I1972" s="9">
        <v>0</v>
      </c>
      <c r="J1972" s="10">
        <v>45636</v>
      </c>
      <c r="K1972" s="9" t="s">
        <v>45</v>
      </c>
      <c r="L1972" s="9" t="s">
        <v>29</v>
      </c>
      <c r="M1972" s="9">
        <v>-838.22</v>
      </c>
    </row>
    <row r="1973" spans="1:13" x14ac:dyDescent="0.35">
      <c r="A1973" s="9">
        <v>4480</v>
      </c>
      <c r="B1973" s="9" t="s">
        <v>31</v>
      </c>
      <c r="C1973" s="9" t="s">
        <v>18</v>
      </c>
      <c r="D1973" s="9" t="s">
        <v>37</v>
      </c>
      <c r="E1973" s="9" t="s">
        <v>59</v>
      </c>
      <c r="F1973" s="9">
        <v>0</v>
      </c>
      <c r="G1973" s="9">
        <v>0</v>
      </c>
      <c r="H1973" s="9">
        <v>0.61</v>
      </c>
      <c r="I1973" s="9">
        <v>0</v>
      </c>
      <c r="J1973" s="10">
        <v>45782</v>
      </c>
      <c r="K1973" s="9" t="s">
        <v>44</v>
      </c>
      <c r="L1973" s="9" t="s">
        <v>32</v>
      </c>
      <c r="M1973" s="9">
        <v>1920.5</v>
      </c>
    </row>
    <row r="1974" spans="1:13" x14ac:dyDescent="0.35">
      <c r="A1974" s="9">
        <v>4481</v>
      </c>
      <c r="B1974" s="9" t="s">
        <v>31</v>
      </c>
      <c r="C1974" s="9" t="s">
        <v>19</v>
      </c>
      <c r="D1974" s="9" t="s">
        <v>63</v>
      </c>
      <c r="E1974" s="9" t="s">
        <v>60</v>
      </c>
      <c r="F1974" s="9">
        <v>0</v>
      </c>
      <c r="G1974" s="9">
        <v>8504.98</v>
      </c>
      <c r="H1974" s="9">
        <v>0.88</v>
      </c>
      <c r="I1974" s="9">
        <v>0</v>
      </c>
      <c r="J1974" s="10">
        <v>45637</v>
      </c>
      <c r="K1974" s="9" t="s">
        <v>44</v>
      </c>
      <c r="L1974" s="9" t="s">
        <v>29</v>
      </c>
      <c r="M1974" s="9">
        <v>1227.48</v>
      </c>
    </row>
    <row r="1975" spans="1:13" x14ac:dyDescent="0.35">
      <c r="A1975" s="9">
        <v>4482</v>
      </c>
      <c r="B1975" s="9" t="s">
        <v>34</v>
      </c>
      <c r="C1975" s="9" t="s">
        <v>19</v>
      </c>
      <c r="D1975" s="9" t="s">
        <v>69</v>
      </c>
      <c r="E1975" s="9" t="s">
        <v>60</v>
      </c>
      <c r="F1975" s="9">
        <v>2</v>
      </c>
      <c r="G1975" s="9">
        <v>0</v>
      </c>
      <c r="H1975" s="9">
        <v>0</v>
      </c>
      <c r="I1975" s="9">
        <v>0</v>
      </c>
      <c r="J1975" s="10">
        <v>45489</v>
      </c>
      <c r="K1975" s="9" t="s">
        <v>45</v>
      </c>
      <c r="L1975" s="9" t="s">
        <v>26</v>
      </c>
      <c r="M1975" s="9">
        <v>-742.03</v>
      </c>
    </row>
    <row r="1976" spans="1:13" x14ac:dyDescent="0.35">
      <c r="A1976" s="9">
        <v>4483</v>
      </c>
      <c r="B1976" s="9" t="s">
        <v>34</v>
      </c>
      <c r="C1976" s="9" t="s">
        <v>21</v>
      </c>
      <c r="D1976" s="9" t="s">
        <v>36</v>
      </c>
      <c r="E1976" s="9" t="s">
        <v>59</v>
      </c>
      <c r="F1976" s="9">
        <v>0</v>
      </c>
      <c r="G1976" s="9">
        <v>2844.04</v>
      </c>
      <c r="H1976" s="9">
        <v>0.12</v>
      </c>
      <c r="I1976" s="9">
        <v>0</v>
      </c>
      <c r="J1976" s="10">
        <v>45820</v>
      </c>
      <c r="K1976" s="9" t="s">
        <v>45</v>
      </c>
      <c r="L1976" s="9" t="s">
        <v>32</v>
      </c>
      <c r="M1976" s="9">
        <v>-1026.8599999999999</v>
      </c>
    </row>
    <row r="1977" spans="1:13" x14ac:dyDescent="0.35">
      <c r="A1977" s="9">
        <v>4484</v>
      </c>
      <c r="B1977" s="9" t="s">
        <v>31</v>
      </c>
      <c r="C1977" s="9" t="s">
        <v>22</v>
      </c>
      <c r="D1977" s="9" t="s">
        <v>65</v>
      </c>
      <c r="E1977" s="9" t="s">
        <v>59</v>
      </c>
      <c r="F1977" s="9">
        <v>3</v>
      </c>
      <c r="G1977" s="9">
        <v>5981.92</v>
      </c>
      <c r="H1977" s="9">
        <v>0.8</v>
      </c>
      <c r="I1977" s="9">
        <v>3589.15</v>
      </c>
      <c r="J1977" s="10">
        <v>45638</v>
      </c>
      <c r="K1977" s="9" t="s">
        <v>44</v>
      </c>
      <c r="L1977" s="9" t="s">
        <v>32</v>
      </c>
      <c r="M1977" s="9">
        <v>-751.05</v>
      </c>
    </row>
    <row r="1978" spans="1:13" x14ac:dyDescent="0.35">
      <c r="A1978" s="9">
        <v>4485</v>
      </c>
      <c r="B1978" s="9" t="s">
        <v>31</v>
      </c>
      <c r="C1978" s="9" t="s">
        <v>18</v>
      </c>
      <c r="D1978" s="9" t="s">
        <v>33</v>
      </c>
      <c r="E1978" s="9" t="s">
        <v>60</v>
      </c>
      <c r="F1978" s="9">
        <v>0</v>
      </c>
      <c r="G1978" s="9">
        <v>0</v>
      </c>
      <c r="H1978" s="9">
        <v>0.78</v>
      </c>
      <c r="I1978" s="9">
        <v>0</v>
      </c>
      <c r="J1978" s="10">
        <v>45742</v>
      </c>
      <c r="K1978" s="9" t="s">
        <v>44</v>
      </c>
      <c r="L1978" s="9" t="s">
        <v>35</v>
      </c>
      <c r="M1978" s="9">
        <v>-367.25</v>
      </c>
    </row>
    <row r="1979" spans="1:13" x14ac:dyDescent="0.35">
      <c r="A1979" s="9">
        <v>4486</v>
      </c>
      <c r="B1979" s="9" t="s">
        <v>28</v>
      </c>
      <c r="C1979" s="9" t="s">
        <v>18</v>
      </c>
      <c r="D1979" s="9" t="s">
        <v>33</v>
      </c>
      <c r="E1979" s="9" t="s">
        <v>62</v>
      </c>
      <c r="F1979" s="9">
        <v>0</v>
      </c>
      <c r="G1979" s="9">
        <v>0</v>
      </c>
      <c r="H1979" s="9">
        <v>0</v>
      </c>
      <c r="I1979" s="9">
        <v>0</v>
      </c>
      <c r="J1979" s="10">
        <v>45214</v>
      </c>
      <c r="K1979" s="9" t="s">
        <v>45</v>
      </c>
      <c r="L1979" s="9" t="s">
        <v>25</v>
      </c>
      <c r="M1979" s="9">
        <v>3338.79</v>
      </c>
    </row>
    <row r="1980" spans="1:13" x14ac:dyDescent="0.35">
      <c r="A1980" s="9">
        <v>4487</v>
      </c>
      <c r="B1980" s="9" t="s">
        <v>31</v>
      </c>
      <c r="C1980" s="9" t="s">
        <v>21</v>
      </c>
      <c r="D1980" s="9" t="s">
        <v>40</v>
      </c>
      <c r="E1980" s="9" t="s">
        <v>60</v>
      </c>
      <c r="F1980" s="9">
        <v>0</v>
      </c>
      <c r="G1980" s="9">
        <v>9009.7099999999991</v>
      </c>
      <c r="H1980" s="9">
        <v>0.4</v>
      </c>
      <c r="I1980" s="9">
        <v>0</v>
      </c>
      <c r="J1980" s="10">
        <v>45525</v>
      </c>
      <c r="K1980" s="9" t="s">
        <v>44</v>
      </c>
      <c r="L1980" s="9" t="s">
        <v>35</v>
      </c>
      <c r="M1980" s="9">
        <v>-996.86</v>
      </c>
    </row>
    <row r="1981" spans="1:13" x14ac:dyDescent="0.35">
      <c r="A1981" s="9">
        <v>4488</v>
      </c>
      <c r="B1981" s="9" t="s">
        <v>28</v>
      </c>
      <c r="C1981" s="9" t="s">
        <v>18</v>
      </c>
      <c r="D1981" s="9" t="s">
        <v>33</v>
      </c>
      <c r="E1981" s="9" t="s">
        <v>59</v>
      </c>
      <c r="F1981" s="9">
        <v>2</v>
      </c>
      <c r="G1981" s="9">
        <v>0</v>
      </c>
      <c r="H1981" s="9">
        <v>0</v>
      </c>
      <c r="I1981" s="9">
        <v>0</v>
      </c>
      <c r="J1981" s="10">
        <v>45642</v>
      </c>
      <c r="K1981" s="9" t="s">
        <v>44</v>
      </c>
      <c r="L1981" s="9" t="s">
        <v>35</v>
      </c>
      <c r="M1981" s="9">
        <v>3045.38</v>
      </c>
    </row>
    <row r="1982" spans="1:13" x14ac:dyDescent="0.35">
      <c r="A1982" s="9">
        <v>4489</v>
      </c>
      <c r="B1982" s="9" t="s">
        <v>34</v>
      </c>
      <c r="C1982" s="9" t="s">
        <v>21</v>
      </c>
      <c r="D1982" s="9" t="s">
        <v>36</v>
      </c>
      <c r="E1982" s="9" t="s">
        <v>59</v>
      </c>
      <c r="F1982" s="9">
        <v>3</v>
      </c>
      <c r="G1982" s="9">
        <v>0</v>
      </c>
      <c r="H1982" s="9">
        <v>1.1499999999999999</v>
      </c>
      <c r="I1982" s="9">
        <v>0</v>
      </c>
      <c r="J1982" s="10">
        <v>45749</v>
      </c>
      <c r="K1982" s="9" t="s">
        <v>44</v>
      </c>
      <c r="L1982" s="9" t="s">
        <v>25</v>
      </c>
      <c r="M1982" s="9">
        <v>1890.99</v>
      </c>
    </row>
    <row r="1983" spans="1:13" x14ac:dyDescent="0.35">
      <c r="A1983" s="9">
        <v>4490</v>
      </c>
      <c r="B1983" s="9" t="s">
        <v>28</v>
      </c>
      <c r="C1983" s="9" t="s">
        <v>18</v>
      </c>
      <c r="D1983" s="9" t="s">
        <v>41</v>
      </c>
      <c r="E1983" s="9" t="s">
        <v>60</v>
      </c>
      <c r="F1983" s="9">
        <v>0</v>
      </c>
      <c r="G1983" s="9">
        <v>0</v>
      </c>
      <c r="H1983" s="9">
        <v>0</v>
      </c>
      <c r="I1983" s="9">
        <v>0</v>
      </c>
      <c r="J1983" s="10">
        <v>45711</v>
      </c>
      <c r="K1983" s="9" t="s">
        <v>45</v>
      </c>
      <c r="L1983" s="9" t="s">
        <v>27</v>
      </c>
      <c r="M1983" s="9">
        <v>-1173.8399999999999</v>
      </c>
    </row>
    <row r="1984" spans="1:13" x14ac:dyDescent="0.35">
      <c r="A1984" s="9">
        <v>4491</v>
      </c>
      <c r="B1984" s="9" t="s">
        <v>28</v>
      </c>
      <c r="C1984" s="9" t="s">
        <v>20</v>
      </c>
      <c r="D1984" s="9" t="s">
        <v>70</v>
      </c>
      <c r="E1984" s="9" t="s">
        <v>59</v>
      </c>
      <c r="F1984" s="9">
        <v>0</v>
      </c>
      <c r="G1984" s="9">
        <v>0</v>
      </c>
      <c r="H1984" s="9">
        <v>0</v>
      </c>
      <c r="I1984" s="9">
        <v>0</v>
      </c>
      <c r="J1984" s="10">
        <v>45711</v>
      </c>
      <c r="K1984" s="9" t="s">
        <v>45</v>
      </c>
      <c r="L1984" s="9" t="s">
        <v>27</v>
      </c>
      <c r="M1984" s="9">
        <v>3066.85</v>
      </c>
    </row>
    <row r="1985" spans="1:13" x14ac:dyDescent="0.35">
      <c r="A1985" s="9">
        <v>4492</v>
      </c>
      <c r="B1985" s="9" t="s">
        <v>31</v>
      </c>
      <c r="C1985" s="9" t="s">
        <v>21</v>
      </c>
      <c r="D1985" s="9" t="s">
        <v>40</v>
      </c>
      <c r="E1985" s="9" t="s">
        <v>59</v>
      </c>
      <c r="F1985" s="9">
        <v>0</v>
      </c>
      <c r="G1985" s="9">
        <v>0</v>
      </c>
      <c r="H1985" s="9">
        <v>0</v>
      </c>
      <c r="I1985" s="9">
        <v>0</v>
      </c>
      <c r="J1985" s="10">
        <v>45711</v>
      </c>
      <c r="K1985" s="9" t="s">
        <v>44</v>
      </c>
      <c r="L1985" s="9" t="s">
        <v>26</v>
      </c>
      <c r="M1985" s="9">
        <v>2397.23</v>
      </c>
    </row>
    <row r="1986" spans="1:13" x14ac:dyDescent="0.35">
      <c r="A1986" s="9">
        <v>4493</v>
      </c>
      <c r="B1986" s="9" t="s">
        <v>28</v>
      </c>
      <c r="C1986" s="9" t="s">
        <v>21</v>
      </c>
      <c r="D1986" s="9" t="s">
        <v>36</v>
      </c>
      <c r="E1986" s="9" t="s">
        <v>62</v>
      </c>
      <c r="F1986" s="9">
        <v>4</v>
      </c>
      <c r="G1986" s="9">
        <v>0</v>
      </c>
      <c r="H1986" s="9">
        <v>0</v>
      </c>
      <c r="I1986" s="9">
        <v>0</v>
      </c>
      <c r="J1986" s="10">
        <v>45569</v>
      </c>
      <c r="K1986" s="9" t="s">
        <v>45</v>
      </c>
      <c r="L1986" s="9" t="s">
        <v>26</v>
      </c>
      <c r="M1986" s="9">
        <v>321.24</v>
      </c>
    </row>
    <row r="1987" spans="1:13" x14ac:dyDescent="0.35">
      <c r="A1987" s="9">
        <v>4494</v>
      </c>
      <c r="B1987" s="9" t="s">
        <v>28</v>
      </c>
      <c r="C1987" s="9" t="s">
        <v>18</v>
      </c>
      <c r="D1987" s="9" t="s">
        <v>38</v>
      </c>
      <c r="E1987" s="9" t="s">
        <v>60</v>
      </c>
      <c r="F1987" s="9">
        <v>0</v>
      </c>
      <c r="G1987" s="9">
        <v>0</v>
      </c>
      <c r="H1987" s="9">
        <v>0</v>
      </c>
      <c r="I1987" s="9">
        <v>0</v>
      </c>
      <c r="J1987" s="10">
        <v>45700</v>
      </c>
      <c r="K1987" s="9" t="s">
        <v>45</v>
      </c>
      <c r="L1987" s="9" t="s">
        <v>27</v>
      </c>
      <c r="M1987" s="9">
        <v>1357.29</v>
      </c>
    </row>
    <row r="1988" spans="1:13" x14ac:dyDescent="0.35">
      <c r="A1988" s="9">
        <v>4495</v>
      </c>
      <c r="B1988" s="9" t="s">
        <v>34</v>
      </c>
      <c r="C1988" s="9" t="s">
        <v>22</v>
      </c>
      <c r="D1988" s="9" t="s">
        <v>67</v>
      </c>
      <c r="E1988" s="9" t="s">
        <v>62</v>
      </c>
      <c r="F1988" s="9">
        <v>3</v>
      </c>
      <c r="G1988" s="9">
        <v>0</v>
      </c>
      <c r="H1988" s="9">
        <v>0</v>
      </c>
      <c r="I1988" s="9">
        <v>0</v>
      </c>
      <c r="J1988" s="10">
        <v>45791</v>
      </c>
      <c r="K1988" s="9" t="s">
        <v>45</v>
      </c>
      <c r="L1988" s="9" t="s">
        <v>35</v>
      </c>
      <c r="M1988" s="9">
        <v>2.97</v>
      </c>
    </row>
    <row r="1989" spans="1:13" x14ac:dyDescent="0.35">
      <c r="A1989" s="9">
        <v>4496</v>
      </c>
      <c r="B1989" s="9" t="s">
        <v>31</v>
      </c>
      <c r="C1989" s="9" t="s">
        <v>22</v>
      </c>
      <c r="D1989" s="9" t="s">
        <v>67</v>
      </c>
      <c r="E1989" s="9" t="s">
        <v>60</v>
      </c>
      <c r="F1989" s="9">
        <v>-1</v>
      </c>
      <c r="G1989" s="9">
        <v>0</v>
      </c>
      <c r="H1989" s="9">
        <v>0</v>
      </c>
      <c r="I1989" s="9">
        <v>0</v>
      </c>
      <c r="J1989" s="10">
        <v>45791</v>
      </c>
      <c r="K1989" s="9" t="s">
        <v>45</v>
      </c>
      <c r="L1989" s="9" t="s">
        <v>32</v>
      </c>
      <c r="M1989" s="9">
        <v>-487.36</v>
      </c>
    </row>
    <row r="1990" spans="1:13" x14ac:dyDescent="0.35">
      <c r="A1990" s="9">
        <v>4497</v>
      </c>
      <c r="B1990" s="9" t="s">
        <v>31</v>
      </c>
      <c r="C1990" s="9" t="s">
        <v>19</v>
      </c>
      <c r="D1990" s="9" t="s">
        <v>42</v>
      </c>
      <c r="E1990" s="9" t="s">
        <v>59</v>
      </c>
      <c r="F1990" s="9">
        <v>0</v>
      </c>
      <c r="G1990" s="9">
        <v>6647.6</v>
      </c>
      <c r="H1990" s="9">
        <v>0.52</v>
      </c>
      <c r="I1990" s="9">
        <v>0</v>
      </c>
      <c r="J1990" s="10">
        <v>45840</v>
      </c>
      <c r="K1990" s="9" t="s">
        <v>44</v>
      </c>
      <c r="L1990" s="9" t="s">
        <v>25</v>
      </c>
      <c r="M1990" s="9">
        <v>-918.14</v>
      </c>
    </row>
    <row r="1991" spans="1:13" x14ac:dyDescent="0.35">
      <c r="A1991" s="9">
        <v>4499</v>
      </c>
      <c r="B1991" s="9" t="s">
        <v>28</v>
      </c>
      <c r="C1991" s="9" t="s">
        <v>20</v>
      </c>
      <c r="D1991" s="9" t="s">
        <v>43</v>
      </c>
      <c r="E1991" s="9" t="s">
        <v>59</v>
      </c>
      <c r="F1991" s="9">
        <v>0</v>
      </c>
      <c r="G1991" s="9">
        <v>5550.99</v>
      </c>
      <c r="H1991" s="9">
        <v>0</v>
      </c>
      <c r="I1991" s="9">
        <v>0</v>
      </c>
      <c r="J1991" s="10">
        <v>45619</v>
      </c>
      <c r="K1991" s="9" t="s">
        <v>44</v>
      </c>
      <c r="L1991" s="9" t="s">
        <v>26</v>
      </c>
      <c r="M1991" s="9">
        <v>2453.5700000000002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9D8DF-7042-4A8A-8568-4FF7D6A5F319}">
  <sheetPr codeName="Sheet2"/>
  <dimension ref="A1:J1987"/>
  <sheetViews>
    <sheetView workbookViewId="0"/>
  </sheetViews>
  <sheetFormatPr defaultRowHeight="14.5" x14ac:dyDescent="0.35"/>
  <cols>
    <col min="1" max="1" width="13.08984375" bestFit="1" customWidth="1"/>
    <col min="2" max="2" width="11" customWidth="1"/>
    <col min="3" max="3" width="12" customWidth="1"/>
    <col min="4" max="4" width="15.36328125" bestFit="1" customWidth="1"/>
    <col min="5" max="5" width="17.453125" bestFit="1" customWidth="1"/>
    <col min="6" max="6" width="9" customWidth="1"/>
    <col min="7" max="7" width="6.08984375" customWidth="1"/>
    <col min="8" max="8" width="13.81640625" customWidth="1"/>
    <col min="9" max="9" width="13.26953125" customWidth="1"/>
    <col min="10" max="10" width="15.90625" customWidth="1"/>
    <col min="11" max="11" width="10.54296875" customWidth="1"/>
    <col min="12" max="12" width="15.26953125" customWidth="1"/>
    <col min="13" max="13" width="21.7265625" customWidth="1"/>
  </cols>
  <sheetData>
    <row r="1" spans="1:10" x14ac:dyDescent="0.35">
      <c r="A1" t="s">
        <v>55</v>
      </c>
      <c r="C1" t="s">
        <v>57</v>
      </c>
      <c r="E1" t="s">
        <v>47</v>
      </c>
      <c r="G1" t="s">
        <v>58</v>
      </c>
    </row>
    <row r="2" spans="1:10" x14ac:dyDescent="0.35">
      <c r="A2" s="11">
        <v>45360</v>
      </c>
      <c r="C2" s="12" t="s">
        <v>25</v>
      </c>
      <c r="E2" t="s">
        <v>34</v>
      </c>
      <c r="G2">
        <v>-770.45</v>
      </c>
    </row>
    <row r="3" spans="1:10" x14ac:dyDescent="0.35">
      <c r="A3" s="11">
        <v>45482</v>
      </c>
      <c r="C3" s="13" t="s">
        <v>32</v>
      </c>
      <c r="E3" t="s">
        <v>28</v>
      </c>
      <c r="G3">
        <v>-112.53</v>
      </c>
    </row>
    <row r="4" spans="1:10" x14ac:dyDescent="0.35">
      <c r="A4" s="11">
        <v>45569</v>
      </c>
      <c r="C4" s="12" t="s">
        <v>26</v>
      </c>
      <c r="E4" t="s">
        <v>31</v>
      </c>
      <c r="G4">
        <v>3337.34</v>
      </c>
    </row>
    <row r="5" spans="1:10" x14ac:dyDescent="0.35">
      <c r="A5" s="11">
        <v>45547</v>
      </c>
      <c r="C5" s="13" t="s">
        <v>35</v>
      </c>
      <c r="G5">
        <v>3376.85</v>
      </c>
    </row>
    <row r="6" spans="1:10" x14ac:dyDescent="0.35">
      <c r="A6" s="11">
        <v>45812</v>
      </c>
      <c r="C6" s="12" t="s">
        <v>29</v>
      </c>
      <c r="G6">
        <v>187.89</v>
      </c>
    </row>
    <row r="7" spans="1:10" x14ac:dyDescent="0.35">
      <c r="A7" s="11">
        <v>45576</v>
      </c>
      <c r="C7" s="14" t="s">
        <v>27</v>
      </c>
      <c r="G7">
        <v>1415.98</v>
      </c>
    </row>
    <row r="8" spans="1:10" x14ac:dyDescent="0.35">
      <c r="A8" s="11">
        <v>45673</v>
      </c>
      <c r="G8">
        <v>1802.09</v>
      </c>
      <c r="J8">
        <v>123</v>
      </c>
    </row>
    <row r="9" spans="1:10" x14ac:dyDescent="0.35">
      <c r="A9" s="11">
        <v>45759</v>
      </c>
      <c r="G9">
        <v>2928.36</v>
      </c>
    </row>
    <row r="10" spans="1:10" x14ac:dyDescent="0.35">
      <c r="A10" s="11">
        <v>45733</v>
      </c>
      <c r="C10" t="s">
        <v>56</v>
      </c>
      <c r="G10">
        <v>-731.18</v>
      </c>
    </row>
    <row r="11" spans="1:10" x14ac:dyDescent="0.35">
      <c r="A11" s="11">
        <v>45674</v>
      </c>
      <c r="C11" t="s">
        <v>45</v>
      </c>
      <c r="G11">
        <v>3929.61</v>
      </c>
    </row>
    <row r="12" spans="1:10" x14ac:dyDescent="0.35">
      <c r="A12" s="11">
        <v>45744</v>
      </c>
      <c r="C12" t="s">
        <v>44</v>
      </c>
      <c r="G12">
        <v>1965.56</v>
      </c>
    </row>
    <row r="13" spans="1:10" x14ac:dyDescent="0.35">
      <c r="A13" s="11">
        <v>45615</v>
      </c>
      <c r="G13">
        <v>1667.08</v>
      </c>
    </row>
    <row r="14" spans="1:10" x14ac:dyDescent="0.35">
      <c r="A14" s="11">
        <v>45559</v>
      </c>
      <c r="G14">
        <v>-1044.4000000000001</v>
      </c>
    </row>
    <row r="15" spans="1:10" x14ac:dyDescent="0.35">
      <c r="A15" s="11">
        <v>45667</v>
      </c>
      <c r="B15" t="s">
        <v>49</v>
      </c>
      <c r="C15" t="s">
        <v>48</v>
      </c>
      <c r="D15" t="s">
        <v>50</v>
      </c>
      <c r="E15" t="s">
        <v>52</v>
      </c>
      <c r="G15">
        <v>2452.69</v>
      </c>
    </row>
    <row r="16" spans="1:10" x14ac:dyDescent="0.35">
      <c r="A16" s="11">
        <v>45654</v>
      </c>
      <c r="B16" t="s">
        <v>37</v>
      </c>
      <c r="C16" t="s">
        <v>18</v>
      </c>
      <c r="D16" t="s">
        <v>59</v>
      </c>
      <c r="E16">
        <v>0</v>
      </c>
      <c r="G16">
        <v>1946.24</v>
      </c>
    </row>
    <row r="17" spans="1:7" x14ac:dyDescent="0.35">
      <c r="A17" s="11">
        <v>45514</v>
      </c>
      <c r="B17" t="s">
        <v>42</v>
      </c>
      <c r="C17" t="s">
        <v>19</v>
      </c>
      <c r="D17" t="s">
        <v>59</v>
      </c>
      <c r="E17">
        <v>4957.93</v>
      </c>
      <c r="G17">
        <v>-966.89</v>
      </c>
    </row>
    <row r="18" spans="1:7" x14ac:dyDescent="0.35">
      <c r="A18" s="11">
        <v>45227</v>
      </c>
      <c r="B18" t="s">
        <v>39</v>
      </c>
      <c r="C18" t="s">
        <v>19</v>
      </c>
      <c r="D18" t="s">
        <v>59</v>
      </c>
      <c r="E18">
        <v>0</v>
      </c>
      <c r="G18">
        <v>1915.24</v>
      </c>
    </row>
    <row r="19" spans="1:7" x14ac:dyDescent="0.35">
      <c r="A19" s="11">
        <v>45852</v>
      </c>
      <c r="B19" t="s">
        <v>36</v>
      </c>
      <c r="C19" t="s">
        <v>21</v>
      </c>
      <c r="D19" t="s">
        <v>60</v>
      </c>
      <c r="E19">
        <v>9673.57</v>
      </c>
      <c r="G19">
        <v>439.96</v>
      </c>
    </row>
    <row r="20" spans="1:7" x14ac:dyDescent="0.35">
      <c r="A20" s="11">
        <v>45758</v>
      </c>
      <c r="B20" t="s">
        <v>61</v>
      </c>
      <c r="C20" t="s">
        <v>20</v>
      </c>
      <c r="D20" t="s">
        <v>62</v>
      </c>
      <c r="E20">
        <v>0</v>
      </c>
      <c r="G20">
        <v>-1120.49</v>
      </c>
    </row>
    <row r="21" spans="1:7" x14ac:dyDescent="0.35">
      <c r="A21" s="11">
        <v>45777</v>
      </c>
      <c r="B21" t="s">
        <v>33</v>
      </c>
      <c r="C21" t="s">
        <v>18</v>
      </c>
      <c r="D21" t="s">
        <v>59</v>
      </c>
      <c r="E21">
        <v>7363.96</v>
      </c>
      <c r="G21">
        <v>3427.16</v>
      </c>
    </row>
    <row r="22" spans="1:7" x14ac:dyDescent="0.35">
      <c r="A22" s="11">
        <v>45769</v>
      </c>
      <c r="B22" t="s">
        <v>63</v>
      </c>
      <c r="C22" t="s">
        <v>19</v>
      </c>
      <c r="D22" t="s">
        <v>59</v>
      </c>
      <c r="E22">
        <v>0</v>
      </c>
      <c r="G22">
        <v>1498.37</v>
      </c>
    </row>
    <row r="23" spans="1:7" x14ac:dyDescent="0.35">
      <c r="A23" s="11">
        <v>45723</v>
      </c>
      <c r="B23" t="s">
        <v>64</v>
      </c>
      <c r="C23" t="s">
        <v>21</v>
      </c>
      <c r="D23" t="s">
        <v>60</v>
      </c>
      <c r="E23">
        <v>7949.83</v>
      </c>
      <c r="G23">
        <v>1842.35</v>
      </c>
    </row>
    <row r="24" spans="1:7" x14ac:dyDescent="0.35">
      <c r="A24" s="11">
        <v>45721</v>
      </c>
      <c r="B24" t="s">
        <v>65</v>
      </c>
      <c r="C24" t="s">
        <v>22</v>
      </c>
      <c r="D24" t="s">
        <v>59</v>
      </c>
      <c r="E24">
        <v>9871.75</v>
      </c>
      <c r="G24">
        <v>1900.15</v>
      </c>
    </row>
    <row r="25" spans="1:7" x14ac:dyDescent="0.35">
      <c r="A25" s="11">
        <v>45766</v>
      </c>
      <c r="B25" t="s">
        <v>41</v>
      </c>
      <c r="C25" t="s">
        <v>18</v>
      </c>
      <c r="D25" t="s">
        <v>62</v>
      </c>
      <c r="E25">
        <v>0</v>
      </c>
      <c r="G25">
        <v>2301.64</v>
      </c>
    </row>
    <row r="26" spans="1:7" x14ac:dyDescent="0.35">
      <c r="A26" s="11">
        <v>45414</v>
      </c>
      <c r="B26" t="s">
        <v>43</v>
      </c>
      <c r="C26" t="s">
        <v>20</v>
      </c>
      <c r="D26" t="s">
        <v>59</v>
      </c>
      <c r="E26">
        <v>3424.06</v>
      </c>
      <c r="G26">
        <v>-138.74</v>
      </c>
    </row>
    <row r="27" spans="1:7" x14ac:dyDescent="0.35">
      <c r="A27" s="11">
        <v>45753</v>
      </c>
      <c r="B27" t="s">
        <v>66</v>
      </c>
      <c r="C27" t="s">
        <v>20</v>
      </c>
      <c r="D27" t="s">
        <v>60</v>
      </c>
      <c r="E27">
        <v>7086.7</v>
      </c>
      <c r="G27">
        <v>-946.86</v>
      </c>
    </row>
    <row r="28" spans="1:7" x14ac:dyDescent="0.35">
      <c r="A28" s="11">
        <v>45456</v>
      </c>
      <c r="B28" t="s">
        <v>67</v>
      </c>
      <c r="C28" t="s">
        <v>22</v>
      </c>
      <c r="D28" t="s">
        <v>59</v>
      </c>
      <c r="E28">
        <v>9820.5</v>
      </c>
      <c r="G28">
        <v>-185.67</v>
      </c>
    </row>
    <row r="29" spans="1:7" x14ac:dyDescent="0.35">
      <c r="A29" s="11">
        <v>45592</v>
      </c>
      <c r="B29" t="s">
        <v>68</v>
      </c>
      <c r="C29" t="s">
        <v>22</v>
      </c>
      <c r="D29" t="s">
        <v>62</v>
      </c>
      <c r="E29">
        <v>0</v>
      </c>
      <c r="G29">
        <v>-122.93</v>
      </c>
    </row>
    <row r="30" spans="1:7" x14ac:dyDescent="0.35">
      <c r="A30" s="11">
        <v>45296</v>
      </c>
      <c r="B30" t="s">
        <v>38</v>
      </c>
      <c r="C30" t="s">
        <v>18</v>
      </c>
      <c r="D30" t="s">
        <v>59</v>
      </c>
      <c r="E30">
        <v>0</v>
      </c>
      <c r="G30">
        <v>-555.16</v>
      </c>
    </row>
    <row r="31" spans="1:7" x14ac:dyDescent="0.35">
      <c r="A31" s="11">
        <v>45573</v>
      </c>
      <c r="B31" t="s">
        <v>69</v>
      </c>
      <c r="C31" t="s">
        <v>19</v>
      </c>
      <c r="D31" t="s">
        <v>62</v>
      </c>
      <c r="E31">
        <v>0</v>
      </c>
      <c r="G31">
        <v>-1005.71</v>
      </c>
    </row>
    <row r="32" spans="1:7" x14ac:dyDescent="0.35">
      <c r="A32" s="11">
        <v>45567</v>
      </c>
      <c r="B32" t="s">
        <v>70</v>
      </c>
      <c r="C32" t="s">
        <v>20</v>
      </c>
      <c r="D32" t="s">
        <v>59</v>
      </c>
      <c r="E32">
        <v>5653.14</v>
      </c>
      <c r="G32">
        <v>-267.37</v>
      </c>
    </row>
    <row r="33" spans="1:7" x14ac:dyDescent="0.35">
      <c r="A33" s="11">
        <v>45831</v>
      </c>
      <c r="B33" t="s">
        <v>71</v>
      </c>
      <c r="C33" t="s">
        <v>21</v>
      </c>
      <c r="D33" t="s">
        <v>62</v>
      </c>
      <c r="E33">
        <v>0</v>
      </c>
      <c r="G33">
        <v>2776.96</v>
      </c>
    </row>
    <row r="34" spans="1:7" x14ac:dyDescent="0.35">
      <c r="A34" s="11">
        <v>45591</v>
      </c>
      <c r="B34" t="s">
        <v>40</v>
      </c>
      <c r="C34" t="s">
        <v>21</v>
      </c>
      <c r="D34" t="s">
        <v>62</v>
      </c>
      <c r="E34">
        <v>6009.58</v>
      </c>
      <c r="G34">
        <v>-336.3</v>
      </c>
    </row>
    <row r="35" spans="1:7" x14ac:dyDescent="0.35">
      <c r="A35" s="11">
        <v>45443</v>
      </c>
      <c r="B35" t="s">
        <v>30</v>
      </c>
      <c r="C35" t="s">
        <v>22</v>
      </c>
      <c r="D35" t="s">
        <v>60</v>
      </c>
      <c r="E35">
        <v>0</v>
      </c>
      <c r="G35">
        <v>145.08000000000001</v>
      </c>
    </row>
    <row r="36" spans="1:7" x14ac:dyDescent="0.35">
      <c r="A36" s="11">
        <v>45549</v>
      </c>
      <c r="G36">
        <v>2371.66</v>
      </c>
    </row>
    <row r="37" spans="1:7" x14ac:dyDescent="0.35">
      <c r="A37" s="11">
        <v>45484</v>
      </c>
      <c r="G37">
        <v>-862.16</v>
      </c>
    </row>
    <row r="38" spans="1:7" x14ac:dyDescent="0.35">
      <c r="A38" s="11">
        <v>45545</v>
      </c>
      <c r="G38">
        <v>3770.75</v>
      </c>
    </row>
    <row r="39" spans="1:7" x14ac:dyDescent="0.35">
      <c r="A39" s="11">
        <v>45541</v>
      </c>
      <c r="G39">
        <v>1833.94</v>
      </c>
    </row>
    <row r="40" spans="1:7" x14ac:dyDescent="0.35">
      <c r="A40" s="11">
        <v>45718</v>
      </c>
      <c r="G40">
        <v>1284.33</v>
      </c>
    </row>
    <row r="41" spans="1:7" x14ac:dyDescent="0.35">
      <c r="A41" s="11">
        <v>45333</v>
      </c>
      <c r="G41">
        <v>2888.68</v>
      </c>
    </row>
    <row r="42" spans="1:7" x14ac:dyDescent="0.35">
      <c r="A42" s="11">
        <v>45636</v>
      </c>
      <c r="G42">
        <v>2875.86</v>
      </c>
    </row>
    <row r="43" spans="1:7" x14ac:dyDescent="0.35">
      <c r="A43" s="11">
        <v>45783</v>
      </c>
      <c r="G43">
        <v>311.48</v>
      </c>
    </row>
    <row r="44" spans="1:7" x14ac:dyDescent="0.35">
      <c r="A44" s="11">
        <v>45669</v>
      </c>
      <c r="G44">
        <v>682.12</v>
      </c>
    </row>
    <row r="45" spans="1:7" x14ac:dyDescent="0.35">
      <c r="A45" s="11">
        <v>45599</v>
      </c>
      <c r="G45">
        <v>3135.98</v>
      </c>
    </row>
    <row r="46" spans="1:7" x14ac:dyDescent="0.35">
      <c r="A46" s="11">
        <v>45578</v>
      </c>
      <c r="G46">
        <v>2184.8000000000002</v>
      </c>
    </row>
    <row r="47" spans="1:7" x14ac:dyDescent="0.35">
      <c r="A47" s="11">
        <v>45251</v>
      </c>
      <c r="G47">
        <v>3384.92</v>
      </c>
    </row>
    <row r="48" spans="1:7" x14ac:dyDescent="0.35">
      <c r="A48" s="11">
        <v>45676</v>
      </c>
      <c r="G48">
        <v>-549.76</v>
      </c>
    </row>
    <row r="49" spans="1:7" x14ac:dyDescent="0.35">
      <c r="A49" s="11">
        <v>45747</v>
      </c>
      <c r="G49">
        <v>-1078.76</v>
      </c>
    </row>
    <row r="50" spans="1:7" x14ac:dyDescent="0.35">
      <c r="A50" s="11">
        <v>45284</v>
      </c>
      <c r="G50">
        <v>-244.44</v>
      </c>
    </row>
    <row r="51" spans="1:7" x14ac:dyDescent="0.35">
      <c r="A51" s="11">
        <v>45773</v>
      </c>
      <c r="G51">
        <v>-642.02</v>
      </c>
    </row>
    <row r="52" spans="1:7" x14ac:dyDescent="0.35">
      <c r="A52" s="11">
        <v>45628</v>
      </c>
      <c r="G52">
        <v>361.54</v>
      </c>
    </row>
    <row r="53" spans="1:7" x14ac:dyDescent="0.35">
      <c r="A53" s="11">
        <v>45606</v>
      </c>
      <c r="G53">
        <v>2821.59</v>
      </c>
    </row>
    <row r="54" spans="1:7" x14ac:dyDescent="0.35">
      <c r="A54" s="11">
        <v>45581</v>
      </c>
      <c r="G54">
        <v>-501.68</v>
      </c>
    </row>
    <row r="55" spans="1:7" x14ac:dyDescent="0.35">
      <c r="A55" s="11">
        <v>45650</v>
      </c>
      <c r="G55">
        <v>1130.31</v>
      </c>
    </row>
    <row r="56" spans="1:7" x14ac:dyDescent="0.35">
      <c r="A56" s="11">
        <v>45315</v>
      </c>
      <c r="G56">
        <v>3277.44</v>
      </c>
    </row>
    <row r="57" spans="1:7" x14ac:dyDescent="0.35">
      <c r="A57" s="11">
        <v>45689</v>
      </c>
      <c r="G57">
        <v>21.58</v>
      </c>
    </row>
    <row r="58" spans="1:7" x14ac:dyDescent="0.35">
      <c r="A58" s="11">
        <v>45849</v>
      </c>
      <c r="G58">
        <v>1022.82</v>
      </c>
    </row>
    <row r="59" spans="1:7" x14ac:dyDescent="0.35">
      <c r="A59" s="11">
        <v>45841</v>
      </c>
      <c r="G59">
        <v>161.5</v>
      </c>
    </row>
    <row r="60" spans="1:7" x14ac:dyDescent="0.35">
      <c r="A60" s="11">
        <v>45757</v>
      </c>
      <c r="G60">
        <v>1112.43</v>
      </c>
    </row>
    <row r="61" spans="1:7" x14ac:dyDescent="0.35">
      <c r="A61" s="11">
        <v>45665</v>
      </c>
      <c r="G61">
        <v>-882.96</v>
      </c>
    </row>
    <row r="62" spans="1:7" x14ac:dyDescent="0.35">
      <c r="A62" s="11">
        <v>45534</v>
      </c>
      <c r="G62">
        <v>443.86</v>
      </c>
    </row>
    <row r="63" spans="1:7" x14ac:dyDescent="0.35">
      <c r="A63" s="11">
        <v>45611</v>
      </c>
      <c r="G63">
        <v>1958.47</v>
      </c>
    </row>
    <row r="64" spans="1:7" x14ac:dyDescent="0.35">
      <c r="A64" s="11">
        <v>45686</v>
      </c>
      <c r="G64">
        <v>2345.35</v>
      </c>
    </row>
    <row r="65" spans="1:7" x14ac:dyDescent="0.35">
      <c r="A65" s="11">
        <v>45651</v>
      </c>
      <c r="G65">
        <v>2011.25</v>
      </c>
    </row>
    <row r="66" spans="1:7" x14ac:dyDescent="0.35">
      <c r="A66" s="11">
        <v>45279</v>
      </c>
      <c r="G66">
        <v>3332.66</v>
      </c>
    </row>
    <row r="67" spans="1:7" x14ac:dyDescent="0.35">
      <c r="A67" s="11">
        <v>45595</v>
      </c>
      <c r="G67">
        <v>279.77999999999997</v>
      </c>
    </row>
    <row r="68" spans="1:7" x14ac:dyDescent="0.35">
      <c r="A68" s="11">
        <v>45190</v>
      </c>
      <c r="G68">
        <v>-1005.89</v>
      </c>
    </row>
    <row r="69" spans="1:7" x14ac:dyDescent="0.35">
      <c r="A69" s="11">
        <v>45752</v>
      </c>
      <c r="G69">
        <v>2810.49</v>
      </c>
    </row>
    <row r="70" spans="1:7" x14ac:dyDescent="0.35">
      <c r="A70" s="11">
        <v>45640</v>
      </c>
      <c r="G70">
        <v>408.39</v>
      </c>
    </row>
    <row r="71" spans="1:7" x14ac:dyDescent="0.35">
      <c r="A71" s="11">
        <v>45250</v>
      </c>
      <c r="G71">
        <v>1742.66</v>
      </c>
    </row>
    <row r="72" spans="1:7" x14ac:dyDescent="0.35">
      <c r="A72" s="11">
        <v>45550</v>
      </c>
      <c r="G72">
        <v>2702.93</v>
      </c>
    </row>
    <row r="73" spans="1:7" x14ac:dyDescent="0.35">
      <c r="A73" s="11">
        <v>45842</v>
      </c>
      <c r="G73">
        <v>-1076.6600000000001</v>
      </c>
    </row>
    <row r="74" spans="1:7" x14ac:dyDescent="0.35">
      <c r="A74" s="11">
        <v>45157</v>
      </c>
      <c r="G74">
        <v>163.15</v>
      </c>
    </row>
    <row r="75" spans="1:7" x14ac:dyDescent="0.35">
      <c r="A75" s="11">
        <v>45575</v>
      </c>
      <c r="G75">
        <v>1917.55</v>
      </c>
    </row>
    <row r="76" spans="1:7" x14ac:dyDescent="0.35">
      <c r="A76" s="11">
        <v>45510</v>
      </c>
      <c r="G76">
        <v>207.2</v>
      </c>
    </row>
    <row r="77" spans="1:7" x14ac:dyDescent="0.35">
      <c r="A77" s="11">
        <v>45822</v>
      </c>
      <c r="G77">
        <v>-146.72999999999999</v>
      </c>
    </row>
    <row r="78" spans="1:7" x14ac:dyDescent="0.35">
      <c r="A78" s="11">
        <v>45827</v>
      </c>
      <c r="G78">
        <v>2974.58</v>
      </c>
    </row>
    <row r="79" spans="1:7" x14ac:dyDescent="0.35">
      <c r="A79" s="11">
        <v>45775</v>
      </c>
      <c r="G79">
        <v>880.57</v>
      </c>
    </row>
    <row r="80" spans="1:7" x14ac:dyDescent="0.35">
      <c r="A80" s="11">
        <v>45726</v>
      </c>
      <c r="G80">
        <v>288.66000000000003</v>
      </c>
    </row>
    <row r="81" spans="1:7" x14ac:dyDescent="0.35">
      <c r="A81" s="11">
        <v>45503</v>
      </c>
      <c r="G81">
        <v>769.05</v>
      </c>
    </row>
    <row r="82" spans="1:7" x14ac:dyDescent="0.35">
      <c r="A82" s="11">
        <v>45703</v>
      </c>
      <c r="G82">
        <v>98.3</v>
      </c>
    </row>
    <row r="83" spans="1:7" x14ac:dyDescent="0.35">
      <c r="A83" s="11">
        <v>45844</v>
      </c>
      <c r="G83">
        <v>360.97</v>
      </c>
    </row>
    <row r="84" spans="1:7" x14ac:dyDescent="0.35">
      <c r="A84" s="11">
        <v>45804</v>
      </c>
      <c r="G84">
        <v>2287.5700000000002</v>
      </c>
    </row>
    <row r="85" spans="1:7" x14ac:dyDescent="0.35">
      <c r="A85" s="11">
        <v>45748</v>
      </c>
      <c r="G85">
        <v>3398.01</v>
      </c>
    </row>
    <row r="86" spans="1:7" x14ac:dyDescent="0.35">
      <c r="A86" s="11">
        <v>45535</v>
      </c>
      <c r="G86">
        <v>284.17</v>
      </c>
    </row>
    <row r="87" spans="1:7" x14ac:dyDescent="0.35">
      <c r="A87" s="11">
        <v>45685</v>
      </c>
      <c r="G87">
        <v>469.61</v>
      </c>
    </row>
    <row r="88" spans="1:7" x14ac:dyDescent="0.35">
      <c r="A88" s="11">
        <v>45717</v>
      </c>
      <c r="G88">
        <v>-184.69</v>
      </c>
    </row>
    <row r="89" spans="1:7" x14ac:dyDescent="0.35">
      <c r="A89" s="11">
        <v>45722</v>
      </c>
      <c r="G89">
        <v>-338.77</v>
      </c>
    </row>
    <row r="90" spans="1:7" x14ac:dyDescent="0.35">
      <c r="A90" s="11">
        <v>45588</v>
      </c>
      <c r="G90">
        <v>3791.88</v>
      </c>
    </row>
    <row r="91" spans="1:7" x14ac:dyDescent="0.35">
      <c r="A91" s="11">
        <v>45607</v>
      </c>
      <c r="G91">
        <v>-259.29000000000002</v>
      </c>
    </row>
    <row r="92" spans="1:7" x14ac:dyDescent="0.35">
      <c r="A92" s="11">
        <v>45836</v>
      </c>
      <c r="G92">
        <v>2918.93</v>
      </c>
    </row>
    <row r="93" spans="1:7" x14ac:dyDescent="0.35">
      <c r="A93" s="11">
        <v>45228</v>
      </c>
      <c r="G93">
        <v>1567.37</v>
      </c>
    </row>
    <row r="94" spans="1:7" x14ac:dyDescent="0.35">
      <c r="A94" s="11">
        <v>45643</v>
      </c>
      <c r="G94">
        <v>1969.03</v>
      </c>
    </row>
    <row r="95" spans="1:7" x14ac:dyDescent="0.35">
      <c r="A95" s="11">
        <v>45745</v>
      </c>
      <c r="G95">
        <v>2037.43</v>
      </c>
    </row>
    <row r="96" spans="1:7" x14ac:dyDescent="0.35">
      <c r="A96" s="11">
        <v>45835</v>
      </c>
      <c r="G96">
        <v>2696.85</v>
      </c>
    </row>
    <row r="97" spans="1:7" x14ac:dyDescent="0.35">
      <c r="A97" s="11">
        <v>45317</v>
      </c>
      <c r="G97">
        <v>2887.81</v>
      </c>
    </row>
    <row r="98" spans="1:7" x14ac:dyDescent="0.35">
      <c r="A98" s="11">
        <v>45427</v>
      </c>
      <c r="G98">
        <v>-328</v>
      </c>
    </row>
    <row r="99" spans="1:7" x14ac:dyDescent="0.35">
      <c r="A99" s="11">
        <v>45663</v>
      </c>
      <c r="G99">
        <v>929.75</v>
      </c>
    </row>
    <row r="100" spans="1:7" x14ac:dyDescent="0.35">
      <c r="A100" s="11">
        <v>45816</v>
      </c>
      <c r="G100">
        <v>2195.52</v>
      </c>
    </row>
    <row r="101" spans="1:7" x14ac:dyDescent="0.35">
      <c r="A101" s="11">
        <v>45605</v>
      </c>
      <c r="G101">
        <v>432.04</v>
      </c>
    </row>
    <row r="102" spans="1:7" x14ac:dyDescent="0.35">
      <c r="A102" s="11">
        <v>45563</v>
      </c>
      <c r="G102">
        <v>1051.22</v>
      </c>
    </row>
    <row r="103" spans="1:7" x14ac:dyDescent="0.35">
      <c r="A103" s="11">
        <v>45212</v>
      </c>
      <c r="G103">
        <v>2508.34</v>
      </c>
    </row>
    <row r="104" spans="1:7" x14ac:dyDescent="0.35">
      <c r="A104" s="11">
        <v>45838</v>
      </c>
      <c r="G104">
        <v>3718.37</v>
      </c>
    </row>
    <row r="105" spans="1:7" x14ac:dyDescent="0.35">
      <c r="A105" s="11">
        <v>45571</v>
      </c>
      <c r="G105">
        <v>1411.29</v>
      </c>
    </row>
    <row r="106" spans="1:7" x14ac:dyDescent="0.35">
      <c r="A106" s="11">
        <v>45662</v>
      </c>
      <c r="G106">
        <v>841.4</v>
      </c>
    </row>
    <row r="107" spans="1:7" x14ac:dyDescent="0.35">
      <c r="A107" s="11">
        <v>45422</v>
      </c>
      <c r="G107">
        <v>2962.75</v>
      </c>
    </row>
    <row r="108" spans="1:7" x14ac:dyDescent="0.35">
      <c r="A108" s="11">
        <v>45794</v>
      </c>
      <c r="G108">
        <v>2227.48</v>
      </c>
    </row>
    <row r="109" spans="1:7" x14ac:dyDescent="0.35">
      <c r="A109" s="11">
        <v>45771</v>
      </c>
      <c r="G109">
        <v>3882.22</v>
      </c>
    </row>
    <row r="110" spans="1:7" x14ac:dyDescent="0.35">
      <c r="A110" s="11">
        <v>45513</v>
      </c>
      <c r="G110">
        <v>-166.81</v>
      </c>
    </row>
    <row r="111" spans="1:7" x14ac:dyDescent="0.35">
      <c r="A111" s="11">
        <v>45558</v>
      </c>
      <c r="G111">
        <v>1009.28</v>
      </c>
    </row>
    <row r="112" spans="1:7" x14ac:dyDescent="0.35">
      <c r="A112" s="11">
        <v>45642</v>
      </c>
      <c r="G112">
        <v>2422.38</v>
      </c>
    </row>
    <row r="113" spans="1:7" x14ac:dyDescent="0.35">
      <c r="A113" s="11">
        <v>45762</v>
      </c>
      <c r="G113">
        <v>3672.24</v>
      </c>
    </row>
    <row r="114" spans="1:7" x14ac:dyDescent="0.35">
      <c r="A114" s="11">
        <v>45544</v>
      </c>
      <c r="G114">
        <v>1840.09</v>
      </c>
    </row>
    <row r="115" spans="1:7" x14ac:dyDescent="0.35">
      <c r="A115" s="11">
        <v>45297</v>
      </c>
      <c r="G115">
        <v>-334.52</v>
      </c>
    </row>
    <row r="116" spans="1:7" x14ac:dyDescent="0.35">
      <c r="A116" s="11">
        <v>45647</v>
      </c>
      <c r="G116">
        <v>-875.45</v>
      </c>
    </row>
    <row r="117" spans="1:7" x14ac:dyDescent="0.35">
      <c r="A117" s="11">
        <v>45742</v>
      </c>
      <c r="G117">
        <v>1006.66</v>
      </c>
    </row>
    <row r="118" spans="1:7" x14ac:dyDescent="0.35">
      <c r="A118" s="11">
        <v>45661</v>
      </c>
      <c r="G118">
        <v>1335.45</v>
      </c>
    </row>
    <row r="119" spans="1:7" x14ac:dyDescent="0.35">
      <c r="A119" s="11">
        <v>45613</v>
      </c>
      <c r="G119">
        <v>-908.85</v>
      </c>
    </row>
    <row r="120" spans="1:7" x14ac:dyDescent="0.35">
      <c r="A120" s="11">
        <v>45714</v>
      </c>
      <c r="G120">
        <v>-426.53</v>
      </c>
    </row>
    <row r="121" spans="1:7" x14ac:dyDescent="0.35">
      <c r="A121" s="11">
        <v>45834</v>
      </c>
      <c r="G121">
        <v>3221.62</v>
      </c>
    </row>
    <row r="122" spans="1:7" x14ac:dyDescent="0.35">
      <c r="A122" s="11">
        <v>45508</v>
      </c>
      <c r="G122">
        <v>2000.85</v>
      </c>
    </row>
    <row r="123" spans="1:7" x14ac:dyDescent="0.35">
      <c r="A123" s="11">
        <v>45679</v>
      </c>
      <c r="G123">
        <v>3819.41</v>
      </c>
    </row>
    <row r="124" spans="1:7" x14ac:dyDescent="0.35">
      <c r="A124" s="11">
        <v>45707</v>
      </c>
      <c r="G124">
        <v>2381.85</v>
      </c>
    </row>
    <row r="125" spans="1:7" x14ac:dyDescent="0.35">
      <c r="A125" s="11">
        <v>45603</v>
      </c>
      <c r="G125">
        <v>-286.07</v>
      </c>
    </row>
    <row r="126" spans="1:7" x14ac:dyDescent="0.35">
      <c r="A126" s="11">
        <v>45307</v>
      </c>
      <c r="G126">
        <v>514.79</v>
      </c>
    </row>
    <row r="127" spans="1:7" x14ac:dyDescent="0.35">
      <c r="A127" s="11">
        <v>45440</v>
      </c>
      <c r="G127">
        <v>2781.72</v>
      </c>
    </row>
    <row r="128" spans="1:7" x14ac:dyDescent="0.35">
      <c r="A128" s="11">
        <v>45566</v>
      </c>
      <c r="G128">
        <v>3744.91</v>
      </c>
    </row>
    <row r="129" spans="1:7" x14ac:dyDescent="0.35">
      <c r="A129" s="11">
        <v>45795</v>
      </c>
      <c r="G129">
        <v>1956.8</v>
      </c>
    </row>
    <row r="130" spans="1:7" x14ac:dyDescent="0.35">
      <c r="A130" s="11">
        <v>45697</v>
      </c>
      <c r="G130">
        <v>2398.5500000000002</v>
      </c>
    </row>
    <row r="131" spans="1:7" x14ac:dyDescent="0.35">
      <c r="A131" s="11">
        <v>45585</v>
      </c>
      <c r="G131">
        <v>3344.98</v>
      </c>
    </row>
    <row r="132" spans="1:7" x14ac:dyDescent="0.35">
      <c r="A132" s="11">
        <v>45638</v>
      </c>
      <c r="G132">
        <v>-872.9</v>
      </c>
    </row>
    <row r="133" spans="1:7" x14ac:dyDescent="0.35">
      <c r="A133" s="11">
        <v>45619</v>
      </c>
      <c r="G133">
        <v>2460.19</v>
      </c>
    </row>
    <row r="134" spans="1:7" x14ac:dyDescent="0.35">
      <c r="A134" s="11">
        <v>45857</v>
      </c>
      <c r="G134">
        <v>3364.05</v>
      </c>
    </row>
    <row r="135" spans="1:7" x14ac:dyDescent="0.35">
      <c r="A135" s="11">
        <v>45646</v>
      </c>
      <c r="G135">
        <v>1259.58</v>
      </c>
    </row>
    <row r="136" spans="1:7" x14ac:dyDescent="0.35">
      <c r="A136" s="11">
        <v>45246</v>
      </c>
      <c r="G136">
        <v>3218.82</v>
      </c>
    </row>
    <row r="137" spans="1:7" x14ac:dyDescent="0.35">
      <c r="A137" s="11">
        <v>45487</v>
      </c>
      <c r="G137">
        <v>128.91999999999999</v>
      </c>
    </row>
    <row r="138" spans="1:7" x14ac:dyDescent="0.35">
      <c r="A138" s="11">
        <v>45814</v>
      </c>
      <c r="G138">
        <v>-909.86</v>
      </c>
    </row>
    <row r="139" spans="1:7" x14ac:dyDescent="0.35">
      <c r="A139" s="11">
        <v>45415</v>
      </c>
      <c r="G139">
        <v>3770.03</v>
      </c>
    </row>
    <row r="140" spans="1:7" x14ac:dyDescent="0.35">
      <c r="A140" s="11">
        <v>45586</v>
      </c>
      <c r="G140">
        <v>428.5</v>
      </c>
    </row>
    <row r="141" spans="1:7" x14ac:dyDescent="0.35">
      <c r="A141" s="11">
        <v>45321</v>
      </c>
      <c r="G141">
        <v>885.37</v>
      </c>
    </row>
    <row r="142" spans="1:7" x14ac:dyDescent="0.35">
      <c r="A142" s="11">
        <v>45821</v>
      </c>
      <c r="G142">
        <v>3135.92</v>
      </c>
    </row>
    <row r="143" spans="1:7" x14ac:dyDescent="0.35">
      <c r="A143" s="11">
        <v>45167</v>
      </c>
      <c r="G143">
        <v>2189.84</v>
      </c>
    </row>
    <row r="144" spans="1:7" x14ac:dyDescent="0.35">
      <c r="A144" s="11">
        <v>45507</v>
      </c>
      <c r="G144">
        <v>419.58</v>
      </c>
    </row>
    <row r="145" spans="1:7" x14ac:dyDescent="0.35">
      <c r="A145" s="11">
        <v>45701</v>
      </c>
      <c r="G145">
        <v>-662.77</v>
      </c>
    </row>
    <row r="146" spans="1:7" x14ac:dyDescent="0.35">
      <c r="A146" s="11">
        <v>45851</v>
      </c>
      <c r="G146">
        <v>2927.93</v>
      </c>
    </row>
    <row r="147" spans="1:7" x14ac:dyDescent="0.35">
      <c r="A147" s="11">
        <v>45525</v>
      </c>
      <c r="G147">
        <v>1980.73</v>
      </c>
    </row>
    <row r="148" spans="1:7" x14ac:dyDescent="0.35">
      <c r="A148" s="11">
        <v>45601</v>
      </c>
      <c r="G148">
        <v>-615.48</v>
      </c>
    </row>
    <row r="149" spans="1:7" x14ac:dyDescent="0.35">
      <c r="A149" s="11">
        <v>45790</v>
      </c>
      <c r="G149">
        <v>2402.9899999999998</v>
      </c>
    </row>
    <row r="150" spans="1:7" x14ac:dyDescent="0.35">
      <c r="A150" s="11">
        <v>45657</v>
      </c>
      <c r="G150">
        <v>1278.03</v>
      </c>
    </row>
    <row r="151" spans="1:7" x14ac:dyDescent="0.35">
      <c r="A151" s="11">
        <v>45521</v>
      </c>
      <c r="G151">
        <v>3628.46</v>
      </c>
    </row>
    <row r="152" spans="1:7" x14ac:dyDescent="0.35">
      <c r="A152" s="11">
        <v>45655</v>
      </c>
      <c r="G152">
        <v>1949.77</v>
      </c>
    </row>
    <row r="153" spans="1:7" x14ac:dyDescent="0.35">
      <c r="A153" s="11">
        <v>45715</v>
      </c>
      <c r="G153">
        <v>-1032.8800000000001</v>
      </c>
    </row>
    <row r="154" spans="1:7" x14ac:dyDescent="0.35">
      <c r="A154" s="11">
        <v>45624</v>
      </c>
      <c r="G154">
        <v>554.91</v>
      </c>
    </row>
    <row r="155" spans="1:7" x14ac:dyDescent="0.35">
      <c r="A155" s="11">
        <v>45826</v>
      </c>
      <c r="G155">
        <v>1803.66</v>
      </c>
    </row>
    <row r="156" spans="1:7" x14ac:dyDescent="0.35">
      <c r="A156" s="11">
        <v>45711</v>
      </c>
      <c r="G156">
        <v>926.03</v>
      </c>
    </row>
    <row r="157" spans="1:7" x14ac:dyDescent="0.35">
      <c r="A157" s="11">
        <v>45692</v>
      </c>
      <c r="G157">
        <v>925.63</v>
      </c>
    </row>
    <row r="158" spans="1:7" x14ac:dyDescent="0.35">
      <c r="A158" s="11">
        <v>45560</v>
      </c>
      <c r="G158">
        <v>-418.5</v>
      </c>
    </row>
    <row r="159" spans="1:7" x14ac:dyDescent="0.35">
      <c r="A159" s="11">
        <v>45635</v>
      </c>
      <c r="G159">
        <v>-169.33</v>
      </c>
    </row>
    <row r="160" spans="1:7" x14ac:dyDescent="0.35">
      <c r="A160" s="11">
        <v>45608</v>
      </c>
      <c r="G160">
        <v>389.94</v>
      </c>
    </row>
    <row r="161" spans="1:7" x14ac:dyDescent="0.35">
      <c r="A161" s="11">
        <v>45548</v>
      </c>
      <c r="G161">
        <v>1513.76</v>
      </c>
    </row>
    <row r="162" spans="1:7" x14ac:dyDescent="0.35">
      <c r="A162" s="11">
        <v>45751</v>
      </c>
      <c r="G162">
        <v>1403.56</v>
      </c>
    </row>
    <row r="163" spans="1:7" x14ac:dyDescent="0.35">
      <c r="A163" s="11">
        <v>45837</v>
      </c>
      <c r="G163">
        <v>1994.42</v>
      </c>
    </row>
    <row r="164" spans="1:7" x14ac:dyDescent="0.35">
      <c r="A164" s="11">
        <v>45680</v>
      </c>
      <c r="G164">
        <v>1556.95</v>
      </c>
    </row>
    <row r="165" spans="1:7" x14ac:dyDescent="0.35">
      <c r="A165" s="11">
        <v>45453</v>
      </c>
      <c r="G165">
        <v>2076.75</v>
      </c>
    </row>
    <row r="166" spans="1:7" x14ac:dyDescent="0.35">
      <c r="A166" s="11">
        <v>45754</v>
      </c>
      <c r="G166">
        <v>-467.52</v>
      </c>
    </row>
    <row r="167" spans="1:7" x14ac:dyDescent="0.35">
      <c r="A167" s="11">
        <v>45737</v>
      </c>
      <c r="G167">
        <v>-524.85</v>
      </c>
    </row>
    <row r="168" spans="1:7" x14ac:dyDescent="0.35">
      <c r="A168" s="11">
        <v>45813</v>
      </c>
      <c r="G168">
        <v>2101.41</v>
      </c>
    </row>
    <row r="169" spans="1:7" x14ac:dyDescent="0.35">
      <c r="A169" s="11">
        <v>45587</v>
      </c>
      <c r="G169">
        <v>-1074.04</v>
      </c>
    </row>
    <row r="170" spans="1:7" x14ac:dyDescent="0.35">
      <c r="A170" s="11">
        <v>45449</v>
      </c>
      <c r="G170">
        <v>701.02</v>
      </c>
    </row>
    <row r="171" spans="1:7" x14ac:dyDescent="0.35">
      <c r="A171" s="11">
        <v>45221</v>
      </c>
      <c r="G171">
        <v>-87.95</v>
      </c>
    </row>
    <row r="172" spans="1:7" x14ac:dyDescent="0.35">
      <c r="A172" s="11">
        <v>45511</v>
      </c>
      <c r="G172">
        <v>3741.14</v>
      </c>
    </row>
    <row r="173" spans="1:7" x14ac:dyDescent="0.35">
      <c r="A173" s="11">
        <v>45523</v>
      </c>
      <c r="G173">
        <v>1446</v>
      </c>
    </row>
    <row r="174" spans="1:7" x14ac:dyDescent="0.35">
      <c r="A174" s="11">
        <v>45828</v>
      </c>
      <c r="G174">
        <v>3254.06</v>
      </c>
    </row>
    <row r="175" spans="1:7" x14ac:dyDescent="0.35">
      <c r="A175" s="11">
        <v>45556</v>
      </c>
      <c r="G175">
        <v>2617.56</v>
      </c>
    </row>
    <row r="176" spans="1:7" x14ac:dyDescent="0.35">
      <c r="A176" s="11">
        <v>45776</v>
      </c>
      <c r="G176">
        <v>2190.84</v>
      </c>
    </row>
    <row r="177" spans="1:7" x14ac:dyDescent="0.35">
      <c r="A177" s="11">
        <v>45224</v>
      </c>
      <c r="G177">
        <v>1440.02</v>
      </c>
    </row>
    <row r="178" spans="1:7" x14ac:dyDescent="0.35">
      <c r="A178" s="11">
        <v>45502</v>
      </c>
      <c r="G178">
        <v>3305.72</v>
      </c>
    </row>
    <row r="179" spans="1:7" x14ac:dyDescent="0.35">
      <c r="A179" s="11">
        <v>45740</v>
      </c>
      <c r="G179">
        <v>890.14</v>
      </c>
    </row>
    <row r="180" spans="1:7" x14ac:dyDescent="0.35">
      <c r="A180" s="11">
        <v>45568</v>
      </c>
      <c r="G180">
        <v>-297.05</v>
      </c>
    </row>
    <row r="181" spans="1:7" x14ac:dyDescent="0.35">
      <c r="A181" s="11">
        <v>45499</v>
      </c>
      <c r="G181">
        <v>2821.69</v>
      </c>
    </row>
    <row r="182" spans="1:7" x14ac:dyDescent="0.35">
      <c r="A182" s="11">
        <v>45705</v>
      </c>
      <c r="G182">
        <v>799.28</v>
      </c>
    </row>
    <row r="183" spans="1:7" x14ac:dyDescent="0.35">
      <c r="A183" s="11">
        <v>45712</v>
      </c>
      <c r="G183">
        <v>1136.6300000000001</v>
      </c>
    </row>
    <row r="184" spans="1:7" x14ac:dyDescent="0.35">
      <c r="A184" s="11">
        <v>45633</v>
      </c>
      <c r="G184">
        <v>2277.63</v>
      </c>
    </row>
    <row r="185" spans="1:7" x14ac:dyDescent="0.35">
      <c r="A185" s="11">
        <v>45839</v>
      </c>
      <c r="G185">
        <v>3284.36</v>
      </c>
    </row>
    <row r="186" spans="1:7" x14ac:dyDescent="0.35">
      <c r="A186" s="11">
        <v>45785</v>
      </c>
      <c r="G186">
        <v>781.56</v>
      </c>
    </row>
    <row r="187" spans="1:7" x14ac:dyDescent="0.35">
      <c r="A187" s="11">
        <v>45142</v>
      </c>
      <c r="G187">
        <v>-39.479999999999997</v>
      </c>
    </row>
    <row r="188" spans="1:7" x14ac:dyDescent="0.35">
      <c r="A188" s="11">
        <v>45557</v>
      </c>
      <c r="G188">
        <v>2409.87</v>
      </c>
    </row>
    <row r="189" spans="1:7" x14ac:dyDescent="0.35">
      <c r="A189" s="11">
        <v>45151</v>
      </c>
      <c r="G189">
        <v>2398.0700000000002</v>
      </c>
    </row>
    <row r="190" spans="1:7" x14ac:dyDescent="0.35">
      <c r="A190" s="11">
        <v>45600</v>
      </c>
      <c r="G190">
        <v>2459.63</v>
      </c>
    </row>
    <row r="191" spans="1:7" x14ac:dyDescent="0.35">
      <c r="A191" s="11">
        <v>45391</v>
      </c>
      <c r="G191">
        <v>880.62</v>
      </c>
    </row>
    <row r="192" spans="1:7" x14ac:dyDescent="0.35">
      <c r="A192" s="11">
        <v>45577</v>
      </c>
      <c r="G192">
        <v>-238.18</v>
      </c>
    </row>
    <row r="193" spans="1:7" x14ac:dyDescent="0.35">
      <c r="A193" s="11">
        <v>45537</v>
      </c>
      <c r="G193">
        <v>1750.71</v>
      </c>
    </row>
    <row r="194" spans="1:7" x14ac:dyDescent="0.35">
      <c r="A194" s="11">
        <v>45801</v>
      </c>
      <c r="G194">
        <v>-928.85</v>
      </c>
    </row>
    <row r="195" spans="1:7" x14ac:dyDescent="0.35">
      <c r="A195" s="11">
        <v>45156</v>
      </c>
      <c r="G195">
        <v>-233.74</v>
      </c>
    </row>
    <row r="196" spans="1:7" x14ac:dyDescent="0.35">
      <c r="A196" s="11">
        <v>45846</v>
      </c>
      <c r="G196">
        <v>266.31</v>
      </c>
    </row>
    <row r="197" spans="1:7" x14ac:dyDescent="0.35">
      <c r="A197" s="11">
        <v>45817</v>
      </c>
      <c r="G197">
        <v>1904.11</v>
      </c>
    </row>
    <row r="198" spans="1:7" x14ac:dyDescent="0.35">
      <c r="A198" s="11">
        <v>45287</v>
      </c>
      <c r="G198">
        <v>-943.35</v>
      </c>
    </row>
    <row r="199" spans="1:7" x14ac:dyDescent="0.35">
      <c r="A199" s="11">
        <v>45574</v>
      </c>
      <c r="G199">
        <v>1625.14</v>
      </c>
    </row>
    <row r="200" spans="1:7" x14ac:dyDescent="0.35">
      <c r="A200" s="11">
        <v>45528</v>
      </c>
      <c r="G200">
        <v>-692.94</v>
      </c>
    </row>
    <row r="201" spans="1:7" x14ac:dyDescent="0.35">
      <c r="A201" s="11">
        <v>45316</v>
      </c>
      <c r="G201">
        <v>821.13</v>
      </c>
    </row>
    <row r="202" spans="1:7" x14ac:dyDescent="0.35">
      <c r="A202" s="11">
        <v>45186</v>
      </c>
      <c r="G202">
        <v>934.87</v>
      </c>
    </row>
    <row r="203" spans="1:7" x14ac:dyDescent="0.35">
      <c r="A203" s="11">
        <v>45290</v>
      </c>
      <c r="G203">
        <v>1516.72</v>
      </c>
    </row>
    <row r="204" spans="1:7" x14ac:dyDescent="0.35">
      <c r="A204" s="11">
        <v>45495</v>
      </c>
      <c r="G204">
        <v>1642</v>
      </c>
    </row>
    <row r="205" spans="1:7" x14ac:dyDescent="0.35">
      <c r="A205" s="11">
        <v>45393</v>
      </c>
      <c r="G205">
        <v>586.55999999999995</v>
      </c>
    </row>
    <row r="206" spans="1:7" x14ac:dyDescent="0.35">
      <c r="A206" s="11">
        <v>45656</v>
      </c>
      <c r="G206">
        <v>-365.42</v>
      </c>
    </row>
    <row r="207" spans="1:7" x14ac:dyDescent="0.35">
      <c r="A207" s="11">
        <v>45802</v>
      </c>
      <c r="G207">
        <v>2824.7</v>
      </c>
    </row>
    <row r="208" spans="1:7" x14ac:dyDescent="0.35">
      <c r="A208" s="11">
        <v>45847</v>
      </c>
      <c r="G208">
        <v>2323.89</v>
      </c>
    </row>
    <row r="209" spans="1:7" x14ac:dyDescent="0.35">
      <c r="A209" s="11">
        <v>45699</v>
      </c>
      <c r="G209">
        <v>-352.18</v>
      </c>
    </row>
    <row r="210" spans="1:7" x14ac:dyDescent="0.35">
      <c r="A210" s="11">
        <v>45383</v>
      </c>
      <c r="G210">
        <v>3146.93</v>
      </c>
    </row>
    <row r="211" spans="1:7" x14ac:dyDescent="0.35">
      <c r="A211" s="11">
        <v>45504</v>
      </c>
      <c r="G211">
        <v>2510.5500000000002</v>
      </c>
    </row>
    <row r="212" spans="1:7" x14ac:dyDescent="0.35">
      <c r="A212" s="11">
        <v>45620</v>
      </c>
      <c r="G212">
        <v>-67.739999999999995</v>
      </c>
    </row>
    <row r="213" spans="1:7" x14ac:dyDescent="0.35">
      <c r="A213" s="11">
        <v>45719</v>
      </c>
      <c r="G213">
        <v>3475.59</v>
      </c>
    </row>
    <row r="214" spans="1:7" x14ac:dyDescent="0.35">
      <c r="A214" s="11">
        <v>45683</v>
      </c>
      <c r="G214">
        <v>238.78</v>
      </c>
    </row>
    <row r="215" spans="1:7" x14ac:dyDescent="0.35">
      <c r="A215" s="11">
        <v>45731</v>
      </c>
      <c r="G215">
        <v>518.71</v>
      </c>
    </row>
    <row r="216" spans="1:7" x14ac:dyDescent="0.35">
      <c r="A216" s="11">
        <v>45416</v>
      </c>
      <c r="G216">
        <v>-405.26</v>
      </c>
    </row>
    <row r="217" spans="1:7" x14ac:dyDescent="0.35">
      <c r="A217" s="11">
        <v>45199</v>
      </c>
      <c r="G217">
        <v>3088.25</v>
      </c>
    </row>
    <row r="218" spans="1:7" x14ac:dyDescent="0.35">
      <c r="A218" s="11">
        <v>45713</v>
      </c>
      <c r="G218">
        <v>1293.94</v>
      </c>
    </row>
    <row r="219" spans="1:7" x14ac:dyDescent="0.35">
      <c r="A219" s="11">
        <v>45402</v>
      </c>
      <c r="G219">
        <v>3680.24</v>
      </c>
    </row>
    <row r="220" spans="1:7" x14ac:dyDescent="0.35">
      <c r="A220" s="11">
        <v>45473</v>
      </c>
      <c r="G220">
        <v>-614.66</v>
      </c>
    </row>
    <row r="221" spans="1:7" x14ac:dyDescent="0.35">
      <c r="A221" s="11">
        <v>45738</v>
      </c>
      <c r="G221">
        <v>2561.89</v>
      </c>
    </row>
    <row r="222" spans="1:7" x14ac:dyDescent="0.35">
      <c r="A222" s="11">
        <v>45235</v>
      </c>
      <c r="G222">
        <v>-783.71</v>
      </c>
    </row>
    <row r="223" spans="1:7" x14ac:dyDescent="0.35">
      <c r="A223" s="11">
        <v>45798</v>
      </c>
      <c r="G223">
        <v>1181.8699999999999</v>
      </c>
    </row>
    <row r="224" spans="1:7" x14ac:dyDescent="0.35">
      <c r="A224" s="11">
        <v>45664</v>
      </c>
      <c r="G224">
        <v>3967.77</v>
      </c>
    </row>
    <row r="225" spans="1:7" x14ac:dyDescent="0.35">
      <c r="A225" s="11">
        <v>45565</v>
      </c>
      <c r="G225">
        <v>3638.15</v>
      </c>
    </row>
    <row r="226" spans="1:7" x14ac:dyDescent="0.35">
      <c r="A226" s="11">
        <v>45524</v>
      </c>
      <c r="G226">
        <v>766.72</v>
      </c>
    </row>
    <row r="227" spans="1:7" x14ac:dyDescent="0.35">
      <c r="A227" s="11">
        <v>45764</v>
      </c>
      <c r="G227">
        <v>3069.57</v>
      </c>
    </row>
    <row r="228" spans="1:7" x14ac:dyDescent="0.35">
      <c r="A228" s="11">
        <v>45787</v>
      </c>
      <c r="G228">
        <v>1753.48</v>
      </c>
    </row>
    <row r="229" spans="1:7" x14ac:dyDescent="0.35">
      <c r="A229" s="11">
        <v>45622</v>
      </c>
      <c r="G229">
        <v>468.59</v>
      </c>
    </row>
    <row r="230" spans="1:7" x14ac:dyDescent="0.35">
      <c r="A230" s="11">
        <v>45805</v>
      </c>
      <c r="G230">
        <v>1370.01</v>
      </c>
    </row>
    <row r="231" spans="1:7" x14ac:dyDescent="0.35">
      <c r="A231" s="11">
        <v>45259</v>
      </c>
      <c r="G231">
        <v>2211.71</v>
      </c>
    </row>
    <row r="232" spans="1:7" x14ac:dyDescent="0.35">
      <c r="A232" s="11">
        <v>45450</v>
      </c>
      <c r="G232">
        <v>-650.67999999999995</v>
      </c>
    </row>
    <row r="233" spans="1:7" x14ac:dyDescent="0.35">
      <c r="A233" s="11">
        <v>45179</v>
      </c>
      <c r="G233">
        <v>3161.45</v>
      </c>
    </row>
    <row r="234" spans="1:7" x14ac:dyDescent="0.35">
      <c r="A234" s="11">
        <v>45677</v>
      </c>
      <c r="G234">
        <v>546.66</v>
      </c>
    </row>
    <row r="235" spans="1:7" x14ac:dyDescent="0.35">
      <c r="A235" s="11">
        <v>45364</v>
      </c>
      <c r="G235">
        <v>2729.23</v>
      </c>
    </row>
    <row r="236" spans="1:7" x14ac:dyDescent="0.35">
      <c r="A236" s="11">
        <v>45803</v>
      </c>
      <c r="G236">
        <v>1192.5</v>
      </c>
    </row>
    <row r="237" spans="1:7" x14ac:dyDescent="0.35">
      <c r="A237" s="11">
        <v>45476</v>
      </c>
      <c r="G237">
        <v>2525.87</v>
      </c>
    </row>
    <row r="238" spans="1:7" x14ac:dyDescent="0.35">
      <c r="A238" s="11">
        <v>45335</v>
      </c>
      <c r="G238">
        <v>454.97</v>
      </c>
    </row>
    <row r="239" spans="1:7" x14ac:dyDescent="0.35">
      <c r="A239" s="11">
        <v>45617</v>
      </c>
      <c r="G239">
        <v>3380.28</v>
      </c>
    </row>
    <row r="240" spans="1:7" x14ac:dyDescent="0.35">
      <c r="A240" s="11">
        <v>45706</v>
      </c>
      <c r="G240">
        <v>-505.58</v>
      </c>
    </row>
    <row r="241" spans="1:7" x14ac:dyDescent="0.35">
      <c r="A241" s="11">
        <v>45505</v>
      </c>
      <c r="G241">
        <v>1489.99</v>
      </c>
    </row>
    <row r="242" spans="1:7" x14ac:dyDescent="0.35">
      <c r="A242" s="11">
        <v>45369</v>
      </c>
      <c r="G242">
        <v>2971.55</v>
      </c>
    </row>
    <row r="243" spans="1:7" x14ac:dyDescent="0.35">
      <c r="A243" s="11">
        <v>45818</v>
      </c>
      <c r="G243">
        <v>2055.87</v>
      </c>
    </row>
    <row r="244" spans="1:7" x14ac:dyDescent="0.35">
      <c r="A244" s="11">
        <v>45756</v>
      </c>
      <c r="G244">
        <v>2794.61</v>
      </c>
    </row>
    <row r="245" spans="1:7" x14ac:dyDescent="0.35">
      <c r="A245" s="11">
        <v>45322</v>
      </c>
      <c r="G245">
        <v>2390.6999999999998</v>
      </c>
    </row>
    <row r="246" spans="1:7" x14ac:dyDescent="0.35">
      <c r="A246" s="11">
        <v>45682</v>
      </c>
      <c r="G246">
        <v>-276.83</v>
      </c>
    </row>
    <row r="247" spans="1:7" x14ac:dyDescent="0.35">
      <c r="A247" s="11">
        <v>45807</v>
      </c>
      <c r="G247">
        <v>-1061.45</v>
      </c>
    </row>
    <row r="248" spans="1:7" x14ac:dyDescent="0.35">
      <c r="A248" s="11">
        <v>45666</v>
      </c>
      <c r="G248">
        <v>495.62</v>
      </c>
    </row>
    <row r="249" spans="1:7" x14ac:dyDescent="0.35">
      <c r="A249" s="11">
        <v>45796</v>
      </c>
      <c r="G249">
        <v>480.74</v>
      </c>
    </row>
    <row r="250" spans="1:7" x14ac:dyDescent="0.35">
      <c r="A250" s="11">
        <v>45770</v>
      </c>
      <c r="G250">
        <v>1505.11</v>
      </c>
    </row>
    <row r="251" spans="1:7" x14ac:dyDescent="0.35">
      <c r="A251" s="11">
        <v>45177</v>
      </c>
      <c r="G251">
        <v>143.06</v>
      </c>
    </row>
    <row r="252" spans="1:7" x14ac:dyDescent="0.35">
      <c r="A252" s="11">
        <v>45780</v>
      </c>
      <c r="G252">
        <v>3862.6</v>
      </c>
    </row>
    <row r="253" spans="1:7" x14ac:dyDescent="0.35">
      <c r="A253" s="11">
        <v>45670</v>
      </c>
      <c r="G253">
        <v>32.450000000000003</v>
      </c>
    </row>
    <row r="254" spans="1:7" x14ac:dyDescent="0.35">
      <c r="A254" s="11">
        <v>45698</v>
      </c>
      <c r="G254">
        <v>1894.17</v>
      </c>
    </row>
    <row r="255" spans="1:7" x14ac:dyDescent="0.35">
      <c r="A255" s="11">
        <v>45376</v>
      </c>
      <c r="G255">
        <v>2141.6799999999998</v>
      </c>
    </row>
    <row r="256" spans="1:7" x14ac:dyDescent="0.35">
      <c r="A256" s="11">
        <v>45760</v>
      </c>
      <c r="G256">
        <v>1265.74</v>
      </c>
    </row>
    <row r="257" spans="1:7" x14ac:dyDescent="0.35">
      <c r="A257" s="11">
        <v>45145</v>
      </c>
      <c r="G257">
        <v>-362.47</v>
      </c>
    </row>
    <row r="258" spans="1:7" x14ac:dyDescent="0.35">
      <c r="A258" s="11">
        <v>45553</v>
      </c>
      <c r="G258">
        <v>1333.86</v>
      </c>
    </row>
    <row r="259" spans="1:7" x14ac:dyDescent="0.35">
      <c r="A259" s="11">
        <v>45258</v>
      </c>
      <c r="G259">
        <v>2640.1</v>
      </c>
    </row>
    <row r="260" spans="1:7" x14ac:dyDescent="0.35">
      <c r="A260" s="11">
        <v>45632</v>
      </c>
      <c r="G260">
        <v>3954.38</v>
      </c>
    </row>
    <row r="261" spans="1:7" x14ac:dyDescent="0.35">
      <c r="A261" s="11">
        <v>45538</v>
      </c>
      <c r="G261">
        <v>2047.65</v>
      </c>
    </row>
    <row r="262" spans="1:7" x14ac:dyDescent="0.35">
      <c r="A262" s="11">
        <v>45552</v>
      </c>
      <c r="G262">
        <v>3402.41</v>
      </c>
    </row>
    <row r="263" spans="1:7" x14ac:dyDescent="0.35">
      <c r="A263" s="11">
        <v>45345</v>
      </c>
      <c r="G263">
        <v>39.69</v>
      </c>
    </row>
    <row r="264" spans="1:7" x14ac:dyDescent="0.35">
      <c r="A264" s="11">
        <v>45562</v>
      </c>
      <c r="G264">
        <v>1833.07</v>
      </c>
    </row>
    <row r="265" spans="1:7" x14ac:dyDescent="0.35">
      <c r="A265" s="11">
        <v>45734</v>
      </c>
      <c r="G265">
        <v>-648.08000000000004</v>
      </c>
    </row>
    <row r="266" spans="1:7" x14ac:dyDescent="0.35">
      <c r="A266" s="11">
        <v>45148</v>
      </c>
      <c r="G266">
        <v>-304.92</v>
      </c>
    </row>
    <row r="267" spans="1:7" x14ac:dyDescent="0.35">
      <c r="A267" s="11">
        <v>45509</v>
      </c>
      <c r="G267">
        <v>-80.25</v>
      </c>
    </row>
    <row r="268" spans="1:7" x14ac:dyDescent="0.35">
      <c r="A268" s="11">
        <v>45313</v>
      </c>
      <c r="G268">
        <v>217.22</v>
      </c>
    </row>
    <row r="269" spans="1:7" x14ac:dyDescent="0.35">
      <c r="A269" s="11">
        <v>45431</v>
      </c>
      <c r="G269">
        <v>3854.71</v>
      </c>
    </row>
    <row r="270" spans="1:7" x14ac:dyDescent="0.35">
      <c r="A270" s="11">
        <v>45755</v>
      </c>
      <c r="G270">
        <v>3529.93</v>
      </c>
    </row>
    <row r="271" spans="1:7" x14ac:dyDescent="0.35">
      <c r="A271" s="11">
        <v>45693</v>
      </c>
      <c r="G271">
        <v>3196.02</v>
      </c>
    </row>
    <row r="272" spans="1:7" x14ac:dyDescent="0.35">
      <c r="A272" s="11">
        <v>45768</v>
      </c>
      <c r="G272">
        <v>-425.99</v>
      </c>
    </row>
    <row r="273" spans="1:7" x14ac:dyDescent="0.35">
      <c r="A273" s="11">
        <v>45291</v>
      </c>
      <c r="G273">
        <v>-280.18</v>
      </c>
    </row>
    <row r="274" spans="1:7" x14ac:dyDescent="0.35">
      <c r="A274" s="11">
        <v>45361</v>
      </c>
      <c r="G274">
        <v>3463.09</v>
      </c>
    </row>
    <row r="275" spans="1:7" x14ac:dyDescent="0.35">
      <c r="A275" s="11">
        <v>45350</v>
      </c>
      <c r="G275">
        <v>938.88</v>
      </c>
    </row>
    <row r="276" spans="1:7" x14ac:dyDescent="0.35">
      <c r="A276" s="11">
        <v>45767</v>
      </c>
      <c r="G276">
        <v>324.45</v>
      </c>
    </row>
    <row r="277" spans="1:7" x14ac:dyDescent="0.35">
      <c r="A277" s="11">
        <v>45833</v>
      </c>
      <c r="G277">
        <v>3511.89</v>
      </c>
    </row>
    <row r="278" spans="1:7" x14ac:dyDescent="0.35">
      <c r="A278" s="11">
        <v>45506</v>
      </c>
      <c r="G278">
        <v>2604.6799999999998</v>
      </c>
    </row>
    <row r="279" spans="1:7" x14ac:dyDescent="0.35">
      <c r="A279" s="11">
        <v>45623</v>
      </c>
      <c r="G279">
        <v>-902.62</v>
      </c>
    </row>
    <row r="280" spans="1:7" x14ac:dyDescent="0.35">
      <c r="A280" s="11">
        <v>45494</v>
      </c>
      <c r="G280">
        <v>2363.69</v>
      </c>
    </row>
    <row r="281" spans="1:7" x14ac:dyDescent="0.35">
      <c r="A281" s="11">
        <v>45789</v>
      </c>
      <c r="G281">
        <v>599.21</v>
      </c>
    </row>
    <row r="282" spans="1:7" x14ac:dyDescent="0.35">
      <c r="A282" s="11">
        <v>45825</v>
      </c>
      <c r="G282">
        <v>818.35</v>
      </c>
    </row>
    <row r="283" spans="1:7" x14ac:dyDescent="0.35">
      <c r="A283" s="11">
        <v>45637</v>
      </c>
      <c r="G283">
        <v>1445.09</v>
      </c>
    </row>
    <row r="284" spans="1:7" x14ac:dyDescent="0.35">
      <c r="A284" s="11">
        <v>45739</v>
      </c>
      <c r="G284">
        <v>-887.83</v>
      </c>
    </row>
    <row r="285" spans="1:7" x14ac:dyDescent="0.35">
      <c r="A285" s="11">
        <v>45823</v>
      </c>
      <c r="G285">
        <v>543.26</v>
      </c>
    </row>
    <row r="286" spans="1:7" x14ac:dyDescent="0.35">
      <c r="A286" s="11">
        <v>45478</v>
      </c>
      <c r="G286">
        <v>-1199.32</v>
      </c>
    </row>
    <row r="287" spans="1:7" x14ac:dyDescent="0.35">
      <c r="A287" s="11">
        <v>45532</v>
      </c>
      <c r="G287">
        <v>1819.6</v>
      </c>
    </row>
    <row r="288" spans="1:7" x14ac:dyDescent="0.35">
      <c r="A288" s="11">
        <v>45820</v>
      </c>
      <c r="G288">
        <v>-874.96</v>
      </c>
    </row>
    <row r="289" spans="1:7" x14ac:dyDescent="0.35">
      <c r="A289" s="11">
        <v>45799</v>
      </c>
      <c r="G289">
        <v>1947.5</v>
      </c>
    </row>
    <row r="290" spans="1:7" x14ac:dyDescent="0.35">
      <c r="A290" s="11">
        <v>45485</v>
      </c>
      <c r="G290">
        <v>1302.98</v>
      </c>
    </row>
    <row r="291" spans="1:7" x14ac:dyDescent="0.35">
      <c r="A291" s="11">
        <v>45445</v>
      </c>
      <c r="G291">
        <v>3817.26</v>
      </c>
    </row>
    <row r="292" spans="1:7" x14ac:dyDescent="0.35">
      <c r="A292" s="11">
        <v>45788</v>
      </c>
      <c r="G292">
        <v>-597.61</v>
      </c>
    </row>
    <row r="293" spans="1:7" x14ac:dyDescent="0.35">
      <c r="A293" s="11">
        <v>45498</v>
      </c>
      <c r="G293">
        <v>1414.23</v>
      </c>
    </row>
    <row r="294" spans="1:7" x14ac:dyDescent="0.35">
      <c r="A294" s="11">
        <v>45618</v>
      </c>
      <c r="G294">
        <v>3555.61</v>
      </c>
    </row>
    <row r="295" spans="1:7" x14ac:dyDescent="0.35">
      <c r="A295" s="11">
        <v>45709</v>
      </c>
      <c r="G295">
        <v>3737.47</v>
      </c>
    </row>
    <row r="296" spans="1:7" x14ac:dyDescent="0.35">
      <c r="A296" s="11">
        <v>45625</v>
      </c>
      <c r="G296">
        <v>-202.12</v>
      </c>
    </row>
    <row r="297" spans="1:7" x14ac:dyDescent="0.35">
      <c r="A297" s="11">
        <v>45832</v>
      </c>
      <c r="G297">
        <v>2369.2800000000002</v>
      </c>
    </row>
    <row r="298" spans="1:7" x14ac:dyDescent="0.35">
      <c r="A298" s="11">
        <v>45579</v>
      </c>
      <c r="G298">
        <v>2427.86</v>
      </c>
    </row>
    <row r="299" spans="1:7" x14ac:dyDescent="0.35">
      <c r="A299" s="11">
        <v>45724</v>
      </c>
      <c r="G299">
        <v>867.37</v>
      </c>
    </row>
    <row r="300" spans="1:7" x14ac:dyDescent="0.35">
      <c r="A300" s="11">
        <v>45241</v>
      </c>
      <c r="G300">
        <v>2738.82</v>
      </c>
    </row>
    <row r="301" spans="1:7" x14ac:dyDescent="0.35">
      <c r="A301" s="11">
        <v>45672</v>
      </c>
      <c r="G301">
        <v>-1109.57</v>
      </c>
    </row>
    <row r="302" spans="1:7" x14ac:dyDescent="0.35">
      <c r="A302" s="11">
        <v>45610</v>
      </c>
      <c r="G302">
        <v>-234.66</v>
      </c>
    </row>
    <row r="303" spans="1:7" x14ac:dyDescent="0.35">
      <c r="A303" s="11">
        <v>45518</v>
      </c>
      <c r="G303">
        <v>2107.42</v>
      </c>
    </row>
    <row r="304" spans="1:7" x14ac:dyDescent="0.35">
      <c r="A304" s="11">
        <v>45725</v>
      </c>
      <c r="G304">
        <v>3289.77</v>
      </c>
    </row>
    <row r="305" spans="1:7" x14ac:dyDescent="0.35">
      <c r="A305" s="11">
        <v>45660</v>
      </c>
      <c r="G305">
        <v>2707.27</v>
      </c>
    </row>
    <row r="306" spans="1:7" x14ac:dyDescent="0.35">
      <c r="A306" s="11">
        <v>45859</v>
      </c>
      <c r="G306">
        <v>213.96</v>
      </c>
    </row>
    <row r="307" spans="1:7" x14ac:dyDescent="0.35">
      <c r="A307" s="11">
        <v>45526</v>
      </c>
      <c r="G307">
        <v>787.42</v>
      </c>
    </row>
    <row r="308" spans="1:7" x14ac:dyDescent="0.35">
      <c r="A308" s="11">
        <v>45749</v>
      </c>
      <c r="G308">
        <v>2029.55</v>
      </c>
    </row>
    <row r="309" spans="1:7" x14ac:dyDescent="0.35">
      <c r="A309" s="11">
        <v>45172</v>
      </c>
      <c r="G309">
        <v>2587.2600000000002</v>
      </c>
    </row>
    <row r="310" spans="1:7" x14ac:dyDescent="0.35">
      <c r="A310" s="11">
        <v>45295</v>
      </c>
      <c r="G310">
        <v>-406.39</v>
      </c>
    </row>
    <row r="311" spans="1:7" x14ac:dyDescent="0.35">
      <c r="A311" s="11">
        <v>45306</v>
      </c>
      <c r="G311">
        <v>496.54</v>
      </c>
    </row>
    <row r="312" spans="1:7" x14ac:dyDescent="0.35">
      <c r="A312" s="11">
        <v>45441</v>
      </c>
      <c r="G312">
        <v>3842.85</v>
      </c>
    </row>
    <row r="313" spans="1:7" x14ac:dyDescent="0.35">
      <c r="A313" s="11">
        <v>45238</v>
      </c>
      <c r="G313">
        <v>1356.18</v>
      </c>
    </row>
    <row r="314" spans="1:7" x14ac:dyDescent="0.35">
      <c r="A314" s="11">
        <v>45729</v>
      </c>
      <c r="G314">
        <v>4.76</v>
      </c>
    </row>
    <row r="315" spans="1:7" x14ac:dyDescent="0.35">
      <c r="A315" s="11">
        <v>45310</v>
      </c>
      <c r="G315">
        <v>-133.03</v>
      </c>
    </row>
    <row r="316" spans="1:7" x14ac:dyDescent="0.35">
      <c r="A316" s="11">
        <v>45232</v>
      </c>
      <c r="G316">
        <v>85</v>
      </c>
    </row>
    <row r="317" spans="1:7" x14ac:dyDescent="0.35">
      <c r="A317" s="11">
        <v>45166</v>
      </c>
      <c r="G317">
        <v>859.93</v>
      </c>
    </row>
    <row r="318" spans="1:7" x14ac:dyDescent="0.35">
      <c r="A318" s="11">
        <v>45332</v>
      </c>
      <c r="G318">
        <v>3996.96</v>
      </c>
    </row>
    <row r="319" spans="1:7" x14ac:dyDescent="0.35">
      <c r="A319" s="11">
        <v>45681</v>
      </c>
      <c r="G319">
        <v>3888.42</v>
      </c>
    </row>
    <row r="320" spans="1:7" x14ac:dyDescent="0.35">
      <c r="A320" s="11">
        <v>45572</v>
      </c>
      <c r="G320">
        <v>515.6</v>
      </c>
    </row>
    <row r="321" spans="1:7" x14ac:dyDescent="0.35">
      <c r="A321" s="11">
        <v>45848</v>
      </c>
      <c r="G321">
        <v>-277.41000000000003</v>
      </c>
    </row>
    <row r="322" spans="1:7" x14ac:dyDescent="0.35">
      <c r="A322" s="11">
        <v>45500</v>
      </c>
      <c r="G322">
        <v>1309.54</v>
      </c>
    </row>
    <row r="323" spans="1:7" x14ac:dyDescent="0.35">
      <c r="A323" s="11">
        <v>45598</v>
      </c>
      <c r="G323">
        <v>-501.36</v>
      </c>
    </row>
    <row r="324" spans="1:7" x14ac:dyDescent="0.35">
      <c r="A324" s="11">
        <v>45684</v>
      </c>
      <c r="G324">
        <v>69.95</v>
      </c>
    </row>
    <row r="325" spans="1:7" x14ac:dyDescent="0.35">
      <c r="A325" s="11">
        <v>45540</v>
      </c>
      <c r="G325">
        <v>402</v>
      </c>
    </row>
    <row r="326" spans="1:7" x14ac:dyDescent="0.35">
      <c r="A326" s="11">
        <v>45490</v>
      </c>
      <c r="G326">
        <v>521.77</v>
      </c>
    </row>
    <row r="327" spans="1:7" x14ac:dyDescent="0.35">
      <c r="A327" s="11">
        <v>45860</v>
      </c>
      <c r="G327">
        <v>1731.86</v>
      </c>
    </row>
    <row r="328" spans="1:7" x14ac:dyDescent="0.35">
      <c r="A328" s="11">
        <v>45772</v>
      </c>
      <c r="G328">
        <v>2993.72</v>
      </c>
    </row>
    <row r="329" spans="1:7" x14ac:dyDescent="0.35">
      <c r="A329" s="11">
        <v>45594</v>
      </c>
      <c r="G329">
        <v>3808.81</v>
      </c>
    </row>
    <row r="330" spans="1:7" x14ac:dyDescent="0.35">
      <c r="A330" s="11">
        <v>45612</v>
      </c>
      <c r="G330">
        <v>1135.72</v>
      </c>
    </row>
    <row r="331" spans="1:7" x14ac:dyDescent="0.35">
      <c r="A331" s="11">
        <v>45694</v>
      </c>
      <c r="G331">
        <v>2329.98</v>
      </c>
    </row>
    <row r="332" spans="1:7" x14ac:dyDescent="0.35">
      <c r="A332" s="11">
        <v>45211</v>
      </c>
      <c r="G332">
        <v>-829.35</v>
      </c>
    </row>
    <row r="333" spans="1:7" x14ac:dyDescent="0.35">
      <c r="A333" s="11">
        <v>45529</v>
      </c>
      <c r="G333">
        <v>73.75</v>
      </c>
    </row>
    <row r="334" spans="1:7" x14ac:dyDescent="0.35">
      <c r="A334" s="11">
        <v>45708</v>
      </c>
      <c r="G334">
        <v>3485.64</v>
      </c>
    </row>
    <row r="335" spans="1:7" x14ac:dyDescent="0.35">
      <c r="A335" s="11">
        <v>45570</v>
      </c>
      <c r="G335">
        <v>3110.43</v>
      </c>
    </row>
    <row r="336" spans="1:7" x14ac:dyDescent="0.35">
      <c r="A336" s="11">
        <v>45299</v>
      </c>
      <c r="G336">
        <v>2868.49</v>
      </c>
    </row>
    <row r="337" spans="1:7" x14ac:dyDescent="0.35">
      <c r="A337" s="11">
        <v>45355</v>
      </c>
      <c r="G337">
        <v>1664.6</v>
      </c>
    </row>
    <row r="338" spans="1:7" x14ac:dyDescent="0.35">
      <c r="A338" s="11">
        <v>45551</v>
      </c>
      <c r="G338">
        <v>3398.15</v>
      </c>
    </row>
    <row r="339" spans="1:7" x14ac:dyDescent="0.35">
      <c r="A339" s="11">
        <v>45691</v>
      </c>
      <c r="G339">
        <v>2802.1</v>
      </c>
    </row>
    <row r="340" spans="1:7" x14ac:dyDescent="0.35">
      <c r="A340" s="11">
        <v>45347</v>
      </c>
      <c r="G340">
        <v>1749.8</v>
      </c>
    </row>
    <row r="341" spans="1:7" x14ac:dyDescent="0.35">
      <c r="A341" s="11">
        <v>45536</v>
      </c>
      <c r="G341">
        <v>3058.78</v>
      </c>
    </row>
    <row r="342" spans="1:7" x14ac:dyDescent="0.35">
      <c r="A342" s="11">
        <v>45800</v>
      </c>
      <c r="G342">
        <v>-72.52</v>
      </c>
    </row>
    <row r="343" spans="1:7" x14ac:dyDescent="0.35">
      <c r="A343" s="11">
        <v>45616</v>
      </c>
      <c r="G343">
        <v>1683.98</v>
      </c>
    </row>
    <row r="344" spans="1:7" x14ac:dyDescent="0.35">
      <c r="A344" s="11">
        <v>45195</v>
      </c>
      <c r="G344">
        <v>427.51</v>
      </c>
    </row>
    <row r="345" spans="1:7" x14ac:dyDescent="0.35">
      <c r="A345" s="11">
        <v>45853</v>
      </c>
      <c r="G345">
        <v>550.48</v>
      </c>
    </row>
    <row r="346" spans="1:7" x14ac:dyDescent="0.35">
      <c r="A346" s="11">
        <v>45225</v>
      </c>
      <c r="G346">
        <v>215.3</v>
      </c>
    </row>
    <row r="347" spans="1:7" x14ac:dyDescent="0.35">
      <c r="A347" s="11">
        <v>45358</v>
      </c>
      <c r="G347">
        <v>1627.78</v>
      </c>
    </row>
    <row r="348" spans="1:7" x14ac:dyDescent="0.35">
      <c r="A348" s="11">
        <v>45741</v>
      </c>
      <c r="G348">
        <v>3754.3</v>
      </c>
    </row>
    <row r="349" spans="1:7" x14ac:dyDescent="0.35">
      <c r="A349" s="11">
        <v>45542</v>
      </c>
      <c r="G349">
        <v>387.15</v>
      </c>
    </row>
    <row r="350" spans="1:7" x14ac:dyDescent="0.35">
      <c r="A350" s="11">
        <v>45163</v>
      </c>
      <c r="G350">
        <v>2378.8200000000002</v>
      </c>
    </row>
    <row r="351" spans="1:7" x14ac:dyDescent="0.35">
      <c r="A351" s="11">
        <v>45365</v>
      </c>
      <c r="G351">
        <v>2213.84</v>
      </c>
    </row>
    <row r="352" spans="1:7" x14ac:dyDescent="0.35">
      <c r="A352" s="11">
        <v>45425</v>
      </c>
      <c r="G352">
        <v>-281.42</v>
      </c>
    </row>
    <row r="353" spans="1:7" x14ac:dyDescent="0.35">
      <c r="A353" s="11">
        <v>45671</v>
      </c>
      <c r="G353">
        <v>2965.39</v>
      </c>
    </row>
    <row r="354" spans="1:7" x14ac:dyDescent="0.35">
      <c r="A354" s="11">
        <v>45779</v>
      </c>
      <c r="G354">
        <v>3467.1</v>
      </c>
    </row>
    <row r="355" spans="1:7" x14ac:dyDescent="0.35">
      <c r="A355" s="11">
        <v>45763</v>
      </c>
      <c r="G355">
        <v>2989.6</v>
      </c>
    </row>
    <row r="356" spans="1:7" x14ac:dyDescent="0.35">
      <c r="A356" s="11">
        <v>45630</v>
      </c>
      <c r="G356">
        <v>-219.02</v>
      </c>
    </row>
    <row r="357" spans="1:7" x14ac:dyDescent="0.35">
      <c r="A357" s="11">
        <v>45843</v>
      </c>
      <c r="G357">
        <v>3083.26</v>
      </c>
    </row>
    <row r="358" spans="1:7" x14ac:dyDescent="0.35">
      <c r="A358" s="11">
        <v>45596</v>
      </c>
      <c r="G358">
        <v>2449.4299999999998</v>
      </c>
    </row>
    <row r="359" spans="1:7" x14ac:dyDescent="0.35">
      <c r="A359" s="11">
        <v>45815</v>
      </c>
      <c r="G359">
        <v>1621.74</v>
      </c>
    </row>
    <row r="360" spans="1:7" x14ac:dyDescent="0.35">
      <c r="A360" s="11">
        <v>45512</v>
      </c>
      <c r="G360">
        <v>141.93</v>
      </c>
    </row>
    <row r="361" spans="1:7" x14ac:dyDescent="0.35">
      <c r="A361" s="11">
        <v>45336</v>
      </c>
      <c r="G361">
        <v>1291.8</v>
      </c>
    </row>
    <row r="362" spans="1:7" x14ac:dyDescent="0.35">
      <c r="A362" s="11">
        <v>45589</v>
      </c>
      <c r="G362">
        <v>1764.52</v>
      </c>
    </row>
    <row r="363" spans="1:7" x14ac:dyDescent="0.35">
      <c r="A363" s="11">
        <v>45141</v>
      </c>
      <c r="G363">
        <v>1786.43</v>
      </c>
    </row>
    <row r="364" spans="1:7" x14ac:dyDescent="0.35">
      <c r="A364" s="11">
        <v>45519</v>
      </c>
      <c r="G364">
        <v>176.96</v>
      </c>
    </row>
    <row r="365" spans="1:7" x14ac:dyDescent="0.35">
      <c r="A365" s="11">
        <v>45824</v>
      </c>
      <c r="G365">
        <v>387.79</v>
      </c>
    </row>
    <row r="366" spans="1:7" x14ac:dyDescent="0.35">
      <c r="A366" s="11">
        <v>45791</v>
      </c>
      <c r="G366">
        <v>3100.44</v>
      </c>
    </row>
    <row r="367" spans="1:7" x14ac:dyDescent="0.35">
      <c r="A367" s="11">
        <v>45728</v>
      </c>
      <c r="G367">
        <v>3498.64</v>
      </c>
    </row>
    <row r="368" spans="1:7" x14ac:dyDescent="0.35">
      <c r="A368" s="11">
        <v>45590</v>
      </c>
      <c r="G368">
        <v>-404.04</v>
      </c>
    </row>
    <row r="369" spans="1:7" x14ac:dyDescent="0.35">
      <c r="A369" s="11">
        <v>45210</v>
      </c>
      <c r="G369">
        <v>-823.8</v>
      </c>
    </row>
    <row r="370" spans="1:7" x14ac:dyDescent="0.35">
      <c r="A370" s="11">
        <v>45580</v>
      </c>
      <c r="G370">
        <v>3146.03</v>
      </c>
    </row>
    <row r="371" spans="1:7" x14ac:dyDescent="0.35">
      <c r="A371" s="11">
        <v>45368</v>
      </c>
      <c r="G371">
        <v>2143.6</v>
      </c>
    </row>
    <row r="372" spans="1:7" x14ac:dyDescent="0.35">
      <c r="A372" s="11">
        <v>45516</v>
      </c>
      <c r="G372">
        <v>438.39</v>
      </c>
    </row>
    <row r="373" spans="1:7" x14ac:dyDescent="0.35">
      <c r="A373" s="11">
        <v>45855</v>
      </c>
      <c r="G373">
        <v>3507.56</v>
      </c>
    </row>
    <row r="374" spans="1:7" x14ac:dyDescent="0.35">
      <c r="A374" s="11">
        <v>45830</v>
      </c>
      <c r="G374">
        <v>684.07</v>
      </c>
    </row>
    <row r="375" spans="1:7" x14ac:dyDescent="0.35">
      <c r="A375" s="11">
        <v>45501</v>
      </c>
      <c r="G375">
        <v>1899.54</v>
      </c>
    </row>
    <row r="376" spans="1:7" x14ac:dyDescent="0.35">
      <c r="A376" s="11">
        <v>45139</v>
      </c>
      <c r="G376">
        <v>-1113.25</v>
      </c>
    </row>
    <row r="377" spans="1:7" x14ac:dyDescent="0.35">
      <c r="A377" s="11">
        <v>45352</v>
      </c>
      <c r="G377">
        <v>-279.26</v>
      </c>
    </row>
    <row r="378" spans="1:7" x14ac:dyDescent="0.35">
      <c r="A378" s="11">
        <v>45356</v>
      </c>
      <c r="G378">
        <v>1099.17</v>
      </c>
    </row>
    <row r="379" spans="1:7" x14ac:dyDescent="0.35">
      <c r="A379" s="11">
        <v>45530</v>
      </c>
      <c r="G379">
        <v>464.96</v>
      </c>
    </row>
    <row r="380" spans="1:7" x14ac:dyDescent="0.35">
      <c r="A380" s="11">
        <v>45301</v>
      </c>
      <c r="G380">
        <v>560.70000000000005</v>
      </c>
    </row>
    <row r="381" spans="1:7" x14ac:dyDescent="0.35">
      <c r="A381" s="11">
        <v>45515</v>
      </c>
      <c r="G381">
        <v>115.11</v>
      </c>
    </row>
    <row r="382" spans="1:7" x14ac:dyDescent="0.35">
      <c r="A382" s="11">
        <v>45533</v>
      </c>
      <c r="G382">
        <v>3885.97</v>
      </c>
    </row>
    <row r="383" spans="1:7" x14ac:dyDescent="0.35">
      <c r="A383" s="11">
        <v>45808</v>
      </c>
      <c r="G383">
        <v>-627.07000000000005</v>
      </c>
    </row>
    <row r="384" spans="1:7" x14ac:dyDescent="0.35">
      <c r="A384" s="11">
        <v>45704</v>
      </c>
      <c r="G384">
        <v>-177.68</v>
      </c>
    </row>
    <row r="385" spans="1:7" x14ac:dyDescent="0.35">
      <c r="A385" s="11">
        <v>45761</v>
      </c>
      <c r="G385">
        <v>25.18</v>
      </c>
    </row>
    <row r="386" spans="1:7" x14ac:dyDescent="0.35">
      <c r="A386" s="11">
        <v>45626</v>
      </c>
      <c r="G386">
        <v>1755.19</v>
      </c>
    </row>
    <row r="387" spans="1:7" x14ac:dyDescent="0.35">
      <c r="A387" s="11">
        <v>45743</v>
      </c>
      <c r="G387">
        <v>2642.8</v>
      </c>
    </row>
    <row r="388" spans="1:7" x14ac:dyDescent="0.35">
      <c r="A388" s="11">
        <v>45793</v>
      </c>
      <c r="G388">
        <v>1189.82</v>
      </c>
    </row>
    <row r="389" spans="1:7" x14ac:dyDescent="0.35">
      <c r="A389" s="11">
        <v>45397</v>
      </c>
      <c r="G389">
        <v>16.059999999999999</v>
      </c>
    </row>
    <row r="390" spans="1:7" x14ac:dyDescent="0.35">
      <c r="A390" s="11">
        <v>45249</v>
      </c>
      <c r="G390">
        <v>1332.57</v>
      </c>
    </row>
    <row r="391" spans="1:7" x14ac:dyDescent="0.35">
      <c r="A391" s="11">
        <v>45527</v>
      </c>
      <c r="G391">
        <v>2108.4</v>
      </c>
    </row>
    <row r="392" spans="1:7" x14ac:dyDescent="0.35">
      <c r="A392" s="11">
        <v>45180</v>
      </c>
      <c r="G392">
        <v>300.76</v>
      </c>
    </row>
    <row r="393" spans="1:7" x14ac:dyDescent="0.35">
      <c r="A393" s="11">
        <v>45690</v>
      </c>
      <c r="G393">
        <v>-494.53</v>
      </c>
    </row>
    <row r="394" spans="1:7" x14ac:dyDescent="0.35">
      <c r="A394" s="11">
        <v>45668</v>
      </c>
      <c r="G394">
        <v>-432.44</v>
      </c>
    </row>
    <row r="395" spans="1:7" x14ac:dyDescent="0.35">
      <c r="A395" s="11">
        <v>45346</v>
      </c>
      <c r="G395">
        <v>473.22</v>
      </c>
    </row>
    <row r="396" spans="1:7" x14ac:dyDescent="0.35">
      <c r="A396" s="11">
        <v>45716</v>
      </c>
      <c r="G396">
        <v>3894.95</v>
      </c>
    </row>
    <row r="397" spans="1:7" x14ac:dyDescent="0.35">
      <c r="A397" s="11">
        <v>45792</v>
      </c>
      <c r="G397">
        <v>2592.98</v>
      </c>
    </row>
    <row r="398" spans="1:7" x14ac:dyDescent="0.35">
      <c r="A398" s="11">
        <v>45244</v>
      </c>
      <c r="G398">
        <v>1488.3</v>
      </c>
    </row>
    <row r="399" spans="1:7" x14ac:dyDescent="0.35">
      <c r="A399" s="11">
        <v>45554</v>
      </c>
      <c r="G399">
        <v>2321.06</v>
      </c>
    </row>
    <row r="400" spans="1:7" x14ac:dyDescent="0.35">
      <c r="A400" s="11">
        <v>45696</v>
      </c>
      <c r="G400">
        <v>2412.8200000000002</v>
      </c>
    </row>
    <row r="401" spans="1:7" x14ac:dyDescent="0.35">
      <c r="A401" s="11">
        <v>45732</v>
      </c>
      <c r="G401">
        <v>-173.16</v>
      </c>
    </row>
    <row r="402" spans="1:7" x14ac:dyDescent="0.35">
      <c r="A402" s="11">
        <v>45220</v>
      </c>
      <c r="G402">
        <v>3748.24</v>
      </c>
    </row>
    <row r="403" spans="1:7" x14ac:dyDescent="0.35">
      <c r="A403" s="11">
        <v>45727</v>
      </c>
      <c r="G403">
        <v>2116.5300000000002</v>
      </c>
    </row>
    <row r="404" spans="1:7" x14ac:dyDescent="0.35">
      <c r="A404" s="11">
        <v>45546</v>
      </c>
      <c r="G404">
        <v>1811.51</v>
      </c>
    </row>
    <row r="405" spans="1:7" x14ac:dyDescent="0.35">
      <c r="A405" s="11">
        <v>45342</v>
      </c>
      <c r="G405">
        <v>1086.0899999999999</v>
      </c>
    </row>
    <row r="406" spans="1:7" x14ac:dyDescent="0.35">
      <c r="A406" s="11">
        <v>45152</v>
      </c>
      <c r="G406">
        <v>3074.69</v>
      </c>
    </row>
    <row r="407" spans="1:7" x14ac:dyDescent="0.35">
      <c r="A407" s="11">
        <v>45564</v>
      </c>
      <c r="G407">
        <v>2764.66</v>
      </c>
    </row>
    <row r="408" spans="1:7" x14ac:dyDescent="0.35">
      <c r="A408" s="11">
        <v>45280</v>
      </c>
      <c r="G408">
        <v>1790.41</v>
      </c>
    </row>
    <row r="409" spans="1:7" x14ac:dyDescent="0.35">
      <c r="A409" s="11">
        <v>45520</v>
      </c>
      <c r="G409">
        <v>1968.82</v>
      </c>
    </row>
    <row r="410" spans="1:7" x14ac:dyDescent="0.35">
      <c r="A410" s="11">
        <v>45439</v>
      </c>
      <c r="G410">
        <v>-703.61</v>
      </c>
    </row>
    <row r="411" spans="1:7" x14ac:dyDescent="0.35">
      <c r="A411" s="11">
        <v>45377</v>
      </c>
      <c r="G411">
        <v>-835.82</v>
      </c>
    </row>
    <row r="412" spans="1:7" x14ac:dyDescent="0.35">
      <c r="A412" s="11">
        <v>45652</v>
      </c>
      <c r="G412">
        <v>3265.83</v>
      </c>
    </row>
    <row r="413" spans="1:7" x14ac:dyDescent="0.35">
      <c r="A413" s="11">
        <v>45629</v>
      </c>
      <c r="G413">
        <v>-199.13</v>
      </c>
    </row>
    <row r="414" spans="1:7" x14ac:dyDescent="0.35">
      <c r="A414" s="11">
        <v>45811</v>
      </c>
      <c r="G414">
        <v>2068.4899999999998</v>
      </c>
    </row>
    <row r="415" spans="1:7" x14ac:dyDescent="0.35">
      <c r="A415" s="11">
        <v>45326</v>
      </c>
      <c r="G415">
        <v>997.53</v>
      </c>
    </row>
    <row r="416" spans="1:7" x14ac:dyDescent="0.35">
      <c r="A416" s="11">
        <v>45583</v>
      </c>
      <c r="G416">
        <v>3453.18</v>
      </c>
    </row>
    <row r="417" spans="1:7" x14ac:dyDescent="0.35">
      <c r="A417" s="11">
        <v>45695</v>
      </c>
      <c r="G417">
        <v>3188.07</v>
      </c>
    </row>
    <row r="418" spans="1:7" x14ac:dyDescent="0.35">
      <c r="A418" s="11">
        <v>45644</v>
      </c>
      <c r="G418">
        <v>-138.78</v>
      </c>
    </row>
    <row r="419" spans="1:7" x14ac:dyDescent="0.35">
      <c r="A419" s="11">
        <v>45584</v>
      </c>
      <c r="G419">
        <v>134.1</v>
      </c>
    </row>
    <row r="420" spans="1:7" x14ac:dyDescent="0.35">
      <c r="A420" s="11">
        <v>45765</v>
      </c>
      <c r="G420">
        <v>3008.62</v>
      </c>
    </row>
    <row r="421" spans="1:7" x14ac:dyDescent="0.35">
      <c r="A421" s="11">
        <v>45407</v>
      </c>
      <c r="G421">
        <v>3936.13</v>
      </c>
    </row>
    <row r="422" spans="1:7" x14ac:dyDescent="0.35">
      <c r="A422" s="11">
        <v>45602</v>
      </c>
      <c r="G422">
        <v>2875.41</v>
      </c>
    </row>
    <row r="423" spans="1:7" x14ac:dyDescent="0.35">
      <c r="A423" s="11">
        <v>45410</v>
      </c>
      <c r="G423">
        <v>72.78</v>
      </c>
    </row>
    <row r="424" spans="1:7" x14ac:dyDescent="0.35">
      <c r="A424" s="11">
        <v>45374</v>
      </c>
      <c r="G424">
        <v>2155.46</v>
      </c>
    </row>
    <row r="425" spans="1:7" x14ac:dyDescent="0.35">
      <c r="A425" s="11">
        <v>45561</v>
      </c>
      <c r="G425">
        <v>506.26</v>
      </c>
    </row>
    <row r="426" spans="1:7" x14ac:dyDescent="0.35">
      <c r="A426" s="11">
        <v>45597</v>
      </c>
      <c r="G426">
        <v>3345.36</v>
      </c>
    </row>
    <row r="427" spans="1:7" x14ac:dyDescent="0.35">
      <c r="A427" s="11">
        <v>45641</v>
      </c>
      <c r="G427">
        <v>-1091.6600000000001</v>
      </c>
    </row>
    <row r="428" spans="1:7" x14ac:dyDescent="0.35">
      <c r="A428" s="11">
        <v>45829</v>
      </c>
      <c r="G428">
        <v>2596.8000000000002</v>
      </c>
    </row>
    <row r="429" spans="1:7" x14ac:dyDescent="0.35">
      <c r="A429" s="11">
        <v>45165</v>
      </c>
      <c r="G429">
        <v>3748.73</v>
      </c>
    </row>
    <row r="430" spans="1:7" x14ac:dyDescent="0.35">
      <c r="A430" s="11">
        <v>45675</v>
      </c>
      <c r="G430">
        <v>-938.07</v>
      </c>
    </row>
    <row r="431" spans="1:7" x14ac:dyDescent="0.35">
      <c r="A431" s="11">
        <v>45543</v>
      </c>
      <c r="G431">
        <v>-1180.1099999999999</v>
      </c>
    </row>
    <row r="432" spans="1:7" x14ac:dyDescent="0.35">
      <c r="A432" s="11">
        <v>45138</v>
      </c>
      <c r="G432">
        <v>-1115.8900000000001</v>
      </c>
    </row>
    <row r="433" spans="1:7" x14ac:dyDescent="0.35">
      <c r="A433" s="11">
        <v>45678</v>
      </c>
      <c r="G433">
        <v>2069.9299999999998</v>
      </c>
    </row>
    <row r="434" spans="1:7" x14ac:dyDescent="0.35">
      <c r="A434" s="11">
        <v>45357</v>
      </c>
      <c r="G434">
        <v>924.07</v>
      </c>
    </row>
    <row r="435" spans="1:7" x14ac:dyDescent="0.35">
      <c r="A435" s="11">
        <v>45746</v>
      </c>
      <c r="G435">
        <v>2084.9899999999998</v>
      </c>
    </row>
    <row r="436" spans="1:7" x14ac:dyDescent="0.35">
      <c r="A436" s="11">
        <v>45309</v>
      </c>
      <c r="G436">
        <v>-586.29</v>
      </c>
    </row>
    <row r="437" spans="1:7" x14ac:dyDescent="0.35">
      <c r="A437" s="11">
        <v>45659</v>
      </c>
      <c r="G437">
        <v>3847.47</v>
      </c>
    </row>
    <row r="438" spans="1:7" x14ac:dyDescent="0.35">
      <c r="A438" s="11">
        <v>45819</v>
      </c>
      <c r="G438">
        <v>1696.1</v>
      </c>
    </row>
    <row r="439" spans="1:7" x14ac:dyDescent="0.35">
      <c r="A439" s="11">
        <v>45631</v>
      </c>
      <c r="G439">
        <v>2470.08</v>
      </c>
    </row>
    <row r="440" spans="1:7" x14ac:dyDescent="0.35">
      <c r="A440" s="11">
        <v>45214</v>
      </c>
      <c r="G440">
        <v>853.25</v>
      </c>
    </row>
    <row r="441" spans="1:7" x14ac:dyDescent="0.35">
      <c r="A441" s="11">
        <v>45522</v>
      </c>
      <c r="G441">
        <v>3389.34</v>
      </c>
    </row>
    <row r="442" spans="1:7" x14ac:dyDescent="0.35">
      <c r="A442" s="11">
        <v>45609</v>
      </c>
      <c r="G442">
        <v>1002.19</v>
      </c>
    </row>
    <row r="443" spans="1:7" x14ac:dyDescent="0.35">
      <c r="A443" s="11">
        <v>45517</v>
      </c>
      <c r="G443">
        <v>3675.97</v>
      </c>
    </row>
    <row r="444" spans="1:7" x14ac:dyDescent="0.35">
      <c r="A444" s="11">
        <v>45634</v>
      </c>
      <c r="G444">
        <v>1327.26</v>
      </c>
    </row>
    <row r="445" spans="1:7" x14ac:dyDescent="0.35">
      <c r="A445" s="11">
        <v>45239</v>
      </c>
      <c r="G445">
        <v>1115.74</v>
      </c>
    </row>
    <row r="446" spans="1:7" x14ac:dyDescent="0.35">
      <c r="A446" s="11">
        <v>45373</v>
      </c>
      <c r="G446">
        <v>-1077.81</v>
      </c>
    </row>
    <row r="447" spans="1:7" x14ac:dyDescent="0.35">
      <c r="A447" s="11">
        <v>45452</v>
      </c>
      <c r="G447">
        <v>-99.73</v>
      </c>
    </row>
    <row r="448" spans="1:7" x14ac:dyDescent="0.35">
      <c r="A448" s="11">
        <v>45419</v>
      </c>
      <c r="G448">
        <v>3493.16</v>
      </c>
    </row>
    <row r="449" spans="1:7" x14ac:dyDescent="0.35">
      <c r="A449" s="11">
        <v>45627</v>
      </c>
      <c r="G449">
        <v>3900.7</v>
      </c>
    </row>
    <row r="450" spans="1:7" x14ac:dyDescent="0.35">
      <c r="A450" s="11">
        <v>45539</v>
      </c>
      <c r="G450">
        <v>-79.099999999999994</v>
      </c>
    </row>
    <row r="451" spans="1:7" x14ac:dyDescent="0.35">
      <c r="A451" s="11">
        <v>45140</v>
      </c>
      <c r="G451">
        <v>2706.61</v>
      </c>
    </row>
    <row r="452" spans="1:7" x14ac:dyDescent="0.35">
      <c r="A452" s="11">
        <v>45497</v>
      </c>
      <c r="G452">
        <v>1279.03</v>
      </c>
    </row>
    <row r="453" spans="1:7" x14ac:dyDescent="0.35">
      <c r="A453" s="11">
        <v>45531</v>
      </c>
      <c r="G453">
        <v>1754.48</v>
      </c>
    </row>
    <row r="454" spans="1:7" x14ac:dyDescent="0.35">
      <c r="A454" s="11">
        <v>45649</v>
      </c>
      <c r="G454">
        <v>1162.3</v>
      </c>
    </row>
    <row r="455" spans="1:7" x14ac:dyDescent="0.35">
      <c r="A455" s="11">
        <v>45735</v>
      </c>
      <c r="G455">
        <v>128.88999999999999</v>
      </c>
    </row>
    <row r="456" spans="1:7" x14ac:dyDescent="0.35">
      <c r="A456" s="11">
        <v>45604</v>
      </c>
      <c r="G456">
        <v>2986.69</v>
      </c>
    </row>
    <row r="457" spans="1:7" x14ac:dyDescent="0.35">
      <c r="A457" s="11">
        <v>45174</v>
      </c>
      <c r="G457">
        <v>276.98</v>
      </c>
    </row>
    <row r="458" spans="1:7" x14ac:dyDescent="0.35">
      <c r="A458" s="11">
        <v>45702</v>
      </c>
      <c r="G458">
        <v>1204.81</v>
      </c>
    </row>
    <row r="459" spans="1:7" x14ac:dyDescent="0.35">
      <c r="A459" s="11">
        <v>45730</v>
      </c>
      <c r="G459">
        <v>1982.16</v>
      </c>
    </row>
    <row r="460" spans="1:7" x14ac:dyDescent="0.35">
      <c r="A460" s="11">
        <v>45806</v>
      </c>
      <c r="G460">
        <v>-427.11</v>
      </c>
    </row>
    <row r="461" spans="1:7" x14ac:dyDescent="0.35">
      <c r="A461" s="11">
        <v>45797</v>
      </c>
      <c r="G461">
        <v>1185.56</v>
      </c>
    </row>
    <row r="462" spans="1:7" x14ac:dyDescent="0.35">
      <c r="A462" s="11">
        <v>45298</v>
      </c>
      <c r="G462">
        <v>3550</v>
      </c>
    </row>
    <row r="463" spans="1:7" x14ac:dyDescent="0.35">
      <c r="A463" s="11">
        <v>45496</v>
      </c>
      <c r="G463">
        <v>589.29999999999995</v>
      </c>
    </row>
    <row r="464" spans="1:7" x14ac:dyDescent="0.35">
      <c r="A464" s="11">
        <v>45840</v>
      </c>
      <c r="G464">
        <v>2978.85</v>
      </c>
    </row>
    <row r="465" spans="1:7" x14ac:dyDescent="0.35">
      <c r="A465" s="11">
        <v>45614</v>
      </c>
      <c r="G465">
        <v>800.45</v>
      </c>
    </row>
    <row r="466" spans="1:7" x14ac:dyDescent="0.35">
      <c r="A466" s="11">
        <v>45720</v>
      </c>
      <c r="G466">
        <v>909.76</v>
      </c>
    </row>
    <row r="467" spans="1:7" x14ac:dyDescent="0.35">
      <c r="A467" s="11">
        <v>45344</v>
      </c>
      <c r="G467">
        <v>3051.16</v>
      </c>
    </row>
    <row r="468" spans="1:7" x14ac:dyDescent="0.35">
      <c r="A468" s="11">
        <v>45325</v>
      </c>
      <c r="G468">
        <v>-123.93</v>
      </c>
    </row>
    <row r="469" spans="1:7" x14ac:dyDescent="0.35">
      <c r="A469" s="11">
        <v>45343</v>
      </c>
      <c r="G469">
        <v>1146.73</v>
      </c>
    </row>
    <row r="470" spans="1:7" x14ac:dyDescent="0.35">
      <c r="A470" s="11">
        <v>45845</v>
      </c>
      <c r="G470">
        <v>-480.01</v>
      </c>
    </row>
    <row r="471" spans="1:7" x14ac:dyDescent="0.35">
      <c r="A471" s="11">
        <v>45555</v>
      </c>
      <c r="G471">
        <v>2861.32</v>
      </c>
    </row>
    <row r="472" spans="1:7" x14ac:dyDescent="0.35">
      <c r="A472" s="11">
        <v>45294</v>
      </c>
      <c r="G472">
        <v>1429.18</v>
      </c>
    </row>
    <row r="473" spans="1:7" x14ac:dyDescent="0.35">
      <c r="A473" s="11">
        <v>45786</v>
      </c>
      <c r="G473">
        <v>1766.46</v>
      </c>
    </row>
    <row r="474" spans="1:7" x14ac:dyDescent="0.35">
      <c r="A474" s="11">
        <v>45736</v>
      </c>
      <c r="G474">
        <v>-907.48</v>
      </c>
    </row>
    <row r="475" spans="1:7" x14ac:dyDescent="0.35">
      <c r="A475" s="11">
        <v>45688</v>
      </c>
      <c r="G475">
        <v>2505.6</v>
      </c>
    </row>
    <row r="476" spans="1:7" x14ac:dyDescent="0.35">
      <c r="A476" s="11">
        <v>45247</v>
      </c>
      <c r="G476">
        <v>1534.91</v>
      </c>
    </row>
    <row r="477" spans="1:7" x14ac:dyDescent="0.35">
      <c r="A477" s="11">
        <v>45778</v>
      </c>
      <c r="G477">
        <v>420.27</v>
      </c>
    </row>
    <row r="478" spans="1:7" x14ac:dyDescent="0.35">
      <c r="A478" s="11">
        <v>45774</v>
      </c>
      <c r="G478">
        <v>-1193.55</v>
      </c>
    </row>
    <row r="479" spans="1:7" x14ac:dyDescent="0.35">
      <c r="A479" s="11">
        <v>45451</v>
      </c>
      <c r="G479">
        <v>3505.24</v>
      </c>
    </row>
    <row r="480" spans="1:7" x14ac:dyDescent="0.35">
      <c r="A480" s="11">
        <v>45784</v>
      </c>
      <c r="G480">
        <v>-562.30999999999995</v>
      </c>
    </row>
    <row r="481" spans="1:7" x14ac:dyDescent="0.35">
      <c r="A481" s="11">
        <v>45455</v>
      </c>
      <c r="G481">
        <v>803.62</v>
      </c>
    </row>
    <row r="482" spans="1:7" x14ac:dyDescent="0.35">
      <c r="A482" s="11">
        <v>45135</v>
      </c>
      <c r="G482">
        <v>3739.4</v>
      </c>
    </row>
    <row r="483" spans="1:7" x14ac:dyDescent="0.35">
      <c r="A483" s="11">
        <v>45409</v>
      </c>
      <c r="G483">
        <v>3494.88</v>
      </c>
    </row>
    <row r="484" spans="1:7" x14ac:dyDescent="0.35">
      <c r="A484" s="11">
        <v>45281</v>
      </c>
      <c r="G484">
        <v>-144.08000000000001</v>
      </c>
    </row>
    <row r="485" spans="1:7" x14ac:dyDescent="0.35">
      <c r="A485" s="11">
        <v>45275</v>
      </c>
      <c r="G485">
        <v>805.92</v>
      </c>
    </row>
    <row r="486" spans="1:7" x14ac:dyDescent="0.35">
      <c r="A486" s="11">
        <v>45381</v>
      </c>
      <c r="G486">
        <v>354.67</v>
      </c>
    </row>
    <row r="487" spans="1:7" x14ac:dyDescent="0.35">
      <c r="A487" s="11">
        <v>45468</v>
      </c>
      <c r="G487">
        <v>2712.88</v>
      </c>
    </row>
    <row r="488" spans="1:7" x14ac:dyDescent="0.35">
      <c r="A488" s="11">
        <v>45146</v>
      </c>
      <c r="G488">
        <v>167.72</v>
      </c>
    </row>
    <row r="489" spans="1:7" x14ac:dyDescent="0.35">
      <c r="A489" s="11">
        <v>45639</v>
      </c>
      <c r="G489">
        <v>2310.9</v>
      </c>
    </row>
    <row r="490" spans="1:7" x14ac:dyDescent="0.35">
      <c r="A490" s="11">
        <v>45191</v>
      </c>
      <c r="G490">
        <v>507.1</v>
      </c>
    </row>
    <row r="491" spans="1:7" x14ac:dyDescent="0.35">
      <c r="A491" s="11">
        <v>45379</v>
      </c>
      <c r="G491">
        <v>1473.37</v>
      </c>
    </row>
    <row r="492" spans="1:7" x14ac:dyDescent="0.35">
      <c r="A492" s="11">
        <v>45658</v>
      </c>
      <c r="G492">
        <v>2095.44</v>
      </c>
    </row>
    <row r="493" spans="1:7" x14ac:dyDescent="0.35">
      <c r="A493" s="11">
        <v>45750</v>
      </c>
      <c r="G493">
        <v>2105.48</v>
      </c>
    </row>
    <row r="494" spans="1:7" x14ac:dyDescent="0.35">
      <c r="A494" s="11">
        <v>45385</v>
      </c>
      <c r="G494">
        <v>2788.41</v>
      </c>
    </row>
    <row r="495" spans="1:7" x14ac:dyDescent="0.35">
      <c r="A495" s="11">
        <v>45370</v>
      </c>
      <c r="G495">
        <v>2772.05</v>
      </c>
    </row>
    <row r="496" spans="1:7" x14ac:dyDescent="0.35">
      <c r="A496" s="11">
        <v>45854</v>
      </c>
      <c r="G496">
        <v>3718.11</v>
      </c>
    </row>
    <row r="497" spans="1:7" x14ac:dyDescent="0.35">
      <c r="A497" s="11">
        <v>45437</v>
      </c>
      <c r="G497">
        <v>-300.27999999999997</v>
      </c>
    </row>
    <row r="498" spans="1:7" x14ac:dyDescent="0.35">
      <c r="A498" s="11">
        <v>45255</v>
      </c>
      <c r="G498">
        <v>3874.67</v>
      </c>
    </row>
    <row r="499" spans="1:7" x14ac:dyDescent="0.35">
      <c r="A499" s="11">
        <v>45215</v>
      </c>
      <c r="G499">
        <v>-1152.8599999999999</v>
      </c>
    </row>
    <row r="500" spans="1:7" x14ac:dyDescent="0.35">
      <c r="A500" s="11">
        <v>45858</v>
      </c>
      <c r="G500">
        <v>-82.31</v>
      </c>
    </row>
    <row r="501" spans="1:7" x14ac:dyDescent="0.35">
      <c r="A501" s="11">
        <v>45856</v>
      </c>
      <c r="G501">
        <v>1622.42</v>
      </c>
    </row>
    <row r="502" spans="1:7" x14ac:dyDescent="0.35">
      <c r="A502" s="11">
        <v>45432</v>
      </c>
      <c r="G502">
        <v>2085.94</v>
      </c>
    </row>
    <row r="503" spans="1:7" x14ac:dyDescent="0.35">
      <c r="A503" s="11">
        <v>45171</v>
      </c>
      <c r="G503">
        <v>3874.57</v>
      </c>
    </row>
    <row r="504" spans="1:7" x14ac:dyDescent="0.35">
      <c r="A504" s="11">
        <v>45809</v>
      </c>
      <c r="G504">
        <v>-757.9</v>
      </c>
    </row>
    <row r="505" spans="1:7" x14ac:dyDescent="0.35">
      <c r="A505" s="11">
        <v>45593</v>
      </c>
      <c r="G505">
        <v>282.13</v>
      </c>
    </row>
    <row r="506" spans="1:7" x14ac:dyDescent="0.35">
      <c r="A506" s="11">
        <v>45192</v>
      </c>
      <c r="G506">
        <v>-348.88</v>
      </c>
    </row>
    <row r="507" spans="1:7" x14ac:dyDescent="0.35">
      <c r="A507" s="11">
        <v>45263</v>
      </c>
      <c r="G507">
        <v>1198.75</v>
      </c>
    </row>
    <row r="508" spans="1:7" x14ac:dyDescent="0.35">
      <c r="A508" s="11">
        <v>45136</v>
      </c>
      <c r="G508">
        <v>2413.42</v>
      </c>
    </row>
    <row r="509" spans="1:7" x14ac:dyDescent="0.35">
      <c r="A509" s="11">
        <v>45438</v>
      </c>
      <c r="G509">
        <v>3634.35</v>
      </c>
    </row>
    <row r="510" spans="1:7" x14ac:dyDescent="0.35">
      <c r="A510" s="11">
        <v>45302</v>
      </c>
      <c r="G510">
        <v>430.63</v>
      </c>
    </row>
    <row r="511" spans="1:7" x14ac:dyDescent="0.35">
      <c r="A511" s="11">
        <v>45330</v>
      </c>
      <c r="G511">
        <v>3269.14</v>
      </c>
    </row>
    <row r="512" spans="1:7" x14ac:dyDescent="0.35">
      <c r="A512" s="11">
        <v>45480</v>
      </c>
      <c r="G512">
        <v>3847.48</v>
      </c>
    </row>
    <row r="513" spans="1:7" x14ac:dyDescent="0.35">
      <c r="A513" s="11">
        <v>45154</v>
      </c>
      <c r="G513">
        <v>654.11</v>
      </c>
    </row>
    <row r="514" spans="1:7" x14ac:dyDescent="0.35">
      <c r="A514" s="11">
        <v>45252</v>
      </c>
      <c r="G514">
        <v>374.95</v>
      </c>
    </row>
    <row r="515" spans="1:7" x14ac:dyDescent="0.35">
      <c r="A515" s="11">
        <v>45781</v>
      </c>
      <c r="G515">
        <v>861.92</v>
      </c>
    </row>
    <row r="516" spans="1:7" x14ac:dyDescent="0.35">
      <c r="A516" s="11">
        <v>45442</v>
      </c>
      <c r="G516">
        <v>-785.16</v>
      </c>
    </row>
    <row r="517" spans="1:7" x14ac:dyDescent="0.35">
      <c r="A517" s="11">
        <v>45273</v>
      </c>
      <c r="G517">
        <v>1466.96</v>
      </c>
    </row>
    <row r="518" spans="1:7" x14ac:dyDescent="0.35">
      <c r="A518" s="11">
        <v>45472</v>
      </c>
      <c r="G518">
        <v>689.62</v>
      </c>
    </row>
    <row r="519" spans="1:7" x14ac:dyDescent="0.35">
      <c r="A519" s="11">
        <v>45621</v>
      </c>
      <c r="G519">
        <v>2676.52</v>
      </c>
    </row>
    <row r="520" spans="1:7" x14ac:dyDescent="0.35">
      <c r="A520" s="11">
        <v>45198</v>
      </c>
      <c r="G520">
        <v>3487.39</v>
      </c>
    </row>
    <row r="521" spans="1:7" x14ac:dyDescent="0.35">
      <c r="A521" s="11">
        <v>45173</v>
      </c>
      <c r="G521">
        <v>2297.4</v>
      </c>
    </row>
    <row r="522" spans="1:7" x14ac:dyDescent="0.35">
      <c r="A522" s="11">
        <v>45417</v>
      </c>
      <c r="G522">
        <v>-819.33</v>
      </c>
    </row>
    <row r="523" spans="1:7" x14ac:dyDescent="0.35">
      <c r="A523" s="11">
        <v>45434</v>
      </c>
      <c r="G523">
        <v>2550.88</v>
      </c>
    </row>
    <row r="524" spans="1:7" x14ac:dyDescent="0.35">
      <c r="A524" s="11">
        <v>45276</v>
      </c>
      <c r="G524">
        <v>2933.02</v>
      </c>
    </row>
    <row r="525" spans="1:7" x14ac:dyDescent="0.35">
      <c r="A525" s="11">
        <v>45257</v>
      </c>
      <c r="G525">
        <v>2420.85</v>
      </c>
    </row>
    <row r="526" spans="1:7" x14ac:dyDescent="0.35">
      <c r="A526" s="11">
        <v>45782</v>
      </c>
      <c r="G526">
        <v>1891.48</v>
      </c>
    </row>
    <row r="527" spans="1:7" x14ac:dyDescent="0.35">
      <c r="A527" s="11">
        <v>45489</v>
      </c>
      <c r="G527">
        <v>494.45</v>
      </c>
    </row>
    <row r="528" spans="1:7" x14ac:dyDescent="0.35">
      <c r="A528" s="11">
        <v>45700</v>
      </c>
      <c r="G528">
        <v>155.53</v>
      </c>
    </row>
    <row r="529" spans="7:7" x14ac:dyDescent="0.35">
      <c r="G529">
        <v>-1116.54</v>
      </c>
    </row>
    <row r="530" spans="7:7" x14ac:dyDescent="0.35">
      <c r="G530">
        <v>3171.69</v>
      </c>
    </row>
    <row r="531" spans="7:7" x14ac:dyDescent="0.35">
      <c r="G531">
        <v>2104.46</v>
      </c>
    </row>
    <row r="532" spans="7:7" x14ac:dyDescent="0.35">
      <c r="G532">
        <v>3174.81</v>
      </c>
    </row>
    <row r="533" spans="7:7" x14ac:dyDescent="0.35">
      <c r="G533">
        <v>1726.8</v>
      </c>
    </row>
    <row r="534" spans="7:7" x14ac:dyDescent="0.35">
      <c r="G534">
        <v>506.87</v>
      </c>
    </row>
    <row r="535" spans="7:7" x14ac:dyDescent="0.35">
      <c r="G535">
        <v>-963.73</v>
      </c>
    </row>
    <row r="536" spans="7:7" x14ac:dyDescent="0.35">
      <c r="G536">
        <v>-623.95000000000005</v>
      </c>
    </row>
    <row r="537" spans="7:7" x14ac:dyDescent="0.35">
      <c r="G537">
        <v>3138.32</v>
      </c>
    </row>
    <row r="538" spans="7:7" x14ac:dyDescent="0.35">
      <c r="G538">
        <v>1737.23</v>
      </c>
    </row>
    <row r="539" spans="7:7" x14ac:dyDescent="0.35">
      <c r="G539">
        <v>3951.42</v>
      </c>
    </row>
    <row r="540" spans="7:7" x14ac:dyDescent="0.35">
      <c r="G540">
        <v>491.18</v>
      </c>
    </row>
    <row r="541" spans="7:7" x14ac:dyDescent="0.35">
      <c r="G541">
        <v>67.58</v>
      </c>
    </row>
    <row r="542" spans="7:7" x14ac:dyDescent="0.35">
      <c r="G542">
        <v>-742.85</v>
      </c>
    </row>
    <row r="543" spans="7:7" x14ac:dyDescent="0.35">
      <c r="G543">
        <v>3357.12</v>
      </c>
    </row>
    <row r="544" spans="7:7" x14ac:dyDescent="0.35">
      <c r="G544">
        <v>2731.71</v>
      </c>
    </row>
    <row r="545" spans="7:7" x14ac:dyDescent="0.35">
      <c r="G545">
        <v>3932.36</v>
      </c>
    </row>
    <row r="546" spans="7:7" x14ac:dyDescent="0.35">
      <c r="G546">
        <v>1745.96</v>
      </c>
    </row>
    <row r="547" spans="7:7" x14ac:dyDescent="0.35">
      <c r="G547">
        <v>2447.58</v>
      </c>
    </row>
    <row r="548" spans="7:7" x14ac:dyDescent="0.35">
      <c r="G548">
        <v>3597.08</v>
      </c>
    </row>
    <row r="549" spans="7:7" x14ac:dyDescent="0.35">
      <c r="G549">
        <v>3614.76</v>
      </c>
    </row>
    <row r="550" spans="7:7" x14ac:dyDescent="0.35">
      <c r="G550">
        <v>1119.71</v>
      </c>
    </row>
    <row r="551" spans="7:7" x14ac:dyDescent="0.35">
      <c r="G551">
        <v>1556.61</v>
      </c>
    </row>
    <row r="552" spans="7:7" x14ac:dyDescent="0.35">
      <c r="G552">
        <v>1377.72</v>
      </c>
    </row>
    <row r="553" spans="7:7" x14ac:dyDescent="0.35">
      <c r="G553">
        <v>761.26</v>
      </c>
    </row>
    <row r="554" spans="7:7" x14ac:dyDescent="0.35">
      <c r="G554">
        <v>1457.93</v>
      </c>
    </row>
    <row r="555" spans="7:7" x14ac:dyDescent="0.35">
      <c r="G555">
        <v>3119.37</v>
      </c>
    </row>
    <row r="556" spans="7:7" x14ac:dyDescent="0.35">
      <c r="G556">
        <v>1125.71</v>
      </c>
    </row>
    <row r="557" spans="7:7" x14ac:dyDescent="0.35">
      <c r="G557">
        <v>2528.27</v>
      </c>
    </row>
    <row r="558" spans="7:7" x14ac:dyDescent="0.35">
      <c r="G558">
        <v>262.12</v>
      </c>
    </row>
    <row r="559" spans="7:7" x14ac:dyDescent="0.35">
      <c r="G559">
        <v>-249.45</v>
      </c>
    </row>
    <row r="560" spans="7:7" x14ac:dyDescent="0.35">
      <c r="G560">
        <v>3234.28</v>
      </c>
    </row>
    <row r="561" spans="7:7" x14ac:dyDescent="0.35">
      <c r="G561">
        <v>66.430000000000007</v>
      </c>
    </row>
    <row r="562" spans="7:7" x14ac:dyDescent="0.35">
      <c r="G562">
        <v>681.86</v>
      </c>
    </row>
    <row r="563" spans="7:7" x14ac:dyDescent="0.35">
      <c r="G563">
        <v>1680.5</v>
      </c>
    </row>
    <row r="564" spans="7:7" x14ac:dyDescent="0.35">
      <c r="G564">
        <v>1052.6500000000001</v>
      </c>
    </row>
    <row r="565" spans="7:7" x14ac:dyDescent="0.35">
      <c r="G565">
        <v>1423.83</v>
      </c>
    </row>
    <row r="566" spans="7:7" x14ac:dyDescent="0.35">
      <c r="G566">
        <v>2007.01</v>
      </c>
    </row>
    <row r="567" spans="7:7" x14ac:dyDescent="0.35">
      <c r="G567">
        <v>687.32</v>
      </c>
    </row>
    <row r="568" spans="7:7" x14ac:dyDescent="0.35">
      <c r="G568">
        <v>-637.13</v>
      </c>
    </row>
    <row r="569" spans="7:7" x14ac:dyDescent="0.35">
      <c r="G569">
        <v>1765.36</v>
      </c>
    </row>
    <row r="570" spans="7:7" x14ac:dyDescent="0.35">
      <c r="G570">
        <v>3153.1</v>
      </c>
    </row>
    <row r="571" spans="7:7" x14ac:dyDescent="0.35">
      <c r="G571">
        <v>2913.41</v>
      </c>
    </row>
    <row r="572" spans="7:7" x14ac:dyDescent="0.35">
      <c r="G572">
        <v>-237.9</v>
      </c>
    </row>
    <row r="573" spans="7:7" x14ac:dyDescent="0.35">
      <c r="G573">
        <v>2835.93</v>
      </c>
    </row>
    <row r="574" spans="7:7" x14ac:dyDescent="0.35">
      <c r="G574">
        <v>-987.12</v>
      </c>
    </row>
    <row r="575" spans="7:7" x14ac:dyDescent="0.35">
      <c r="G575">
        <v>756.18</v>
      </c>
    </row>
    <row r="576" spans="7:7" x14ac:dyDescent="0.35">
      <c r="G576">
        <v>3024.11</v>
      </c>
    </row>
    <row r="577" spans="7:7" x14ac:dyDescent="0.35">
      <c r="G577">
        <v>3663.49</v>
      </c>
    </row>
    <row r="578" spans="7:7" x14ac:dyDescent="0.35">
      <c r="G578">
        <v>-1164.3699999999999</v>
      </c>
    </row>
    <row r="579" spans="7:7" x14ac:dyDescent="0.35">
      <c r="G579">
        <v>1344.73</v>
      </c>
    </row>
    <row r="580" spans="7:7" x14ac:dyDescent="0.35">
      <c r="G580">
        <v>3055.36</v>
      </c>
    </row>
    <row r="581" spans="7:7" x14ac:dyDescent="0.35">
      <c r="G581">
        <v>637.62</v>
      </c>
    </row>
    <row r="582" spans="7:7" x14ac:dyDescent="0.35">
      <c r="G582">
        <v>2548.7800000000002</v>
      </c>
    </row>
    <row r="583" spans="7:7" x14ac:dyDescent="0.35">
      <c r="G583">
        <v>1275.23</v>
      </c>
    </row>
    <row r="584" spans="7:7" x14ac:dyDescent="0.35">
      <c r="G584">
        <v>818.65</v>
      </c>
    </row>
    <row r="585" spans="7:7" x14ac:dyDescent="0.35">
      <c r="G585">
        <v>221.41</v>
      </c>
    </row>
    <row r="586" spans="7:7" x14ac:dyDescent="0.35">
      <c r="G586">
        <v>1190.2</v>
      </c>
    </row>
    <row r="587" spans="7:7" x14ac:dyDescent="0.35">
      <c r="G587">
        <v>-406.38</v>
      </c>
    </row>
    <row r="588" spans="7:7" x14ac:dyDescent="0.35">
      <c r="G588">
        <v>2004.4</v>
      </c>
    </row>
    <row r="589" spans="7:7" x14ac:dyDescent="0.35">
      <c r="G589">
        <v>-701.28</v>
      </c>
    </row>
    <row r="590" spans="7:7" x14ac:dyDescent="0.35">
      <c r="G590">
        <v>3961.27</v>
      </c>
    </row>
    <row r="591" spans="7:7" x14ac:dyDescent="0.35">
      <c r="G591">
        <v>1045.5</v>
      </c>
    </row>
    <row r="592" spans="7:7" x14ac:dyDescent="0.35">
      <c r="G592">
        <v>1908.63</v>
      </c>
    </row>
    <row r="593" spans="7:7" x14ac:dyDescent="0.35">
      <c r="G593">
        <v>928.63</v>
      </c>
    </row>
    <row r="594" spans="7:7" x14ac:dyDescent="0.35">
      <c r="G594">
        <v>144.37</v>
      </c>
    </row>
    <row r="595" spans="7:7" x14ac:dyDescent="0.35">
      <c r="G595">
        <v>-712.53</v>
      </c>
    </row>
    <row r="596" spans="7:7" x14ac:dyDescent="0.35">
      <c r="G596">
        <v>2350.69</v>
      </c>
    </row>
    <row r="597" spans="7:7" x14ac:dyDescent="0.35">
      <c r="G597">
        <v>3820.48</v>
      </c>
    </row>
    <row r="598" spans="7:7" x14ac:dyDescent="0.35">
      <c r="G598">
        <v>-295.49</v>
      </c>
    </row>
    <row r="599" spans="7:7" x14ac:dyDescent="0.35">
      <c r="G599">
        <v>3746.48</v>
      </c>
    </row>
    <row r="600" spans="7:7" x14ac:dyDescent="0.35">
      <c r="G600">
        <v>992.14</v>
      </c>
    </row>
    <row r="601" spans="7:7" x14ac:dyDescent="0.35">
      <c r="G601">
        <v>501.65</v>
      </c>
    </row>
    <row r="602" spans="7:7" x14ac:dyDescent="0.35">
      <c r="G602">
        <v>1044.46</v>
      </c>
    </row>
    <row r="603" spans="7:7" x14ac:dyDescent="0.35">
      <c r="G603">
        <v>-609.36</v>
      </c>
    </row>
    <row r="604" spans="7:7" x14ac:dyDescent="0.35">
      <c r="G604">
        <v>1010.96</v>
      </c>
    </row>
    <row r="605" spans="7:7" x14ac:dyDescent="0.35">
      <c r="G605">
        <v>2924.09</v>
      </c>
    </row>
    <row r="606" spans="7:7" x14ac:dyDescent="0.35">
      <c r="G606">
        <v>2857.99</v>
      </c>
    </row>
    <row r="607" spans="7:7" x14ac:dyDescent="0.35">
      <c r="G607">
        <v>-364.23</v>
      </c>
    </row>
    <row r="608" spans="7:7" x14ac:dyDescent="0.35">
      <c r="G608">
        <v>3565.12</v>
      </c>
    </row>
    <row r="609" spans="7:7" x14ac:dyDescent="0.35">
      <c r="G609">
        <v>161.94999999999999</v>
      </c>
    </row>
    <row r="610" spans="7:7" x14ac:dyDescent="0.35">
      <c r="G610">
        <v>3986.03</v>
      </c>
    </row>
    <row r="611" spans="7:7" x14ac:dyDescent="0.35">
      <c r="G611">
        <v>1496.19</v>
      </c>
    </row>
    <row r="612" spans="7:7" x14ac:dyDescent="0.35">
      <c r="G612">
        <v>2588.0300000000002</v>
      </c>
    </row>
    <row r="613" spans="7:7" x14ac:dyDescent="0.35">
      <c r="G613">
        <v>-355.55</v>
      </c>
    </row>
    <row r="614" spans="7:7" x14ac:dyDescent="0.35">
      <c r="G614">
        <v>-763.34</v>
      </c>
    </row>
    <row r="615" spans="7:7" x14ac:dyDescent="0.35">
      <c r="G615">
        <v>1609.7</v>
      </c>
    </row>
    <row r="616" spans="7:7" x14ac:dyDescent="0.35">
      <c r="G616">
        <v>1562.76</v>
      </c>
    </row>
    <row r="617" spans="7:7" x14ac:dyDescent="0.35">
      <c r="G617">
        <v>-1095.1199999999999</v>
      </c>
    </row>
    <row r="618" spans="7:7" x14ac:dyDescent="0.35">
      <c r="G618">
        <v>1804.67</v>
      </c>
    </row>
    <row r="619" spans="7:7" x14ac:dyDescent="0.35">
      <c r="G619">
        <v>2332.29</v>
      </c>
    </row>
    <row r="620" spans="7:7" x14ac:dyDescent="0.35">
      <c r="G620">
        <v>1191.02</v>
      </c>
    </row>
    <row r="621" spans="7:7" x14ac:dyDescent="0.35">
      <c r="G621">
        <v>585.97</v>
      </c>
    </row>
    <row r="622" spans="7:7" x14ac:dyDescent="0.35">
      <c r="G622">
        <v>1143.68</v>
      </c>
    </row>
    <row r="623" spans="7:7" x14ac:dyDescent="0.35">
      <c r="G623">
        <v>-9.69</v>
      </c>
    </row>
    <row r="624" spans="7:7" x14ac:dyDescent="0.35">
      <c r="G624">
        <v>1006.73</v>
      </c>
    </row>
    <row r="625" spans="7:7" x14ac:dyDescent="0.35">
      <c r="G625">
        <v>799.35</v>
      </c>
    </row>
    <row r="626" spans="7:7" x14ac:dyDescent="0.35">
      <c r="G626">
        <v>1504.31</v>
      </c>
    </row>
    <row r="627" spans="7:7" x14ac:dyDescent="0.35">
      <c r="G627">
        <v>-816.55</v>
      </c>
    </row>
    <row r="628" spans="7:7" x14ac:dyDescent="0.35">
      <c r="G628">
        <v>2982.03</v>
      </c>
    </row>
    <row r="629" spans="7:7" x14ac:dyDescent="0.35">
      <c r="G629">
        <v>-834.71</v>
      </c>
    </row>
    <row r="630" spans="7:7" x14ac:dyDescent="0.35">
      <c r="G630">
        <v>3872.35</v>
      </c>
    </row>
    <row r="631" spans="7:7" x14ac:dyDescent="0.35">
      <c r="G631">
        <v>22.93</v>
      </c>
    </row>
    <row r="632" spans="7:7" x14ac:dyDescent="0.35">
      <c r="G632">
        <v>-18.399999999999999</v>
      </c>
    </row>
    <row r="633" spans="7:7" x14ac:dyDescent="0.35">
      <c r="G633">
        <v>1756.75</v>
      </c>
    </row>
    <row r="634" spans="7:7" x14ac:dyDescent="0.35">
      <c r="G634">
        <v>2554.8200000000002</v>
      </c>
    </row>
    <row r="635" spans="7:7" x14ac:dyDescent="0.35">
      <c r="G635">
        <v>1194.43</v>
      </c>
    </row>
    <row r="636" spans="7:7" x14ac:dyDescent="0.35">
      <c r="G636">
        <v>-328.05</v>
      </c>
    </row>
    <row r="637" spans="7:7" x14ac:dyDescent="0.35">
      <c r="G637">
        <v>922.24</v>
      </c>
    </row>
    <row r="638" spans="7:7" x14ac:dyDescent="0.35">
      <c r="G638">
        <v>-615.37</v>
      </c>
    </row>
    <row r="639" spans="7:7" x14ac:dyDescent="0.35">
      <c r="G639">
        <v>2597.58</v>
      </c>
    </row>
    <row r="640" spans="7:7" x14ac:dyDescent="0.35">
      <c r="G640">
        <v>430.88</v>
      </c>
    </row>
    <row r="641" spans="7:7" x14ac:dyDescent="0.35">
      <c r="G641">
        <v>1737</v>
      </c>
    </row>
    <row r="642" spans="7:7" x14ac:dyDescent="0.35">
      <c r="G642">
        <v>2966.12</v>
      </c>
    </row>
    <row r="643" spans="7:7" x14ac:dyDescent="0.35">
      <c r="G643">
        <v>-231.73</v>
      </c>
    </row>
    <row r="644" spans="7:7" x14ac:dyDescent="0.35">
      <c r="G644">
        <v>83.11</v>
      </c>
    </row>
    <row r="645" spans="7:7" x14ac:dyDescent="0.35">
      <c r="G645">
        <v>2270.96</v>
      </c>
    </row>
    <row r="646" spans="7:7" x14ac:dyDescent="0.35">
      <c r="G646">
        <v>2037.76</v>
      </c>
    </row>
    <row r="647" spans="7:7" x14ac:dyDescent="0.35">
      <c r="G647">
        <v>2407.08</v>
      </c>
    </row>
    <row r="648" spans="7:7" x14ac:dyDescent="0.35">
      <c r="G648">
        <v>875.36</v>
      </c>
    </row>
    <row r="649" spans="7:7" x14ac:dyDescent="0.35">
      <c r="G649">
        <v>-65.849999999999994</v>
      </c>
    </row>
    <row r="650" spans="7:7" x14ac:dyDescent="0.35">
      <c r="G650">
        <v>405.67</v>
      </c>
    </row>
    <row r="651" spans="7:7" x14ac:dyDescent="0.35">
      <c r="G651">
        <v>-77.61</v>
      </c>
    </row>
    <row r="652" spans="7:7" x14ac:dyDescent="0.35">
      <c r="G652">
        <v>2098.29</v>
      </c>
    </row>
    <row r="653" spans="7:7" x14ac:dyDescent="0.35">
      <c r="G653">
        <v>1702.06</v>
      </c>
    </row>
    <row r="654" spans="7:7" x14ac:dyDescent="0.35">
      <c r="G654">
        <v>3281.98</v>
      </c>
    </row>
    <row r="655" spans="7:7" x14ac:dyDescent="0.35">
      <c r="G655">
        <v>916.13</v>
      </c>
    </row>
    <row r="656" spans="7:7" x14ac:dyDescent="0.35">
      <c r="G656">
        <v>-596.41</v>
      </c>
    </row>
    <row r="657" spans="7:7" x14ac:dyDescent="0.35">
      <c r="G657">
        <v>593.62</v>
      </c>
    </row>
    <row r="658" spans="7:7" x14ac:dyDescent="0.35">
      <c r="G658">
        <v>2078.39</v>
      </c>
    </row>
    <row r="659" spans="7:7" x14ac:dyDescent="0.35">
      <c r="G659">
        <v>-1145.98</v>
      </c>
    </row>
    <row r="660" spans="7:7" x14ac:dyDescent="0.35">
      <c r="G660">
        <v>-1125.9100000000001</v>
      </c>
    </row>
    <row r="661" spans="7:7" x14ac:dyDescent="0.35">
      <c r="G661">
        <v>1620.37</v>
      </c>
    </row>
    <row r="662" spans="7:7" x14ac:dyDescent="0.35">
      <c r="G662">
        <v>2322.87</v>
      </c>
    </row>
    <row r="663" spans="7:7" x14ac:dyDescent="0.35">
      <c r="G663">
        <v>262.81</v>
      </c>
    </row>
    <row r="664" spans="7:7" x14ac:dyDescent="0.35">
      <c r="G664">
        <v>860.32</v>
      </c>
    </row>
    <row r="665" spans="7:7" x14ac:dyDescent="0.35">
      <c r="G665">
        <v>-831.4</v>
      </c>
    </row>
    <row r="666" spans="7:7" x14ac:dyDescent="0.35">
      <c r="G666">
        <v>2539.92</v>
      </c>
    </row>
    <row r="667" spans="7:7" x14ac:dyDescent="0.35">
      <c r="G667">
        <v>3134.87</v>
      </c>
    </row>
    <row r="668" spans="7:7" x14ac:dyDescent="0.35">
      <c r="G668">
        <v>-16.04</v>
      </c>
    </row>
    <row r="669" spans="7:7" x14ac:dyDescent="0.35">
      <c r="G669">
        <v>575.58000000000004</v>
      </c>
    </row>
    <row r="670" spans="7:7" x14ac:dyDescent="0.35">
      <c r="G670">
        <v>2729.87</v>
      </c>
    </row>
    <row r="671" spans="7:7" x14ac:dyDescent="0.35">
      <c r="G671">
        <v>2191.17</v>
      </c>
    </row>
    <row r="672" spans="7:7" x14ac:dyDescent="0.35">
      <c r="G672">
        <v>-990.99</v>
      </c>
    </row>
    <row r="673" spans="7:7" x14ac:dyDescent="0.35">
      <c r="G673">
        <v>2992.52</v>
      </c>
    </row>
    <row r="674" spans="7:7" x14ac:dyDescent="0.35">
      <c r="G674">
        <v>3407.87</v>
      </c>
    </row>
    <row r="675" spans="7:7" x14ac:dyDescent="0.35">
      <c r="G675">
        <v>2865.93</v>
      </c>
    </row>
    <row r="676" spans="7:7" x14ac:dyDescent="0.35">
      <c r="G676">
        <v>-1193.98</v>
      </c>
    </row>
    <row r="677" spans="7:7" x14ac:dyDescent="0.35">
      <c r="G677">
        <v>3574.05</v>
      </c>
    </row>
    <row r="678" spans="7:7" x14ac:dyDescent="0.35">
      <c r="G678">
        <v>-543.26</v>
      </c>
    </row>
    <row r="679" spans="7:7" x14ac:dyDescent="0.35">
      <c r="G679">
        <v>3988.85</v>
      </c>
    </row>
    <row r="680" spans="7:7" x14ac:dyDescent="0.35">
      <c r="G680">
        <v>-350.03</v>
      </c>
    </row>
    <row r="681" spans="7:7" x14ac:dyDescent="0.35">
      <c r="G681">
        <v>-639.41999999999996</v>
      </c>
    </row>
    <row r="682" spans="7:7" x14ac:dyDescent="0.35">
      <c r="G682">
        <v>458.86</v>
      </c>
    </row>
    <row r="683" spans="7:7" x14ac:dyDescent="0.35">
      <c r="G683">
        <v>1243.95</v>
      </c>
    </row>
    <row r="684" spans="7:7" x14ac:dyDescent="0.35">
      <c r="G684">
        <v>-234.16</v>
      </c>
    </row>
    <row r="685" spans="7:7" x14ac:dyDescent="0.35">
      <c r="G685">
        <v>3841.05</v>
      </c>
    </row>
    <row r="686" spans="7:7" x14ac:dyDescent="0.35">
      <c r="G686">
        <v>3137.85</v>
      </c>
    </row>
    <row r="687" spans="7:7" x14ac:dyDescent="0.35">
      <c r="G687">
        <v>3197.09</v>
      </c>
    </row>
    <row r="688" spans="7:7" x14ac:dyDescent="0.35">
      <c r="G688">
        <v>566.34</v>
      </c>
    </row>
    <row r="689" spans="7:7" x14ac:dyDescent="0.35">
      <c r="G689">
        <v>1365.3</v>
      </c>
    </row>
    <row r="690" spans="7:7" x14ac:dyDescent="0.35">
      <c r="G690">
        <v>650.99</v>
      </c>
    </row>
    <row r="691" spans="7:7" x14ac:dyDescent="0.35">
      <c r="G691">
        <v>1803.25</v>
      </c>
    </row>
    <row r="692" spans="7:7" x14ac:dyDescent="0.35">
      <c r="G692">
        <v>-711.07</v>
      </c>
    </row>
    <row r="693" spans="7:7" x14ac:dyDescent="0.35">
      <c r="G693">
        <v>273.27999999999997</v>
      </c>
    </row>
    <row r="694" spans="7:7" x14ac:dyDescent="0.35">
      <c r="G694">
        <v>3190.43</v>
      </c>
    </row>
    <row r="695" spans="7:7" x14ac:dyDescent="0.35">
      <c r="G695">
        <v>-688.14</v>
      </c>
    </row>
    <row r="696" spans="7:7" x14ac:dyDescent="0.35">
      <c r="G696">
        <v>1550.3</v>
      </c>
    </row>
    <row r="697" spans="7:7" x14ac:dyDescent="0.35">
      <c r="G697">
        <v>771.96</v>
      </c>
    </row>
    <row r="698" spans="7:7" x14ac:dyDescent="0.35">
      <c r="G698">
        <v>1002.21</v>
      </c>
    </row>
    <row r="699" spans="7:7" x14ac:dyDescent="0.35">
      <c r="G699">
        <v>3414.32</v>
      </c>
    </row>
    <row r="700" spans="7:7" x14ac:dyDescent="0.35">
      <c r="G700">
        <v>-109.71</v>
      </c>
    </row>
    <row r="701" spans="7:7" x14ac:dyDescent="0.35">
      <c r="G701">
        <v>1559.28</v>
      </c>
    </row>
    <row r="702" spans="7:7" x14ac:dyDescent="0.35">
      <c r="G702">
        <v>3968.86</v>
      </c>
    </row>
    <row r="703" spans="7:7" x14ac:dyDescent="0.35">
      <c r="G703">
        <v>1053.25</v>
      </c>
    </row>
    <row r="704" spans="7:7" x14ac:dyDescent="0.35">
      <c r="G704">
        <v>191.67</v>
      </c>
    </row>
    <row r="705" spans="7:7" x14ac:dyDescent="0.35">
      <c r="G705">
        <v>-1000.03</v>
      </c>
    </row>
    <row r="706" spans="7:7" x14ac:dyDescent="0.35">
      <c r="G706">
        <v>-127.44</v>
      </c>
    </row>
    <row r="707" spans="7:7" x14ac:dyDescent="0.35">
      <c r="G707">
        <v>-156.47</v>
      </c>
    </row>
    <row r="708" spans="7:7" x14ac:dyDescent="0.35">
      <c r="G708">
        <v>3394.27</v>
      </c>
    </row>
    <row r="709" spans="7:7" x14ac:dyDescent="0.35">
      <c r="G709">
        <v>286.3</v>
      </c>
    </row>
    <row r="710" spans="7:7" x14ac:dyDescent="0.35">
      <c r="G710">
        <v>3747.95</v>
      </c>
    </row>
    <row r="711" spans="7:7" x14ac:dyDescent="0.35">
      <c r="G711">
        <v>2320.4899999999998</v>
      </c>
    </row>
    <row r="712" spans="7:7" x14ac:dyDescent="0.35">
      <c r="G712">
        <v>2447.88</v>
      </c>
    </row>
    <row r="713" spans="7:7" x14ac:dyDescent="0.35">
      <c r="G713">
        <v>-147.78</v>
      </c>
    </row>
    <row r="714" spans="7:7" x14ac:dyDescent="0.35">
      <c r="G714">
        <v>-1195.79</v>
      </c>
    </row>
    <row r="715" spans="7:7" x14ac:dyDescent="0.35">
      <c r="G715">
        <v>780.43</v>
      </c>
    </row>
    <row r="716" spans="7:7" x14ac:dyDescent="0.35">
      <c r="G716">
        <v>1796.17</v>
      </c>
    </row>
    <row r="717" spans="7:7" x14ac:dyDescent="0.35">
      <c r="G717">
        <v>-1104.33</v>
      </c>
    </row>
    <row r="718" spans="7:7" x14ac:dyDescent="0.35">
      <c r="G718">
        <v>-744.45</v>
      </c>
    </row>
    <row r="719" spans="7:7" x14ac:dyDescent="0.35">
      <c r="G719">
        <v>-91.78</v>
      </c>
    </row>
    <row r="720" spans="7:7" x14ac:dyDescent="0.35">
      <c r="G720">
        <v>-716.79</v>
      </c>
    </row>
    <row r="721" spans="7:7" x14ac:dyDescent="0.35">
      <c r="G721">
        <v>2253.08</v>
      </c>
    </row>
    <row r="722" spans="7:7" x14ac:dyDescent="0.35">
      <c r="G722">
        <v>2604.35</v>
      </c>
    </row>
    <row r="723" spans="7:7" x14ac:dyDescent="0.35">
      <c r="G723">
        <v>2944.26</v>
      </c>
    </row>
    <row r="724" spans="7:7" x14ac:dyDescent="0.35">
      <c r="G724">
        <v>2711.75</v>
      </c>
    </row>
    <row r="725" spans="7:7" x14ac:dyDescent="0.35">
      <c r="G725">
        <v>-584.1</v>
      </c>
    </row>
    <row r="726" spans="7:7" x14ac:dyDescent="0.35">
      <c r="G726">
        <v>-291.45</v>
      </c>
    </row>
    <row r="727" spans="7:7" x14ac:dyDescent="0.35">
      <c r="G727">
        <v>3790.63</v>
      </c>
    </row>
    <row r="728" spans="7:7" x14ac:dyDescent="0.35">
      <c r="G728">
        <v>-74</v>
      </c>
    </row>
    <row r="729" spans="7:7" x14ac:dyDescent="0.35">
      <c r="G729">
        <v>-186.9</v>
      </c>
    </row>
    <row r="730" spans="7:7" x14ac:dyDescent="0.35">
      <c r="G730">
        <v>1818.49</v>
      </c>
    </row>
    <row r="731" spans="7:7" x14ac:dyDescent="0.35">
      <c r="G731">
        <v>927.88</v>
      </c>
    </row>
    <row r="732" spans="7:7" x14ac:dyDescent="0.35">
      <c r="G732">
        <v>1218.22</v>
      </c>
    </row>
    <row r="733" spans="7:7" x14ac:dyDescent="0.35">
      <c r="G733">
        <v>-1036.78</v>
      </c>
    </row>
    <row r="734" spans="7:7" x14ac:dyDescent="0.35">
      <c r="G734">
        <v>-950.86</v>
      </c>
    </row>
    <row r="735" spans="7:7" x14ac:dyDescent="0.35">
      <c r="G735">
        <v>629.34</v>
      </c>
    </row>
    <row r="736" spans="7:7" x14ac:dyDescent="0.35">
      <c r="G736">
        <v>-1121.25</v>
      </c>
    </row>
    <row r="737" spans="7:7" x14ac:dyDescent="0.35">
      <c r="G737">
        <v>1398.13</v>
      </c>
    </row>
    <row r="738" spans="7:7" x14ac:dyDescent="0.35">
      <c r="G738">
        <v>488.37</v>
      </c>
    </row>
    <row r="739" spans="7:7" x14ac:dyDescent="0.35">
      <c r="G739">
        <v>345.7</v>
      </c>
    </row>
    <row r="740" spans="7:7" x14ac:dyDescent="0.35">
      <c r="G740">
        <v>2826.57</v>
      </c>
    </row>
    <row r="741" spans="7:7" x14ac:dyDescent="0.35">
      <c r="G741">
        <v>3495.67</v>
      </c>
    </row>
    <row r="742" spans="7:7" x14ac:dyDescent="0.35">
      <c r="G742">
        <v>-371.76</v>
      </c>
    </row>
    <row r="743" spans="7:7" x14ac:dyDescent="0.35">
      <c r="G743">
        <v>-71.05</v>
      </c>
    </row>
    <row r="744" spans="7:7" x14ac:dyDescent="0.35">
      <c r="G744">
        <v>2936.55</v>
      </c>
    </row>
    <row r="745" spans="7:7" x14ac:dyDescent="0.35">
      <c r="G745">
        <v>1560.89</v>
      </c>
    </row>
    <row r="746" spans="7:7" x14ac:dyDescent="0.35">
      <c r="G746">
        <v>-1064.8599999999999</v>
      </c>
    </row>
    <row r="747" spans="7:7" x14ac:dyDescent="0.35">
      <c r="G747">
        <v>157.26</v>
      </c>
    </row>
    <row r="748" spans="7:7" x14ac:dyDescent="0.35">
      <c r="G748">
        <v>819.42</v>
      </c>
    </row>
    <row r="749" spans="7:7" x14ac:dyDescent="0.35">
      <c r="G749">
        <v>3751.45</v>
      </c>
    </row>
    <row r="750" spans="7:7" x14ac:dyDescent="0.35">
      <c r="G750">
        <v>-427.86</v>
      </c>
    </row>
    <row r="751" spans="7:7" x14ac:dyDescent="0.35">
      <c r="G751">
        <v>3043.95</v>
      </c>
    </row>
    <row r="752" spans="7:7" x14ac:dyDescent="0.35">
      <c r="G752">
        <v>478.07</v>
      </c>
    </row>
    <row r="753" spans="7:7" x14ac:dyDescent="0.35">
      <c r="G753">
        <v>1933.1</v>
      </c>
    </row>
    <row r="754" spans="7:7" x14ac:dyDescent="0.35">
      <c r="G754">
        <v>1558.24</v>
      </c>
    </row>
    <row r="755" spans="7:7" x14ac:dyDescent="0.35">
      <c r="G755">
        <v>2596.64</v>
      </c>
    </row>
    <row r="756" spans="7:7" x14ac:dyDescent="0.35">
      <c r="G756">
        <v>639.03</v>
      </c>
    </row>
    <row r="757" spans="7:7" x14ac:dyDescent="0.35">
      <c r="G757">
        <v>-344.67</v>
      </c>
    </row>
    <row r="758" spans="7:7" x14ac:dyDescent="0.35">
      <c r="G758">
        <v>492.35</v>
      </c>
    </row>
    <row r="759" spans="7:7" x14ac:dyDescent="0.35">
      <c r="G759">
        <v>-68.53</v>
      </c>
    </row>
    <row r="760" spans="7:7" x14ac:dyDescent="0.35">
      <c r="G760">
        <v>-429.78</v>
      </c>
    </row>
    <row r="761" spans="7:7" x14ac:dyDescent="0.35">
      <c r="G761">
        <v>3456.5</v>
      </c>
    </row>
    <row r="762" spans="7:7" x14ac:dyDescent="0.35">
      <c r="G762">
        <v>3129.43</v>
      </c>
    </row>
    <row r="763" spans="7:7" x14ac:dyDescent="0.35">
      <c r="G763">
        <v>1604.63</v>
      </c>
    </row>
    <row r="764" spans="7:7" x14ac:dyDescent="0.35">
      <c r="G764">
        <v>1708.88</v>
      </c>
    </row>
    <row r="765" spans="7:7" x14ac:dyDescent="0.35">
      <c r="G765">
        <v>698.79</v>
      </c>
    </row>
    <row r="766" spans="7:7" x14ac:dyDescent="0.35">
      <c r="G766">
        <v>2540.27</v>
      </c>
    </row>
    <row r="767" spans="7:7" x14ac:dyDescent="0.35">
      <c r="G767">
        <v>2469.75</v>
      </c>
    </row>
    <row r="768" spans="7:7" x14ac:dyDescent="0.35">
      <c r="G768">
        <v>2237.39</v>
      </c>
    </row>
    <row r="769" spans="7:7" x14ac:dyDescent="0.35">
      <c r="G769">
        <v>-400.59</v>
      </c>
    </row>
    <row r="770" spans="7:7" x14ac:dyDescent="0.35">
      <c r="G770">
        <v>3397.29</v>
      </c>
    </row>
    <row r="771" spans="7:7" x14ac:dyDescent="0.35">
      <c r="G771">
        <v>2250.9299999999998</v>
      </c>
    </row>
    <row r="772" spans="7:7" x14ac:dyDescent="0.35">
      <c r="G772">
        <v>753.26</v>
      </c>
    </row>
    <row r="773" spans="7:7" x14ac:dyDescent="0.35">
      <c r="G773">
        <v>3166.22</v>
      </c>
    </row>
    <row r="774" spans="7:7" x14ac:dyDescent="0.35">
      <c r="G774">
        <v>2620.9299999999998</v>
      </c>
    </row>
    <row r="775" spans="7:7" x14ac:dyDescent="0.35">
      <c r="G775">
        <v>665.39</v>
      </c>
    </row>
    <row r="776" spans="7:7" x14ac:dyDescent="0.35">
      <c r="G776">
        <v>727.92</v>
      </c>
    </row>
    <row r="777" spans="7:7" x14ac:dyDescent="0.35">
      <c r="G777">
        <v>1172.3900000000001</v>
      </c>
    </row>
    <row r="778" spans="7:7" x14ac:dyDescent="0.35">
      <c r="G778">
        <v>3079.48</v>
      </c>
    </row>
    <row r="779" spans="7:7" x14ac:dyDescent="0.35">
      <c r="G779">
        <v>333.36</v>
      </c>
    </row>
    <row r="780" spans="7:7" x14ac:dyDescent="0.35">
      <c r="G780">
        <v>3466.33</v>
      </c>
    </row>
    <row r="781" spans="7:7" x14ac:dyDescent="0.35">
      <c r="G781">
        <v>575.73</v>
      </c>
    </row>
    <row r="782" spans="7:7" x14ac:dyDescent="0.35">
      <c r="G782">
        <v>2323.02</v>
      </c>
    </row>
    <row r="783" spans="7:7" x14ac:dyDescent="0.35">
      <c r="G783">
        <v>1995.69</v>
      </c>
    </row>
    <row r="784" spans="7:7" x14ac:dyDescent="0.35">
      <c r="G784">
        <v>2234.16</v>
      </c>
    </row>
    <row r="785" spans="7:7" x14ac:dyDescent="0.35">
      <c r="G785">
        <v>3279.17</v>
      </c>
    </row>
    <row r="786" spans="7:7" x14ac:dyDescent="0.35">
      <c r="G786">
        <v>-821.76</v>
      </c>
    </row>
    <row r="787" spans="7:7" x14ac:dyDescent="0.35">
      <c r="G787">
        <v>3075.35</v>
      </c>
    </row>
    <row r="788" spans="7:7" x14ac:dyDescent="0.35">
      <c r="G788">
        <v>2777.67</v>
      </c>
    </row>
    <row r="789" spans="7:7" x14ac:dyDescent="0.35">
      <c r="G789">
        <v>1541.73</v>
      </c>
    </row>
    <row r="790" spans="7:7" x14ac:dyDescent="0.35">
      <c r="G790">
        <v>2968.2</v>
      </c>
    </row>
    <row r="791" spans="7:7" x14ac:dyDescent="0.35">
      <c r="G791">
        <v>3073.4</v>
      </c>
    </row>
    <row r="792" spans="7:7" x14ac:dyDescent="0.35">
      <c r="G792">
        <v>2303.27</v>
      </c>
    </row>
    <row r="793" spans="7:7" x14ac:dyDescent="0.35">
      <c r="G793">
        <v>2365.6999999999998</v>
      </c>
    </row>
    <row r="794" spans="7:7" x14ac:dyDescent="0.35">
      <c r="G794">
        <v>522.92999999999995</v>
      </c>
    </row>
    <row r="795" spans="7:7" x14ac:dyDescent="0.35">
      <c r="G795">
        <v>2459.52</v>
      </c>
    </row>
    <row r="796" spans="7:7" x14ac:dyDescent="0.35">
      <c r="G796">
        <v>570.47</v>
      </c>
    </row>
    <row r="797" spans="7:7" x14ac:dyDescent="0.35">
      <c r="G797">
        <v>3772.99</v>
      </c>
    </row>
    <row r="798" spans="7:7" x14ac:dyDescent="0.35">
      <c r="G798">
        <v>2276.9899999999998</v>
      </c>
    </row>
    <row r="799" spans="7:7" x14ac:dyDescent="0.35">
      <c r="G799">
        <v>1770.74</v>
      </c>
    </row>
    <row r="800" spans="7:7" x14ac:dyDescent="0.35">
      <c r="G800">
        <v>2962.69</v>
      </c>
    </row>
    <row r="801" spans="7:7" x14ac:dyDescent="0.35">
      <c r="G801">
        <v>-651.61</v>
      </c>
    </row>
    <row r="802" spans="7:7" x14ac:dyDescent="0.35">
      <c r="G802">
        <v>3753.82</v>
      </c>
    </row>
    <row r="803" spans="7:7" x14ac:dyDescent="0.35">
      <c r="G803">
        <v>497.69</v>
      </c>
    </row>
    <row r="804" spans="7:7" x14ac:dyDescent="0.35">
      <c r="G804">
        <v>-1110.6199999999999</v>
      </c>
    </row>
    <row r="805" spans="7:7" x14ac:dyDescent="0.35">
      <c r="G805">
        <v>-362.26</v>
      </c>
    </row>
    <row r="806" spans="7:7" x14ac:dyDescent="0.35">
      <c r="G806">
        <v>-646.26</v>
      </c>
    </row>
    <row r="807" spans="7:7" x14ac:dyDescent="0.35">
      <c r="G807">
        <v>2708.1</v>
      </c>
    </row>
    <row r="808" spans="7:7" x14ac:dyDescent="0.35">
      <c r="G808">
        <v>3295.17</v>
      </c>
    </row>
    <row r="809" spans="7:7" x14ac:dyDescent="0.35">
      <c r="G809">
        <v>1932.88</v>
      </c>
    </row>
    <row r="810" spans="7:7" x14ac:dyDescent="0.35">
      <c r="G810">
        <v>-1076.72</v>
      </c>
    </row>
    <row r="811" spans="7:7" x14ac:dyDescent="0.35">
      <c r="G811">
        <v>3724.01</v>
      </c>
    </row>
    <row r="812" spans="7:7" x14ac:dyDescent="0.35">
      <c r="G812">
        <v>3074.24</v>
      </c>
    </row>
    <row r="813" spans="7:7" x14ac:dyDescent="0.35">
      <c r="G813">
        <v>94.77</v>
      </c>
    </row>
    <row r="814" spans="7:7" x14ac:dyDescent="0.35">
      <c r="G814">
        <v>1039.0899999999999</v>
      </c>
    </row>
    <row r="815" spans="7:7" x14ac:dyDescent="0.35">
      <c r="G815">
        <v>868.59</v>
      </c>
    </row>
    <row r="816" spans="7:7" x14ac:dyDescent="0.35">
      <c r="G816">
        <v>3355.12</v>
      </c>
    </row>
    <row r="817" spans="7:7" x14ac:dyDescent="0.35">
      <c r="G817">
        <v>3364.85</v>
      </c>
    </row>
    <row r="818" spans="7:7" x14ac:dyDescent="0.35">
      <c r="G818">
        <v>1316.3</v>
      </c>
    </row>
    <row r="819" spans="7:7" x14ac:dyDescent="0.35">
      <c r="G819">
        <v>493.35</v>
      </c>
    </row>
    <row r="820" spans="7:7" x14ac:dyDescent="0.35">
      <c r="G820">
        <v>3050.7</v>
      </c>
    </row>
    <row r="821" spans="7:7" x14ac:dyDescent="0.35">
      <c r="G821">
        <v>271.37</v>
      </c>
    </row>
    <row r="822" spans="7:7" x14ac:dyDescent="0.35">
      <c r="G822">
        <v>3005.88</v>
      </c>
    </row>
    <row r="823" spans="7:7" x14ac:dyDescent="0.35">
      <c r="G823">
        <v>-127.25</v>
      </c>
    </row>
    <row r="824" spans="7:7" x14ac:dyDescent="0.35">
      <c r="G824">
        <v>-1038.79</v>
      </c>
    </row>
    <row r="825" spans="7:7" x14ac:dyDescent="0.35">
      <c r="G825">
        <v>-471.86</v>
      </c>
    </row>
    <row r="826" spans="7:7" x14ac:dyDescent="0.35">
      <c r="G826">
        <v>2696.49</v>
      </c>
    </row>
    <row r="827" spans="7:7" x14ac:dyDescent="0.35">
      <c r="G827">
        <v>-117.68</v>
      </c>
    </row>
    <row r="828" spans="7:7" x14ac:dyDescent="0.35">
      <c r="G828">
        <v>450.75</v>
      </c>
    </row>
    <row r="829" spans="7:7" x14ac:dyDescent="0.35">
      <c r="G829">
        <v>313.58</v>
      </c>
    </row>
    <row r="830" spans="7:7" x14ac:dyDescent="0.35">
      <c r="G830">
        <v>460.06</v>
      </c>
    </row>
    <row r="831" spans="7:7" x14ac:dyDescent="0.35">
      <c r="G831">
        <v>-419.24</v>
      </c>
    </row>
    <row r="832" spans="7:7" x14ac:dyDescent="0.35">
      <c r="G832">
        <v>1129.1099999999999</v>
      </c>
    </row>
    <row r="833" spans="7:7" x14ac:dyDescent="0.35">
      <c r="G833">
        <v>-679.74</v>
      </c>
    </row>
    <row r="834" spans="7:7" x14ac:dyDescent="0.35">
      <c r="G834">
        <v>1068.18</v>
      </c>
    </row>
    <row r="835" spans="7:7" x14ac:dyDescent="0.35">
      <c r="G835">
        <v>638.29999999999995</v>
      </c>
    </row>
    <row r="836" spans="7:7" x14ac:dyDescent="0.35">
      <c r="G836">
        <v>3833.04</v>
      </c>
    </row>
    <row r="837" spans="7:7" x14ac:dyDescent="0.35">
      <c r="G837">
        <v>-1182.29</v>
      </c>
    </row>
    <row r="838" spans="7:7" x14ac:dyDescent="0.35">
      <c r="G838">
        <v>3750.11</v>
      </c>
    </row>
    <row r="839" spans="7:7" x14ac:dyDescent="0.35">
      <c r="G839">
        <v>147.79</v>
      </c>
    </row>
    <row r="840" spans="7:7" x14ac:dyDescent="0.35">
      <c r="G840">
        <v>931.4</v>
      </c>
    </row>
    <row r="841" spans="7:7" x14ac:dyDescent="0.35">
      <c r="G841">
        <v>3809.54</v>
      </c>
    </row>
    <row r="842" spans="7:7" x14ac:dyDescent="0.35">
      <c r="G842">
        <v>3277.67</v>
      </c>
    </row>
    <row r="843" spans="7:7" x14ac:dyDescent="0.35">
      <c r="G843">
        <v>517.16999999999996</v>
      </c>
    </row>
    <row r="844" spans="7:7" x14ac:dyDescent="0.35">
      <c r="G844">
        <v>-156.44999999999999</v>
      </c>
    </row>
    <row r="845" spans="7:7" x14ac:dyDescent="0.35">
      <c r="G845">
        <v>166.42</v>
      </c>
    </row>
    <row r="846" spans="7:7" x14ac:dyDescent="0.35">
      <c r="G846">
        <v>-871.1</v>
      </c>
    </row>
    <row r="847" spans="7:7" x14ac:dyDescent="0.35">
      <c r="G847">
        <v>1283.6199999999999</v>
      </c>
    </row>
    <row r="848" spans="7:7" x14ac:dyDescent="0.35">
      <c r="G848">
        <v>-402.6</v>
      </c>
    </row>
    <row r="849" spans="7:7" x14ac:dyDescent="0.35">
      <c r="G849">
        <v>-548</v>
      </c>
    </row>
    <row r="850" spans="7:7" x14ac:dyDescent="0.35">
      <c r="G850">
        <v>544.14</v>
      </c>
    </row>
    <row r="851" spans="7:7" x14ac:dyDescent="0.35">
      <c r="G851">
        <v>3860.59</v>
      </c>
    </row>
    <row r="852" spans="7:7" x14ac:dyDescent="0.35">
      <c r="G852">
        <v>3692.43</v>
      </c>
    </row>
    <row r="853" spans="7:7" x14ac:dyDescent="0.35">
      <c r="G853">
        <v>-1137.29</v>
      </c>
    </row>
    <row r="854" spans="7:7" x14ac:dyDescent="0.35">
      <c r="G854">
        <v>-549.04999999999995</v>
      </c>
    </row>
    <row r="855" spans="7:7" x14ac:dyDescent="0.35">
      <c r="G855">
        <v>3674.74</v>
      </c>
    </row>
    <row r="856" spans="7:7" x14ac:dyDescent="0.35">
      <c r="G856">
        <v>3909.92</v>
      </c>
    </row>
    <row r="857" spans="7:7" x14ac:dyDescent="0.35">
      <c r="G857">
        <v>1383.01</v>
      </c>
    </row>
    <row r="858" spans="7:7" x14ac:dyDescent="0.35">
      <c r="G858">
        <v>1939.56</v>
      </c>
    </row>
    <row r="859" spans="7:7" x14ac:dyDescent="0.35">
      <c r="G859">
        <v>2863.56</v>
      </c>
    </row>
    <row r="860" spans="7:7" x14ac:dyDescent="0.35">
      <c r="G860">
        <v>-6.91</v>
      </c>
    </row>
    <row r="861" spans="7:7" x14ac:dyDescent="0.35">
      <c r="G861">
        <v>2150.16</v>
      </c>
    </row>
    <row r="862" spans="7:7" x14ac:dyDescent="0.35">
      <c r="G862">
        <v>2621.5</v>
      </c>
    </row>
    <row r="863" spans="7:7" x14ac:dyDescent="0.35">
      <c r="G863">
        <v>1216.3399999999999</v>
      </c>
    </row>
    <row r="864" spans="7:7" x14ac:dyDescent="0.35">
      <c r="G864">
        <v>3594.94</v>
      </c>
    </row>
    <row r="865" spans="7:7" x14ac:dyDescent="0.35">
      <c r="G865">
        <v>2059.4</v>
      </c>
    </row>
    <row r="866" spans="7:7" x14ac:dyDescent="0.35">
      <c r="G866">
        <v>3700.77</v>
      </c>
    </row>
    <row r="867" spans="7:7" x14ac:dyDescent="0.35">
      <c r="G867">
        <v>1820.38</v>
      </c>
    </row>
    <row r="868" spans="7:7" x14ac:dyDescent="0.35">
      <c r="G868">
        <v>2815.43</v>
      </c>
    </row>
    <row r="869" spans="7:7" x14ac:dyDescent="0.35">
      <c r="G869">
        <v>-198</v>
      </c>
    </row>
    <row r="870" spans="7:7" x14ac:dyDescent="0.35">
      <c r="G870">
        <v>3126.66</v>
      </c>
    </row>
    <row r="871" spans="7:7" x14ac:dyDescent="0.35">
      <c r="G871">
        <v>-65.959999999999994</v>
      </c>
    </row>
    <row r="872" spans="7:7" x14ac:dyDescent="0.35">
      <c r="G872">
        <v>1159.57</v>
      </c>
    </row>
    <row r="873" spans="7:7" x14ac:dyDescent="0.35">
      <c r="G873">
        <v>491.85</v>
      </c>
    </row>
    <row r="874" spans="7:7" x14ac:dyDescent="0.35">
      <c r="G874">
        <v>2484.31</v>
      </c>
    </row>
    <row r="875" spans="7:7" x14ac:dyDescent="0.35">
      <c r="G875">
        <v>-592.41</v>
      </c>
    </row>
    <row r="876" spans="7:7" x14ac:dyDescent="0.35">
      <c r="G876">
        <v>2785.94</v>
      </c>
    </row>
    <row r="877" spans="7:7" x14ac:dyDescent="0.35">
      <c r="G877">
        <v>2418.7399999999998</v>
      </c>
    </row>
    <row r="878" spans="7:7" x14ac:dyDescent="0.35">
      <c r="G878">
        <v>2967.22</v>
      </c>
    </row>
    <row r="879" spans="7:7" x14ac:dyDescent="0.35">
      <c r="G879">
        <v>-288.77</v>
      </c>
    </row>
    <row r="880" spans="7:7" x14ac:dyDescent="0.35">
      <c r="G880">
        <v>28.77</v>
      </c>
    </row>
    <row r="881" spans="7:7" x14ac:dyDescent="0.35">
      <c r="G881">
        <v>36.700000000000003</v>
      </c>
    </row>
    <row r="882" spans="7:7" x14ac:dyDescent="0.35">
      <c r="G882">
        <v>3419.32</v>
      </c>
    </row>
    <row r="883" spans="7:7" x14ac:dyDescent="0.35">
      <c r="G883">
        <v>1090.52</v>
      </c>
    </row>
    <row r="884" spans="7:7" x14ac:dyDescent="0.35">
      <c r="G884">
        <v>1720.4</v>
      </c>
    </row>
    <row r="885" spans="7:7" x14ac:dyDescent="0.35">
      <c r="G885">
        <v>1861.15</v>
      </c>
    </row>
    <row r="886" spans="7:7" x14ac:dyDescent="0.35">
      <c r="G886">
        <v>-1133.4000000000001</v>
      </c>
    </row>
    <row r="887" spans="7:7" x14ac:dyDescent="0.35">
      <c r="G887">
        <v>-1117.98</v>
      </c>
    </row>
    <row r="888" spans="7:7" x14ac:dyDescent="0.35">
      <c r="G888">
        <v>1921.82</v>
      </c>
    </row>
    <row r="889" spans="7:7" x14ac:dyDescent="0.35">
      <c r="G889">
        <v>3176.71</v>
      </c>
    </row>
    <row r="890" spans="7:7" x14ac:dyDescent="0.35">
      <c r="G890">
        <v>-694.97</v>
      </c>
    </row>
    <row r="891" spans="7:7" x14ac:dyDescent="0.35">
      <c r="G891">
        <v>1350.25</v>
      </c>
    </row>
    <row r="892" spans="7:7" x14ac:dyDescent="0.35">
      <c r="G892">
        <v>492.62</v>
      </c>
    </row>
    <row r="893" spans="7:7" x14ac:dyDescent="0.35">
      <c r="G893">
        <v>3977.41</v>
      </c>
    </row>
    <row r="894" spans="7:7" x14ac:dyDescent="0.35">
      <c r="G894">
        <v>2732.23</v>
      </c>
    </row>
    <row r="895" spans="7:7" x14ac:dyDescent="0.35">
      <c r="G895">
        <v>-532.65</v>
      </c>
    </row>
    <row r="896" spans="7:7" x14ac:dyDescent="0.35">
      <c r="G896">
        <v>1328.68</v>
      </c>
    </row>
    <row r="897" spans="7:7" x14ac:dyDescent="0.35">
      <c r="G897">
        <v>2752.18</v>
      </c>
    </row>
    <row r="898" spans="7:7" x14ac:dyDescent="0.35">
      <c r="G898">
        <v>693.29</v>
      </c>
    </row>
    <row r="899" spans="7:7" x14ac:dyDescent="0.35">
      <c r="G899">
        <v>-236.15</v>
      </c>
    </row>
    <row r="900" spans="7:7" x14ac:dyDescent="0.35">
      <c r="G900">
        <v>-1181.06</v>
      </c>
    </row>
    <row r="901" spans="7:7" x14ac:dyDescent="0.35">
      <c r="G901">
        <v>2058.9899999999998</v>
      </c>
    </row>
    <row r="902" spans="7:7" x14ac:dyDescent="0.35">
      <c r="G902">
        <v>551.46</v>
      </c>
    </row>
    <row r="903" spans="7:7" x14ac:dyDescent="0.35">
      <c r="G903">
        <v>1345.4</v>
      </c>
    </row>
    <row r="904" spans="7:7" x14ac:dyDescent="0.35">
      <c r="G904">
        <v>-1197.5999999999999</v>
      </c>
    </row>
    <row r="905" spans="7:7" x14ac:dyDescent="0.35">
      <c r="G905">
        <v>-965.5</v>
      </c>
    </row>
    <row r="906" spans="7:7" x14ac:dyDescent="0.35">
      <c r="G906">
        <v>1561.59</v>
      </c>
    </row>
    <row r="907" spans="7:7" x14ac:dyDescent="0.35">
      <c r="G907">
        <v>-440.44</v>
      </c>
    </row>
    <row r="908" spans="7:7" x14ac:dyDescent="0.35">
      <c r="G908">
        <v>2219.8200000000002</v>
      </c>
    </row>
    <row r="909" spans="7:7" x14ac:dyDescent="0.35">
      <c r="G909">
        <v>3187.59</v>
      </c>
    </row>
    <row r="910" spans="7:7" x14ac:dyDescent="0.35">
      <c r="G910">
        <v>2868.91</v>
      </c>
    </row>
    <row r="911" spans="7:7" x14ac:dyDescent="0.35">
      <c r="G911">
        <v>634.64</v>
      </c>
    </row>
    <row r="912" spans="7:7" x14ac:dyDescent="0.35">
      <c r="G912">
        <v>88.55</v>
      </c>
    </row>
    <row r="913" spans="7:7" x14ac:dyDescent="0.35">
      <c r="G913">
        <v>31.3</v>
      </c>
    </row>
    <row r="914" spans="7:7" x14ac:dyDescent="0.35">
      <c r="G914">
        <v>2434.87</v>
      </c>
    </row>
    <row r="915" spans="7:7" x14ac:dyDescent="0.35">
      <c r="G915">
        <v>3601.48</v>
      </c>
    </row>
    <row r="916" spans="7:7" x14ac:dyDescent="0.35">
      <c r="G916">
        <v>3095.64</v>
      </c>
    </row>
    <row r="917" spans="7:7" x14ac:dyDescent="0.35">
      <c r="G917">
        <v>3855.21</v>
      </c>
    </row>
    <row r="918" spans="7:7" x14ac:dyDescent="0.35">
      <c r="G918">
        <v>-734.72</v>
      </c>
    </row>
    <row r="919" spans="7:7" x14ac:dyDescent="0.35">
      <c r="G919">
        <v>2520.02</v>
      </c>
    </row>
    <row r="920" spans="7:7" x14ac:dyDescent="0.35">
      <c r="G920">
        <v>635.39</v>
      </c>
    </row>
    <row r="921" spans="7:7" x14ac:dyDescent="0.35">
      <c r="G921">
        <v>-1049.73</v>
      </c>
    </row>
    <row r="922" spans="7:7" x14ac:dyDescent="0.35">
      <c r="G922">
        <v>2527.96</v>
      </c>
    </row>
    <row r="923" spans="7:7" x14ac:dyDescent="0.35">
      <c r="G923">
        <v>1087.27</v>
      </c>
    </row>
    <row r="924" spans="7:7" x14ac:dyDescent="0.35">
      <c r="G924">
        <v>939.38</v>
      </c>
    </row>
    <row r="925" spans="7:7" x14ac:dyDescent="0.35">
      <c r="G925">
        <v>1125.29</v>
      </c>
    </row>
    <row r="926" spans="7:7" x14ac:dyDescent="0.35">
      <c r="G926">
        <v>3435.01</v>
      </c>
    </row>
    <row r="927" spans="7:7" x14ac:dyDescent="0.35">
      <c r="G927">
        <v>2968.24</v>
      </c>
    </row>
    <row r="928" spans="7:7" x14ac:dyDescent="0.35">
      <c r="G928">
        <v>-1100.45</v>
      </c>
    </row>
    <row r="929" spans="7:7" x14ac:dyDescent="0.35">
      <c r="G929">
        <v>2013.96</v>
      </c>
    </row>
    <row r="930" spans="7:7" x14ac:dyDescent="0.35">
      <c r="G930">
        <v>611.80999999999995</v>
      </c>
    </row>
    <row r="931" spans="7:7" x14ac:dyDescent="0.35">
      <c r="G931">
        <v>-92.45</v>
      </c>
    </row>
    <row r="932" spans="7:7" x14ac:dyDescent="0.35">
      <c r="G932">
        <v>324.37</v>
      </c>
    </row>
    <row r="933" spans="7:7" x14ac:dyDescent="0.35">
      <c r="G933">
        <v>2494.21</v>
      </c>
    </row>
    <row r="934" spans="7:7" x14ac:dyDescent="0.35">
      <c r="G934">
        <v>888.87</v>
      </c>
    </row>
    <row r="935" spans="7:7" x14ac:dyDescent="0.35">
      <c r="G935">
        <v>1686.78</v>
      </c>
    </row>
    <row r="936" spans="7:7" x14ac:dyDescent="0.35">
      <c r="G936">
        <v>3264.03</v>
      </c>
    </row>
    <row r="937" spans="7:7" x14ac:dyDescent="0.35">
      <c r="G937">
        <v>3517.65</v>
      </c>
    </row>
    <row r="938" spans="7:7" x14ac:dyDescent="0.35">
      <c r="G938">
        <v>61.83</v>
      </c>
    </row>
    <row r="939" spans="7:7" x14ac:dyDescent="0.35">
      <c r="G939">
        <v>-744.54</v>
      </c>
    </row>
    <row r="940" spans="7:7" x14ac:dyDescent="0.35">
      <c r="G940">
        <v>-367.73</v>
      </c>
    </row>
    <row r="941" spans="7:7" x14ac:dyDescent="0.35">
      <c r="G941">
        <v>1877.19</v>
      </c>
    </row>
    <row r="942" spans="7:7" x14ac:dyDescent="0.35">
      <c r="G942">
        <v>1560.81</v>
      </c>
    </row>
    <row r="943" spans="7:7" x14ac:dyDescent="0.35">
      <c r="G943">
        <v>2194.69</v>
      </c>
    </row>
    <row r="944" spans="7:7" x14ac:dyDescent="0.35">
      <c r="G944">
        <v>-411.55</v>
      </c>
    </row>
    <row r="945" spans="7:7" x14ac:dyDescent="0.35">
      <c r="G945">
        <v>-271.02999999999997</v>
      </c>
    </row>
    <row r="946" spans="7:7" x14ac:dyDescent="0.35">
      <c r="G946">
        <v>1603.13</v>
      </c>
    </row>
    <row r="947" spans="7:7" x14ac:dyDescent="0.35">
      <c r="G947">
        <v>2808</v>
      </c>
    </row>
    <row r="948" spans="7:7" x14ac:dyDescent="0.35">
      <c r="G948">
        <v>42.14</v>
      </c>
    </row>
    <row r="949" spans="7:7" x14ac:dyDescent="0.35">
      <c r="G949">
        <v>2968.78</v>
      </c>
    </row>
    <row r="950" spans="7:7" x14ac:dyDescent="0.35">
      <c r="G950">
        <v>-760.63</v>
      </c>
    </row>
    <row r="951" spans="7:7" x14ac:dyDescent="0.35">
      <c r="G951">
        <v>2328.33</v>
      </c>
    </row>
    <row r="952" spans="7:7" x14ac:dyDescent="0.35">
      <c r="G952">
        <v>1456.87</v>
      </c>
    </row>
    <row r="953" spans="7:7" x14ac:dyDescent="0.35">
      <c r="G953">
        <v>457.93</v>
      </c>
    </row>
    <row r="954" spans="7:7" x14ac:dyDescent="0.35">
      <c r="G954">
        <v>2709.18</v>
      </c>
    </row>
    <row r="955" spans="7:7" x14ac:dyDescent="0.35">
      <c r="G955">
        <v>2055.67</v>
      </c>
    </row>
    <row r="956" spans="7:7" x14ac:dyDescent="0.35">
      <c r="G956">
        <v>3969.18</v>
      </c>
    </row>
    <row r="957" spans="7:7" x14ac:dyDescent="0.35">
      <c r="G957">
        <v>896.94</v>
      </c>
    </row>
    <row r="958" spans="7:7" x14ac:dyDescent="0.35">
      <c r="G958">
        <v>425.5</v>
      </c>
    </row>
    <row r="959" spans="7:7" x14ac:dyDescent="0.35">
      <c r="G959">
        <v>751.76</v>
      </c>
    </row>
    <row r="960" spans="7:7" x14ac:dyDescent="0.35">
      <c r="G960">
        <v>2009.69</v>
      </c>
    </row>
    <row r="961" spans="7:7" x14ac:dyDescent="0.35">
      <c r="G961">
        <v>-582.02</v>
      </c>
    </row>
    <row r="962" spans="7:7" x14ac:dyDescent="0.35">
      <c r="G962">
        <v>2866.39</v>
      </c>
    </row>
    <row r="963" spans="7:7" x14ac:dyDescent="0.35">
      <c r="G963">
        <v>1565.51</v>
      </c>
    </row>
    <row r="964" spans="7:7" x14ac:dyDescent="0.35">
      <c r="G964">
        <v>2854.21</v>
      </c>
    </row>
    <row r="965" spans="7:7" x14ac:dyDescent="0.35">
      <c r="G965">
        <v>912.61</v>
      </c>
    </row>
    <row r="966" spans="7:7" x14ac:dyDescent="0.35">
      <c r="G966">
        <v>3611.24</v>
      </c>
    </row>
    <row r="967" spans="7:7" x14ac:dyDescent="0.35">
      <c r="G967">
        <v>1986.27</v>
      </c>
    </row>
    <row r="968" spans="7:7" x14ac:dyDescent="0.35">
      <c r="G968">
        <v>160.72999999999999</v>
      </c>
    </row>
    <row r="969" spans="7:7" x14ac:dyDescent="0.35">
      <c r="G969">
        <v>1368.59</v>
      </c>
    </row>
    <row r="970" spans="7:7" x14ac:dyDescent="0.35">
      <c r="G970">
        <v>2025.11</v>
      </c>
    </row>
    <row r="971" spans="7:7" x14ac:dyDescent="0.35">
      <c r="G971">
        <v>3221.7</v>
      </c>
    </row>
    <row r="972" spans="7:7" x14ac:dyDescent="0.35">
      <c r="G972">
        <v>-857.15</v>
      </c>
    </row>
    <row r="973" spans="7:7" x14ac:dyDescent="0.35">
      <c r="G973">
        <v>2109.6799999999998</v>
      </c>
    </row>
    <row r="974" spans="7:7" x14ac:dyDescent="0.35">
      <c r="G974">
        <v>2508.13</v>
      </c>
    </row>
    <row r="975" spans="7:7" x14ac:dyDescent="0.35">
      <c r="G975">
        <v>-514.9</v>
      </c>
    </row>
    <row r="976" spans="7:7" x14ac:dyDescent="0.35">
      <c r="G976">
        <v>3807.88</v>
      </c>
    </row>
    <row r="977" spans="7:7" x14ac:dyDescent="0.35">
      <c r="G977">
        <v>1151.76</v>
      </c>
    </row>
    <row r="978" spans="7:7" x14ac:dyDescent="0.35">
      <c r="G978">
        <v>2731.04</v>
      </c>
    </row>
    <row r="979" spans="7:7" x14ac:dyDescent="0.35">
      <c r="G979">
        <v>2593.48</v>
      </c>
    </row>
    <row r="980" spans="7:7" x14ac:dyDescent="0.35">
      <c r="G980">
        <v>3088.54</v>
      </c>
    </row>
    <row r="981" spans="7:7" x14ac:dyDescent="0.35">
      <c r="G981">
        <v>-458.05</v>
      </c>
    </row>
    <row r="982" spans="7:7" x14ac:dyDescent="0.35">
      <c r="G982">
        <v>-604.23</v>
      </c>
    </row>
    <row r="983" spans="7:7" x14ac:dyDescent="0.35">
      <c r="G983">
        <v>3620.9</v>
      </c>
    </row>
    <row r="984" spans="7:7" x14ac:dyDescent="0.35">
      <c r="G984">
        <v>3634.75</v>
      </c>
    </row>
    <row r="985" spans="7:7" x14ac:dyDescent="0.35">
      <c r="G985">
        <v>2859.55</v>
      </c>
    </row>
    <row r="986" spans="7:7" x14ac:dyDescent="0.35">
      <c r="G986">
        <v>571.79999999999995</v>
      </c>
    </row>
    <row r="987" spans="7:7" x14ac:dyDescent="0.35">
      <c r="G987">
        <v>327.76</v>
      </c>
    </row>
    <row r="988" spans="7:7" x14ac:dyDescent="0.35">
      <c r="G988">
        <v>2926.28</v>
      </c>
    </row>
    <row r="989" spans="7:7" x14ac:dyDescent="0.35">
      <c r="G989">
        <v>705.58</v>
      </c>
    </row>
    <row r="990" spans="7:7" x14ac:dyDescent="0.35">
      <c r="G990">
        <v>1810.07</v>
      </c>
    </row>
    <row r="991" spans="7:7" x14ac:dyDescent="0.35">
      <c r="G991">
        <v>-1020.05</v>
      </c>
    </row>
    <row r="992" spans="7:7" x14ac:dyDescent="0.35">
      <c r="G992">
        <v>3176.2</v>
      </c>
    </row>
    <row r="993" spans="7:7" x14ac:dyDescent="0.35">
      <c r="G993">
        <v>609.45000000000005</v>
      </c>
    </row>
    <row r="994" spans="7:7" x14ac:dyDescent="0.35">
      <c r="G994">
        <v>1943.22</v>
      </c>
    </row>
    <row r="995" spans="7:7" x14ac:dyDescent="0.35">
      <c r="G995">
        <v>1750.18</v>
      </c>
    </row>
    <row r="996" spans="7:7" x14ac:dyDescent="0.35">
      <c r="G996">
        <v>3102.91</v>
      </c>
    </row>
    <row r="997" spans="7:7" x14ac:dyDescent="0.35">
      <c r="G997">
        <v>479.25</v>
      </c>
    </row>
    <row r="998" spans="7:7" x14ac:dyDescent="0.35">
      <c r="G998">
        <v>2984.1</v>
      </c>
    </row>
    <row r="999" spans="7:7" x14ac:dyDescent="0.35">
      <c r="G999">
        <v>731.1</v>
      </c>
    </row>
    <row r="1000" spans="7:7" x14ac:dyDescent="0.35">
      <c r="G1000">
        <v>1172.07</v>
      </c>
    </row>
    <row r="1001" spans="7:7" x14ac:dyDescent="0.35">
      <c r="G1001">
        <v>3462.04</v>
      </c>
    </row>
    <row r="1002" spans="7:7" x14ac:dyDescent="0.35">
      <c r="G1002">
        <v>-563.83000000000004</v>
      </c>
    </row>
    <row r="1003" spans="7:7" x14ac:dyDescent="0.35">
      <c r="G1003">
        <v>2267.92</v>
      </c>
    </row>
    <row r="1004" spans="7:7" x14ac:dyDescent="0.35">
      <c r="G1004">
        <v>960.65</v>
      </c>
    </row>
    <row r="1005" spans="7:7" x14ac:dyDescent="0.35">
      <c r="G1005">
        <v>-583.08000000000004</v>
      </c>
    </row>
    <row r="1006" spans="7:7" x14ac:dyDescent="0.35">
      <c r="G1006">
        <v>1190.8900000000001</v>
      </c>
    </row>
    <row r="1007" spans="7:7" x14ac:dyDescent="0.35">
      <c r="G1007">
        <v>853.35</v>
      </c>
    </row>
    <row r="1008" spans="7:7" x14ac:dyDescent="0.35">
      <c r="G1008">
        <v>573.79</v>
      </c>
    </row>
    <row r="1009" spans="7:7" x14ac:dyDescent="0.35">
      <c r="G1009">
        <v>1287.17</v>
      </c>
    </row>
    <row r="1010" spans="7:7" x14ac:dyDescent="0.35">
      <c r="G1010">
        <v>472.79</v>
      </c>
    </row>
    <row r="1011" spans="7:7" x14ac:dyDescent="0.35">
      <c r="G1011">
        <v>1490.29</v>
      </c>
    </row>
    <row r="1012" spans="7:7" x14ac:dyDescent="0.35">
      <c r="G1012">
        <v>2278.12</v>
      </c>
    </row>
    <row r="1013" spans="7:7" x14ac:dyDescent="0.35">
      <c r="G1013">
        <v>2860.71</v>
      </c>
    </row>
    <row r="1014" spans="7:7" x14ac:dyDescent="0.35">
      <c r="G1014">
        <v>-573.17999999999995</v>
      </c>
    </row>
    <row r="1015" spans="7:7" x14ac:dyDescent="0.35">
      <c r="G1015">
        <v>1586.4</v>
      </c>
    </row>
    <row r="1016" spans="7:7" x14ac:dyDescent="0.35">
      <c r="G1016">
        <v>-719.57</v>
      </c>
    </row>
    <row r="1017" spans="7:7" x14ac:dyDescent="0.35">
      <c r="G1017">
        <v>3619.8</v>
      </c>
    </row>
    <row r="1018" spans="7:7" x14ac:dyDescent="0.35">
      <c r="G1018">
        <v>545.1</v>
      </c>
    </row>
    <row r="1019" spans="7:7" x14ac:dyDescent="0.35">
      <c r="G1019">
        <v>-321.24</v>
      </c>
    </row>
    <row r="1020" spans="7:7" x14ac:dyDescent="0.35">
      <c r="G1020">
        <v>2577.59</v>
      </c>
    </row>
    <row r="1021" spans="7:7" x14ac:dyDescent="0.35">
      <c r="G1021">
        <v>169.05</v>
      </c>
    </row>
    <row r="1022" spans="7:7" x14ac:dyDescent="0.35">
      <c r="G1022">
        <v>1652.12</v>
      </c>
    </row>
    <row r="1023" spans="7:7" x14ac:dyDescent="0.35">
      <c r="G1023">
        <v>107.83</v>
      </c>
    </row>
    <row r="1024" spans="7:7" x14ac:dyDescent="0.35">
      <c r="G1024">
        <v>3098.28</v>
      </c>
    </row>
    <row r="1025" spans="7:7" x14ac:dyDescent="0.35">
      <c r="G1025">
        <v>663.54</v>
      </c>
    </row>
    <row r="1026" spans="7:7" x14ac:dyDescent="0.35">
      <c r="G1026">
        <v>93.8</v>
      </c>
    </row>
    <row r="1027" spans="7:7" x14ac:dyDescent="0.35">
      <c r="G1027">
        <v>-190.17</v>
      </c>
    </row>
    <row r="1028" spans="7:7" x14ac:dyDescent="0.35">
      <c r="G1028">
        <v>3871.51</v>
      </c>
    </row>
    <row r="1029" spans="7:7" x14ac:dyDescent="0.35">
      <c r="G1029">
        <v>-401.38</v>
      </c>
    </row>
    <row r="1030" spans="7:7" x14ac:dyDescent="0.35">
      <c r="G1030">
        <v>3852.98</v>
      </c>
    </row>
    <row r="1031" spans="7:7" x14ac:dyDescent="0.35">
      <c r="G1031">
        <v>-878.7</v>
      </c>
    </row>
    <row r="1032" spans="7:7" x14ac:dyDescent="0.35">
      <c r="G1032">
        <v>2588.85</v>
      </c>
    </row>
    <row r="1033" spans="7:7" x14ac:dyDescent="0.35">
      <c r="G1033">
        <v>-231.54</v>
      </c>
    </row>
    <row r="1034" spans="7:7" x14ac:dyDescent="0.35">
      <c r="G1034">
        <v>2299.04</v>
      </c>
    </row>
    <row r="1035" spans="7:7" x14ac:dyDescent="0.35">
      <c r="G1035">
        <v>3650.65</v>
      </c>
    </row>
    <row r="1036" spans="7:7" x14ac:dyDescent="0.35">
      <c r="G1036">
        <v>2465.98</v>
      </c>
    </row>
    <row r="1037" spans="7:7" x14ac:dyDescent="0.35">
      <c r="G1037">
        <v>3803.18</v>
      </c>
    </row>
    <row r="1038" spans="7:7" x14ac:dyDescent="0.35">
      <c r="G1038">
        <v>3436.23</v>
      </c>
    </row>
    <row r="1039" spans="7:7" x14ac:dyDescent="0.35">
      <c r="G1039">
        <v>1018.52</v>
      </c>
    </row>
    <row r="1040" spans="7:7" x14ac:dyDescent="0.35">
      <c r="G1040">
        <v>-316.51</v>
      </c>
    </row>
    <row r="1041" spans="7:7" x14ac:dyDescent="0.35">
      <c r="G1041">
        <v>2846.02</v>
      </c>
    </row>
    <row r="1042" spans="7:7" x14ac:dyDescent="0.35">
      <c r="G1042">
        <v>2405.3000000000002</v>
      </c>
    </row>
    <row r="1043" spans="7:7" x14ac:dyDescent="0.35">
      <c r="G1043">
        <v>3052.49</v>
      </c>
    </row>
    <row r="1044" spans="7:7" x14ac:dyDescent="0.35">
      <c r="G1044">
        <v>818.55</v>
      </c>
    </row>
    <row r="1045" spans="7:7" x14ac:dyDescent="0.35">
      <c r="G1045">
        <v>2856.16</v>
      </c>
    </row>
    <row r="1046" spans="7:7" x14ac:dyDescent="0.35">
      <c r="G1046">
        <v>3152.21</v>
      </c>
    </row>
    <row r="1047" spans="7:7" x14ac:dyDescent="0.35">
      <c r="G1047">
        <v>-95.96</v>
      </c>
    </row>
    <row r="1048" spans="7:7" x14ac:dyDescent="0.35">
      <c r="G1048">
        <v>-476.54</v>
      </c>
    </row>
    <row r="1049" spans="7:7" x14ac:dyDescent="0.35">
      <c r="G1049">
        <v>-815.54</v>
      </c>
    </row>
    <row r="1050" spans="7:7" x14ac:dyDescent="0.35">
      <c r="G1050">
        <v>1345.26</v>
      </c>
    </row>
    <row r="1051" spans="7:7" x14ac:dyDescent="0.35">
      <c r="G1051">
        <v>27.15</v>
      </c>
    </row>
    <row r="1052" spans="7:7" x14ac:dyDescent="0.35">
      <c r="G1052">
        <v>3852.52</v>
      </c>
    </row>
    <row r="1053" spans="7:7" x14ac:dyDescent="0.35">
      <c r="G1053">
        <v>1096.06</v>
      </c>
    </row>
    <row r="1054" spans="7:7" x14ac:dyDescent="0.35">
      <c r="G1054">
        <v>-846.73</v>
      </c>
    </row>
    <row r="1055" spans="7:7" x14ac:dyDescent="0.35">
      <c r="G1055">
        <v>3170.16</v>
      </c>
    </row>
    <row r="1056" spans="7:7" x14ac:dyDescent="0.35">
      <c r="G1056">
        <v>864.55</v>
      </c>
    </row>
    <row r="1057" spans="7:7" x14ac:dyDescent="0.35">
      <c r="G1057">
        <v>1115.7</v>
      </c>
    </row>
    <row r="1058" spans="7:7" x14ac:dyDescent="0.35">
      <c r="G1058">
        <v>991.04</v>
      </c>
    </row>
    <row r="1059" spans="7:7" x14ac:dyDescent="0.35">
      <c r="G1059">
        <v>-1155.6099999999999</v>
      </c>
    </row>
    <row r="1060" spans="7:7" x14ac:dyDescent="0.35">
      <c r="G1060">
        <v>530.29</v>
      </c>
    </row>
    <row r="1061" spans="7:7" x14ac:dyDescent="0.35">
      <c r="G1061">
        <v>1714.75</v>
      </c>
    </row>
    <row r="1062" spans="7:7" x14ac:dyDescent="0.35">
      <c r="G1062">
        <v>2233.5700000000002</v>
      </c>
    </row>
    <row r="1063" spans="7:7" x14ac:dyDescent="0.35">
      <c r="G1063">
        <v>3793.25</v>
      </c>
    </row>
    <row r="1064" spans="7:7" x14ac:dyDescent="0.35">
      <c r="G1064">
        <v>1519.97</v>
      </c>
    </row>
    <row r="1065" spans="7:7" x14ac:dyDescent="0.35">
      <c r="G1065">
        <v>2759.16</v>
      </c>
    </row>
    <row r="1066" spans="7:7" x14ac:dyDescent="0.35">
      <c r="G1066">
        <v>2915.13</v>
      </c>
    </row>
    <row r="1067" spans="7:7" x14ac:dyDescent="0.35">
      <c r="G1067">
        <v>3011.73</v>
      </c>
    </row>
    <row r="1068" spans="7:7" x14ac:dyDescent="0.35">
      <c r="G1068">
        <v>2551.4699999999998</v>
      </c>
    </row>
    <row r="1069" spans="7:7" x14ac:dyDescent="0.35">
      <c r="G1069">
        <v>1693.41</v>
      </c>
    </row>
    <row r="1070" spans="7:7" x14ac:dyDescent="0.35">
      <c r="G1070">
        <v>3651.05</v>
      </c>
    </row>
    <row r="1071" spans="7:7" x14ac:dyDescent="0.35">
      <c r="G1071">
        <v>1688.78</v>
      </c>
    </row>
    <row r="1072" spans="7:7" x14ac:dyDescent="0.35">
      <c r="G1072">
        <v>303.77</v>
      </c>
    </row>
    <row r="1073" spans="7:7" x14ac:dyDescent="0.35">
      <c r="G1073">
        <v>1635.47</v>
      </c>
    </row>
    <row r="1074" spans="7:7" x14ac:dyDescent="0.35">
      <c r="G1074">
        <v>3392.46</v>
      </c>
    </row>
    <row r="1075" spans="7:7" x14ac:dyDescent="0.35">
      <c r="G1075">
        <v>1546.55</v>
      </c>
    </row>
    <row r="1076" spans="7:7" x14ac:dyDescent="0.35">
      <c r="G1076">
        <v>2636.76</v>
      </c>
    </row>
    <row r="1077" spans="7:7" x14ac:dyDescent="0.35">
      <c r="G1077">
        <v>-481.2</v>
      </c>
    </row>
    <row r="1078" spans="7:7" x14ac:dyDescent="0.35">
      <c r="G1078">
        <v>2199.4299999999998</v>
      </c>
    </row>
    <row r="1079" spans="7:7" x14ac:dyDescent="0.35">
      <c r="G1079">
        <v>1437.43</v>
      </c>
    </row>
    <row r="1080" spans="7:7" x14ac:dyDescent="0.35">
      <c r="G1080">
        <v>1123.78</v>
      </c>
    </row>
    <row r="1081" spans="7:7" x14ac:dyDescent="0.35">
      <c r="G1081">
        <v>-987.6</v>
      </c>
    </row>
    <row r="1082" spans="7:7" x14ac:dyDescent="0.35">
      <c r="G1082">
        <v>1815.96</v>
      </c>
    </row>
    <row r="1083" spans="7:7" x14ac:dyDescent="0.35">
      <c r="G1083">
        <v>724.11</v>
      </c>
    </row>
    <row r="1084" spans="7:7" x14ac:dyDescent="0.35">
      <c r="G1084">
        <v>678.42</v>
      </c>
    </row>
    <row r="1085" spans="7:7" x14ac:dyDescent="0.35">
      <c r="G1085">
        <v>2019.56</v>
      </c>
    </row>
    <row r="1086" spans="7:7" x14ac:dyDescent="0.35">
      <c r="G1086">
        <v>304.12</v>
      </c>
    </row>
    <row r="1087" spans="7:7" x14ac:dyDescent="0.35">
      <c r="G1087">
        <v>3007.91</v>
      </c>
    </row>
    <row r="1088" spans="7:7" x14ac:dyDescent="0.35">
      <c r="G1088">
        <v>2730.12</v>
      </c>
    </row>
    <row r="1089" spans="7:7" x14ac:dyDescent="0.35">
      <c r="G1089">
        <v>-371.86</v>
      </c>
    </row>
    <row r="1090" spans="7:7" x14ac:dyDescent="0.35">
      <c r="G1090">
        <v>-445.03</v>
      </c>
    </row>
    <row r="1091" spans="7:7" x14ac:dyDescent="0.35">
      <c r="G1091">
        <v>2762.68</v>
      </c>
    </row>
    <row r="1092" spans="7:7" x14ac:dyDescent="0.35">
      <c r="G1092">
        <v>3640.6</v>
      </c>
    </row>
    <row r="1093" spans="7:7" x14ac:dyDescent="0.35">
      <c r="G1093">
        <v>2027.47</v>
      </c>
    </row>
    <row r="1094" spans="7:7" x14ac:dyDescent="0.35">
      <c r="G1094">
        <v>1247.02</v>
      </c>
    </row>
    <row r="1095" spans="7:7" x14ac:dyDescent="0.35">
      <c r="G1095">
        <v>-1137.54</v>
      </c>
    </row>
    <row r="1096" spans="7:7" x14ac:dyDescent="0.35">
      <c r="G1096">
        <v>2255.4299999999998</v>
      </c>
    </row>
    <row r="1097" spans="7:7" x14ac:dyDescent="0.35">
      <c r="G1097">
        <v>-1088.45</v>
      </c>
    </row>
    <row r="1098" spans="7:7" x14ac:dyDescent="0.35">
      <c r="G1098">
        <v>1069.43</v>
      </c>
    </row>
    <row r="1099" spans="7:7" x14ac:dyDescent="0.35">
      <c r="G1099">
        <v>1905.25</v>
      </c>
    </row>
    <row r="1100" spans="7:7" x14ac:dyDescent="0.35">
      <c r="G1100">
        <v>1647.39</v>
      </c>
    </row>
    <row r="1101" spans="7:7" x14ac:dyDescent="0.35">
      <c r="G1101">
        <v>1286.6400000000001</v>
      </c>
    </row>
    <row r="1102" spans="7:7" x14ac:dyDescent="0.35">
      <c r="G1102">
        <v>1295.93</v>
      </c>
    </row>
    <row r="1103" spans="7:7" x14ac:dyDescent="0.35">
      <c r="G1103">
        <v>2416.87</v>
      </c>
    </row>
    <row r="1104" spans="7:7" x14ac:dyDescent="0.35">
      <c r="G1104">
        <v>1710.15</v>
      </c>
    </row>
    <row r="1105" spans="7:7" x14ac:dyDescent="0.35">
      <c r="G1105">
        <v>3793.87</v>
      </c>
    </row>
    <row r="1106" spans="7:7" x14ac:dyDescent="0.35">
      <c r="G1106">
        <v>144.65</v>
      </c>
    </row>
    <row r="1107" spans="7:7" x14ac:dyDescent="0.35">
      <c r="G1107">
        <v>3827.83</v>
      </c>
    </row>
    <row r="1108" spans="7:7" x14ac:dyDescent="0.35">
      <c r="G1108">
        <v>2821.58</v>
      </c>
    </row>
    <row r="1109" spans="7:7" x14ac:dyDescent="0.35">
      <c r="G1109">
        <v>1915.52</v>
      </c>
    </row>
    <row r="1110" spans="7:7" x14ac:dyDescent="0.35">
      <c r="G1110">
        <v>3491.49</v>
      </c>
    </row>
    <row r="1111" spans="7:7" x14ac:dyDescent="0.35">
      <c r="G1111">
        <v>-182.98</v>
      </c>
    </row>
    <row r="1112" spans="7:7" x14ac:dyDescent="0.35">
      <c r="G1112">
        <v>1628.31</v>
      </c>
    </row>
    <row r="1113" spans="7:7" x14ac:dyDescent="0.35">
      <c r="G1113">
        <v>1329.32</v>
      </c>
    </row>
    <row r="1114" spans="7:7" x14ac:dyDescent="0.35">
      <c r="G1114">
        <v>2396.11</v>
      </c>
    </row>
    <row r="1115" spans="7:7" x14ac:dyDescent="0.35">
      <c r="G1115">
        <v>3069.77</v>
      </c>
    </row>
    <row r="1116" spans="7:7" x14ac:dyDescent="0.35">
      <c r="G1116">
        <v>-1047.8</v>
      </c>
    </row>
    <row r="1117" spans="7:7" x14ac:dyDescent="0.35">
      <c r="G1117">
        <v>3478.84</v>
      </c>
    </row>
    <row r="1118" spans="7:7" x14ac:dyDescent="0.35">
      <c r="G1118">
        <v>415.57</v>
      </c>
    </row>
    <row r="1119" spans="7:7" x14ac:dyDescent="0.35">
      <c r="G1119">
        <v>-1021.01</v>
      </c>
    </row>
    <row r="1120" spans="7:7" x14ac:dyDescent="0.35">
      <c r="G1120">
        <v>703.25</v>
      </c>
    </row>
    <row r="1121" spans="7:7" x14ac:dyDescent="0.35">
      <c r="G1121">
        <v>3834.84</v>
      </c>
    </row>
    <row r="1122" spans="7:7" x14ac:dyDescent="0.35">
      <c r="G1122">
        <v>-200.19</v>
      </c>
    </row>
    <row r="1123" spans="7:7" x14ac:dyDescent="0.35">
      <c r="G1123">
        <v>1505.06</v>
      </c>
    </row>
    <row r="1124" spans="7:7" x14ac:dyDescent="0.35">
      <c r="G1124">
        <v>1861.72</v>
      </c>
    </row>
    <row r="1125" spans="7:7" x14ac:dyDescent="0.35">
      <c r="G1125">
        <v>3314.92</v>
      </c>
    </row>
    <row r="1126" spans="7:7" x14ac:dyDescent="0.35">
      <c r="G1126">
        <v>-4.0999999999999996</v>
      </c>
    </row>
    <row r="1127" spans="7:7" x14ac:dyDescent="0.35">
      <c r="G1127">
        <v>1675.58</v>
      </c>
    </row>
    <row r="1128" spans="7:7" x14ac:dyDescent="0.35">
      <c r="G1128">
        <v>-1106.07</v>
      </c>
    </row>
    <row r="1129" spans="7:7" x14ac:dyDescent="0.35">
      <c r="G1129">
        <v>-970.59</v>
      </c>
    </row>
    <row r="1130" spans="7:7" x14ac:dyDescent="0.35">
      <c r="G1130">
        <v>2789.29</v>
      </c>
    </row>
    <row r="1131" spans="7:7" x14ac:dyDescent="0.35">
      <c r="G1131">
        <v>2752.65</v>
      </c>
    </row>
    <row r="1132" spans="7:7" x14ac:dyDescent="0.35">
      <c r="G1132">
        <v>520.63</v>
      </c>
    </row>
    <row r="1133" spans="7:7" x14ac:dyDescent="0.35">
      <c r="G1133">
        <v>-426.97</v>
      </c>
    </row>
    <row r="1134" spans="7:7" x14ac:dyDescent="0.35">
      <c r="G1134">
        <v>-819.45</v>
      </c>
    </row>
    <row r="1135" spans="7:7" x14ac:dyDescent="0.35">
      <c r="G1135">
        <v>-409.81</v>
      </c>
    </row>
    <row r="1136" spans="7:7" x14ac:dyDescent="0.35">
      <c r="G1136">
        <v>639.28</v>
      </c>
    </row>
    <row r="1137" spans="7:7" x14ac:dyDescent="0.35">
      <c r="G1137">
        <v>-242.44</v>
      </c>
    </row>
    <row r="1138" spans="7:7" x14ac:dyDescent="0.35">
      <c r="G1138">
        <v>2432.7600000000002</v>
      </c>
    </row>
    <row r="1139" spans="7:7" x14ac:dyDescent="0.35">
      <c r="G1139">
        <v>106</v>
      </c>
    </row>
    <row r="1140" spans="7:7" x14ac:dyDescent="0.35">
      <c r="G1140">
        <v>1955.19</v>
      </c>
    </row>
    <row r="1141" spans="7:7" x14ac:dyDescent="0.35">
      <c r="G1141">
        <v>3119.24</v>
      </c>
    </row>
    <row r="1142" spans="7:7" x14ac:dyDescent="0.35">
      <c r="G1142">
        <v>2741.85</v>
      </c>
    </row>
    <row r="1143" spans="7:7" x14ac:dyDescent="0.35">
      <c r="G1143">
        <v>625.29999999999995</v>
      </c>
    </row>
    <row r="1144" spans="7:7" x14ac:dyDescent="0.35">
      <c r="G1144">
        <v>-77.97</v>
      </c>
    </row>
    <row r="1145" spans="7:7" x14ac:dyDescent="0.35">
      <c r="G1145">
        <v>-890.2</v>
      </c>
    </row>
    <row r="1146" spans="7:7" x14ac:dyDescent="0.35">
      <c r="G1146">
        <v>3816.31</v>
      </c>
    </row>
    <row r="1147" spans="7:7" x14ac:dyDescent="0.35">
      <c r="G1147">
        <v>-640.44000000000005</v>
      </c>
    </row>
    <row r="1148" spans="7:7" x14ac:dyDescent="0.35">
      <c r="G1148">
        <v>2511.65</v>
      </c>
    </row>
    <row r="1149" spans="7:7" x14ac:dyDescent="0.35">
      <c r="G1149">
        <v>570.25</v>
      </c>
    </row>
    <row r="1150" spans="7:7" x14ac:dyDescent="0.35">
      <c r="G1150">
        <v>2107.65</v>
      </c>
    </row>
    <row r="1151" spans="7:7" x14ac:dyDescent="0.35">
      <c r="G1151">
        <v>-113.52</v>
      </c>
    </row>
    <row r="1152" spans="7:7" x14ac:dyDescent="0.35">
      <c r="G1152">
        <v>1669.74</v>
      </c>
    </row>
    <row r="1153" spans="7:7" x14ac:dyDescent="0.35">
      <c r="G1153">
        <v>2992.96</v>
      </c>
    </row>
    <row r="1154" spans="7:7" x14ac:dyDescent="0.35">
      <c r="G1154">
        <v>-510.72</v>
      </c>
    </row>
    <row r="1155" spans="7:7" x14ac:dyDescent="0.35">
      <c r="G1155">
        <v>3301.27</v>
      </c>
    </row>
    <row r="1156" spans="7:7" x14ac:dyDescent="0.35">
      <c r="G1156">
        <v>3129.5</v>
      </c>
    </row>
    <row r="1157" spans="7:7" x14ac:dyDescent="0.35">
      <c r="G1157">
        <v>3549.06</v>
      </c>
    </row>
    <row r="1158" spans="7:7" x14ac:dyDescent="0.35">
      <c r="G1158">
        <v>-382.31</v>
      </c>
    </row>
    <row r="1159" spans="7:7" x14ac:dyDescent="0.35">
      <c r="G1159">
        <v>3658.04</v>
      </c>
    </row>
    <row r="1160" spans="7:7" x14ac:dyDescent="0.35">
      <c r="G1160">
        <v>1860.15</v>
      </c>
    </row>
    <row r="1161" spans="7:7" x14ac:dyDescent="0.35">
      <c r="G1161">
        <v>904.82</v>
      </c>
    </row>
    <row r="1162" spans="7:7" x14ac:dyDescent="0.35">
      <c r="G1162">
        <v>720.76</v>
      </c>
    </row>
    <row r="1163" spans="7:7" x14ac:dyDescent="0.35">
      <c r="G1163">
        <v>1239.1099999999999</v>
      </c>
    </row>
    <row r="1164" spans="7:7" x14ac:dyDescent="0.35">
      <c r="G1164">
        <v>2313.9499999999998</v>
      </c>
    </row>
    <row r="1165" spans="7:7" x14ac:dyDescent="0.35">
      <c r="G1165">
        <v>2531.2199999999998</v>
      </c>
    </row>
    <row r="1166" spans="7:7" x14ac:dyDescent="0.35">
      <c r="G1166">
        <v>3777.72</v>
      </c>
    </row>
    <row r="1167" spans="7:7" x14ac:dyDescent="0.35">
      <c r="G1167">
        <v>1372.6</v>
      </c>
    </row>
    <row r="1168" spans="7:7" x14ac:dyDescent="0.35">
      <c r="G1168">
        <v>2588.88</v>
      </c>
    </row>
    <row r="1169" spans="7:7" x14ac:dyDescent="0.35">
      <c r="G1169">
        <v>1853.7</v>
      </c>
    </row>
    <row r="1170" spans="7:7" x14ac:dyDescent="0.35">
      <c r="G1170">
        <v>1587.01</v>
      </c>
    </row>
    <row r="1171" spans="7:7" x14ac:dyDescent="0.35">
      <c r="G1171">
        <v>1472.83</v>
      </c>
    </row>
    <row r="1172" spans="7:7" x14ac:dyDescent="0.35">
      <c r="G1172">
        <v>3792.66</v>
      </c>
    </row>
    <row r="1173" spans="7:7" x14ac:dyDescent="0.35">
      <c r="G1173">
        <v>284.95999999999998</v>
      </c>
    </row>
    <row r="1174" spans="7:7" x14ac:dyDescent="0.35">
      <c r="G1174">
        <v>-364.01</v>
      </c>
    </row>
    <row r="1175" spans="7:7" x14ac:dyDescent="0.35">
      <c r="G1175">
        <v>1750.67</v>
      </c>
    </row>
    <row r="1176" spans="7:7" x14ac:dyDescent="0.35">
      <c r="G1176">
        <v>63.47</v>
      </c>
    </row>
    <row r="1177" spans="7:7" x14ac:dyDescent="0.35">
      <c r="G1177">
        <v>3969.54</v>
      </c>
    </row>
    <row r="1178" spans="7:7" x14ac:dyDescent="0.35">
      <c r="G1178">
        <v>2996.47</v>
      </c>
    </row>
    <row r="1179" spans="7:7" x14ac:dyDescent="0.35">
      <c r="G1179">
        <v>1881.61</v>
      </c>
    </row>
    <row r="1180" spans="7:7" x14ac:dyDescent="0.35">
      <c r="G1180">
        <v>1691.28</v>
      </c>
    </row>
    <row r="1181" spans="7:7" x14ac:dyDescent="0.35">
      <c r="G1181">
        <v>2192.6799999999998</v>
      </c>
    </row>
    <row r="1182" spans="7:7" x14ac:dyDescent="0.35">
      <c r="G1182">
        <v>1909.78</v>
      </c>
    </row>
    <row r="1183" spans="7:7" x14ac:dyDescent="0.35">
      <c r="G1183">
        <v>2872.75</v>
      </c>
    </row>
    <row r="1184" spans="7:7" x14ac:dyDescent="0.35">
      <c r="G1184">
        <v>2564.61</v>
      </c>
    </row>
    <row r="1185" spans="7:7" x14ac:dyDescent="0.35">
      <c r="G1185">
        <v>1660.47</v>
      </c>
    </row>
    <row r="1186" spans="7:7" x14ac:dyDescent="0.35">
      <c r="G1186">
        <v>738.19</v>
      </c>
    </row>
    <row r="1187" spans="7:7" x14ac:dyDescent="0.35">
      <c r="G1187">
        <v>1395.41</v>
      </c>
    </row>
    <row r="1188" spans="7:7" x14ac:dyDescent="0.35">
      <c r="G1188">
        <v>1451.77</v>
      </c>
    </row>
    <row r="1189" spans="7:7" x14ac:dyDescent="0.35">
      <c r="G1189">
        <v>2927.35</v>
      </c>
    </row>
    <row r="1190" spans="7:7" x14ac:dyDescent="0.35">
      <c r="G1190">
        <v>86.25</v>
      </c>
    </row>
    <row r="1191" spans="7:7" x14ac:dyDescent="0.35">
      <c r="G1191">
        <v>1734.72</v>
      </c>
    </row>
    <row r="1192" spans="7:7" x14ac:dyDescent="0.35">
      <c r="G1192">
        <v>1591.77</v>
      </c>
    </row>
    <row r="1193" spans="7:7" x14ac:dyDescent="0.35">
      <c r="G1193">
        <v>-473.94</v>
      </c>
    </row>
    <row r="1194" spans="7:7" x14ac:dyDescent="0.35">
      <c r="G1194">
        <v>-777.58</v>
      </c>
    </row>
    <row r="1195" spans="7:7" x14ac:dyDescent="0.35">
      <c r="G1195">
        <v>3572.8</v>
      </c>
    </row>
    <row r="1196" spans="7:7" x14ac:dyDescent="0.35">
      <c r="G1196">
        <v>-786.91</v>
      </c>
    </row>
    <row r="1197" spans="7:7" x14ac:dyDescent="0.35">
      <c r="G1197">
        <v>1878.22</v>
      </c>
    </row>
    <row r="1198" spans="7:7" x14ac:dyDescent="0.35">
      <c r="G1198">
        <v>-910.3</v>
      </c>
    </row>
    <row r="1199" spans="7:7" x14ac:dyDescent="0.35">
      <c r="G1199">
        <v>361.86</v>
      </c>
    </row>
    <row r="1200" spans="7:7" x14ac:dyDescent="0.35">
      <c r="G1200">
        <v>3665.75</v>
      </c>
    </row>
    <row r="1201" spans="7:7" x14ac:dyDescent="0.35">
      <c r="G1201">
        <v>-1048.24</v>
      </c>
    </row>
    <row r="1202" spans="7:7" x14ac:dyDescent="0.35">
      <c r="G1202">
        <v>535.13</v>
      </c>
    </row>
    <row r="1203" spans="7:7" x14ac:dyDescent="0.35">
      <c r="G1203">
        <v>2393.61</v>
      </c>
    </row>
    <row r="1204" spans="7:7" x14ac:dyDescent="0.35">
      <c r="G1204">
        <v>11.97</v>
      </c>
    </row>
    <row r="1205" spans="7:7" x14ac:dyDescent="0.35">
      <c r="G1205">
        <v>2278.11</v>
      </c>
    </row>
    <row r="1206" spans="7:7" x14ac:dyDescent="0.35">
      <c r="G1206">
        <v>3445.21</v>
      </c>
    </row>
    <row r="1207" spans="7:7" x14ac:dyDescent="0.35">
      <c r="G1207">
        <v>877.12</v>
      </c>
    </row>
    <row r="1208" spans="7:7" x14ac:dyDescent="0.35">
      <c r="G1208">
        <v>2516.79</v>
      </c>
    </row>
    <row r="1209" spans="7:7" x14ac:dyDescent="0.35">
      <c r="G1209">
        <v>2804.16</v>
      </c>
    </row>
    <row r="1210" spans="7:7" x14ac:dyDescent="0.35">
      <c r="G1210">
        <v>699.6</v>
      </c>
    </row>
    <row r="1211" spans="7:7" x14ac:dyDescent="0.35">
      <c r="G1211">
        <v>3844.73</v>
      </c>
    </row>
    <row r="1212" spans="7:7" x14ac:dyDescent="0.35">
      <c r="G1212">
        <v>3047.69</v>
      </c>
    </row>
    <row r="1213" spans="7:7" x14ac:dyDescent="0.35">
      <c r="G1213">
        <v>-776.21</v>
      </c>
    </row>
    <row r="1214" spans="7:7" x14ac:dyDescent="0.35">
      <c r="G1214">
        <v>3721.9</v>
      </c>
    </row>
    <row r="1215" spans="7:7" x14ac:dyDescent="0.35">
      <c r="G1215">
        <v>1597.12</v>
      </c>
    </row>
    <row r="1216" spans="7:7" x14ac:dyDescent="0.35">
      <c r="G1216">
        <v>825.03</v>
      </c>
    </row>
    <row r="1217" spans="7:7" x14ac:dyDescent="0.35">
      <c r="G1217">
        <v>1646.1</v>
      </c>
    </row>
    <row r="1218" spans="7:7" x14ac:dyDescent="0.35">
      <c r="G1218">
        <v>2662.77</v>
      </c>
    </row>
    <row r="1219" spans="7:7" x14ac:dyDescent="0.35">
      <c r="G1219">
        <v>1448.77</v>
      </c>
    </row>
    <row r="1220" spans="7:7" x14ac:dyDescent="0.35">
      <c r="G1220">
        <v>-955.19</v>
      </c>
    </row>
    <row r="1221" spans="7:7" x14ac:dyDescent="0.35">
      <c r="G1221">
        <v>451.71</v>
      </c>
    </row>
    <row r="1222" spans="7:7" x14ac:dyDescent="0.35">
      <c r="G1222">
        <v>169.86</v>
      </c>
    </row>
    <row r="1223" spans="7:7" x14ac:dyDescent="0.35">
      <c r="G1223">
        <v>3934.31</v>
      </c>
    </row>
    <row r="1224" spans="7:7" x14ac:dyDescent="0.35">
      <c r="G1224">
        <v>3170.78</v>
      </c>
    </row>
    <row r="1225" spans="7:7" x14ac:dyDescent="0.35">
      <c r="G1225">
        <v>2787.81</v>
      </c>
    </row>
    <row r="1226" spans="7:7" x14ac:dyDescent="0.35">
      <c r="G1226">
        <v>2366.58</v>
      </c>
    </row>
    <row r="1227" spans="7:7" x14ac:dyDescent="0.35">
      <c r="G1227">
        <v>1850.13</v>
      </c>
    </row>
    <row r="1228" spans="7:7" x14ac:dyDescent="0.35">
      <c r="G1228">
        <v>2011.76</v>
      </c>
    </row>
    <row r="1229" spans="7:7" x14ac:dyDescent="0.35">
      <c r="G1229">
        <v>-684.88</v>
      </c>
    </row>
    <row r="1230" spans="7:7" x14ac:dyDescent="0.35">
      <c r="G1230">
        <v>2239.86</v>
      </c>
    </row>
    <row r="1231" spans="7:7" x14ac:dyDescent="0.35">
      <c r="G1231">
        <v>945.11</v>
      </c>
    </row>
    <row r="1232" spans="7:7" x14ac:dyDescent="0.35">
      <c r="G1232">
        <v>2157.7399999999998</v>
      </c>
    </row>
    <row r="1233" spans="7:7" x14ac:dyDescent="0.35">
      <c r="G1233">
        <v>14.79</v>
      </c>
    </row>
    <row r="1234" spans="7:7" x14ac:dyDescent="0.35">
      <c r="G1234">
        <v>3289.86</v>
      </c>
    </row>
    <row r="1235" spans="7:7" x14ac:dyDescent="0.35">
      <c r="G1235">
        <v>-259.16000000000003</v>
      </c>
    </row>
    <row r="1236" spans="7:7" x14ac:dyDescent="0.35">
      <c r="G1236">
        <v>762.95</v>
      </c>
    </row>
    <row r="1237" spans="7:7" x14ac:dyDescent="0.35">
      <c r="G1237">
        <v>-720.87</v>
      </c>
    </row>
    <row r="1238" spans="7:7" x14ac:dyDescent="0.35">
      <c r="G1238">
        <v>2052.71</v>
      </c>
    </row>
    <row r="1239" spans="7:7" x14ac:dyDescent="0.35">
      <c r="G1239">
        <v>-1069.25</v>
      </c>
    </row>
    <row r="1240" spans="7:7" x14ac:dyDescent="0.35">
      <c r="G1240">
        <v>-843.61</v>
      </c>
    </row>
    <row r="1241" spans="7:7" x14ac:dyDescent="0.35">
      <c r="G1241">
        <v>-884.81</v>
      </c>
    </row>
    <row r="1242" spans="7:7" x14ac:dyDescent="0.35">
      <c r="G1242">
        <v>-113.44</v>
      </c>
    </row>
    <row r="1243" spans="7:7" x14ac:dyDescent="0.35">
      <c r="G1243">
        <v>-787.01</v>
      </c>
    </row>
    <row r="1244" spans="7:7" x14ac:dyDescent="0.35">
      <c r="G1244">
        <v>1062.3900000000001</v>
      </c>
    </row>
    <row r="1245" spans="7:7" x14ac:dyDescent="0.35">
      <c r="G1245">
        <v>233.05</v>
      </c>
    </row>
    <row r="1246" spans="7:7" x14ac:dyDescent="0.35">
      <c r="G1246">
        <v>2685.43</v>
      </c>
    </row>
    <row r="1247" spans="7:7" x14ac:dyDescent="0.35">
      <c r="G1247">
        <v>3851.81</v>
      </c>
    </row>
    <row r="1248" spans="7:7" x14ac:dyDescent="0.35">
      <c r="G1248">
        <v>2315.64</v>
      </c>
    </row>
    <row r="1249" spans="7:7" x14ac:dyDescent="0.35">
      <c r="G1249">
        <v>1353.32</v>
      </c>
    </row>
    <row r="1250" spans="7:7" x14ac:dyDescent="0.35">
      <c r="G1250">
        <v>1494.24</v>
      </c>
    </row>
    <row r="1251" spans="7:7" x14ac:dyDescent="0.35">
      <c r="G1251">
        <v>1797.66</v>
      </c>
    </row>
    <row r="1252" spans="7:7" x14ac:dyDescent="0.35">
      <c r="G1252">
        <v>166.47</v>
      </c>
    </row>
    <row r="1253" spans="7:7" x14ac:dyDescent="0.35">
      <c r="G1253">
        <v>3729.45</v>
      </c>
    </row>
    <row r="1254" spans="7:7" x14ac:dyDescent="0.35">
      <c r="G1254">
        <v>2589</v>
      </c>
    </row>
    <row r="1255" spans="7:7" x14ac:dyDescent="0.35">
      <c r="G1255">
        <v>3271.27</v>
      </c>
    </row>
    <row r="1256" spans="7:7" x14ac:dyDescent="0.35">
      <c r="G1256">
        <v>-586.23</v>
      </c>
    </row>
    <row r="1257" spans="7:7" x14ac:dyDescent="0.35">
      <c r="G1257">
        <v>102.77</v>
      </c>
    </row>
    <row r="1258" spans="7:7" x14ac:dyDescent="0.35">
      <c r="G1258">
        <v>1939.74</v>
      </c>
    </row>
    <row r="1259" spans="7:7" x14ac:dyDescent="0.35">
      <c r="G1259">
        <v>1962.41</v>
      </c>
    </row>
    <row r="1260" spans="7:7" x14ac:dyDescent="0.35">
      <c r="G1260">
        <v>2178.0500000000002</v>
      </c>
    </row>
    <row r="1261" spans="7:7" x14ac:dyDescent="0.35">
      <c r="G1261">
        <v>806.52</v>
      </c>
    </row>
    <row r="1262" spans="7:7" x14ac:dyDescent="0.35">
      <c r="G1262">
        <v>204.06</v>
      </c>
    </row>
    <row r="1263" spans="7:7" x14ac:dyDescent="0.35">
      <c r="G1263">
        <v>-258.05</v>
      </c>
    </row>
    <row r="1264" spans="7:7" x14ac:dyDescent="0.35">
      <c r="G1264">
        <v>1263.9100000000001</v>
      </c>
    </row>
    <row r="1265" spans="7:7" x14ac:dyDescent="0.35">
      <c r="G1265">
        <v>3579.64</v>
      </c>
    </row>
    <row r="1266" spans="7:7" x14ac:dyDescent="0.35">
      <c r="G1266">
        <v>-1182.04</v>
      </c>
    </row>
    <row r="1267" spans="7:7" x14ac:dyDescent="0.35">
      <c r="G1267">
        <v>3190.87</v>
      </c>
    </row>
    <row r="1268" spans="7:7" x14ac:dyDescent="0.35">
      <c r="G1268">
        <v>-247.69</v>
      </c>
    </row>
    <row r="1269" spans="7:7" x14ac:dyDescent="0.35">
      <c r="G1269">
        <v>2210.66</v>
      </c>
    </row>
    <row r="1270" spans="7:7" x14ac:dyDescent="0.35">
      <c r="G1270">
        <v>1289.77</v>
      </c>
    </row>
    <row r="1271" spans="7:7" x14ac:dyDescent="0.35">
      <c r="G1271">
        <v>-1012.43</v>
      </c>
    </row>
    <row r="1272" spans="7:7" x14ac:dyDescent="0.35">
      <c r="G1272">
        <v>3385.84</v>
      </c>
    </row>
    <row r="1273" spans="7:7" x14ac:dyDescent="0.35">
      <c r="G1273">
        <v>-66.97</v>
      </c>
    </row>
    <row r="1274" spans="7:7" x14ac:dyDescent="0.35">
      <c r="G1274">
        <v>-798.42</v>
      </c>
    </row>
    <row r="1275" spans="7:7" x14ac:dyDescent="0.35">
      <c r="G1275">
        <v>-1041.33</v>
      </c>
    </row>
    <row r="1276" spans="7:7" x14ac:dyDescent="0.35">
      <c r="G1276">
        <v>2730.68</v>
      </c>
    </row>
    <row r="1277" spans="7:7" x14ac:dyDescent="0.35">
      <c r="G1277">
        <v>3731.9</v>
      </c>
    </row>
    <row r="1278" spans="7:7" x14ac:dyDescent="0.35">
      <c r="G1278">
        <v>-229.65</v>
      </c>
    </row>
    <row r="1279" spans="7:7" x14ac:dyDescent="0.35">
      <c r="G1279">
        <v>1627.87</v>
      </c>
    </row>
    <row r="1280" spans="7:7" x14ac:dyDescent="0.35">
      <c r="G1280">
        <v>-511.49</v>
      </c>
    </row>
    <row r="1281" spans="7:7" x14ac:dyDescent="0.35">
      <c r="G1281">
        <v>-610.17999999999995</v>
      </c>
    </row>
    <row r="1282" spans="7:7" x14ac:dyDescent="0.35">
      <c r="G1282">
        <v>-696.69</v>
      </c>
    </row>
    <row r="1283" spans="7:7" x14ac:dyDescent="0.35">
      <c r="G1283">
        <v>-336.38</v>
      </c>
    </row>
    <row r="1284" spans="7:7" x14ac:dyDescent="0.35">
      <c r="G1284">
        <v>2397.42</v>
      </c>
    </row>
    <row r="1285" spans="7:7" x14ac:dyDescent="0.35">
      <c r="G1285">
        <v>2136.73</v>
      </c>
    </row>
    <row r="1286" spans="7:7" x14ac:dyDescent="0.35">
      <c r="G1286">
        <v>2169.69</v>
      </c>
    </row>
    <row r="1287" spans="7:7" x14ac:dyDescent="0.35">
      <c r="G1287">
        <v>3969.15</v>
      </c>
    </row>
    <row r="1288" spans="7:7" x14ac:dyDescent="0.35">
      <c r="G1288">
        <v>2406.4699999999998</v>
      </c>
    </row>
    <row r="1289" spans="7:7" x14ac:dyDescent="0.35">
      <c r="G1289">
        <v>932.04</v>
      </c>
    </row>
    <row r="1290" spans="7:7" x14ac:dyDescent="0.35">
      <c r="G1290">
        <v>824.23</v>
      </c>
    </row>
    <row r="1291" spans="7:7" x14ac:dyDescent="0.35">
      <c r="G1291">
        <v>1538.46</v>
      </c>
    </row>
    <row r="1292" spans="7:7" x14ac:dyDescent="0.35">
      <c r="G1292">
        <v>3858.11</v>
      </c>
    </row>
    <row r="1293" spans="7:7" x14ac:dyDescent="0.35">
      <c r="G1293">
        <v>1951.56</v>
      </c>
    </row>
    <row r="1294" spans="7:7" x14ac:dyDescent="0.35">
      <c r="G1294">
        <v>1980.48</v>
      </c>
    </row>
    <row r="1295" spans="7:7" x14ac:dyDescent="0.35">
      <c r="G1295">
        <v>-1124.03</v>
      </c>
    </row>
    <row r="1296" spans="7:7" x14ac:dyDescent="0.35">
      <c r="G1296">
        <v>849.98</v>
      </c>
    </row>
    <row r="1297" spans="7:7" x14ac:dyDescent="0.35">
      <c r="G1297">
        <v>1911.32</v>
      </c>
    </row>
    <row r="1298" spans="7:7" x14ac:dyDescent="0.35">
      <c r="G1298">
        <v>396.74</v>
      </c>
    </row>
    <row r="1299" spans="7:7" x14ac:dyDescent="0.35">
      <c r="G1299">
        <v>-1052.78</v>
      </c>
    </row>
    <row r="1300" spans="7:7" x14ac:dyDescent="0.35">
      <c r="G1300">
        <v>3101.6</v>
      </c>
    </row>
    <row r="1301" spans="7:7" x14ac:dyDescent="0.35">
      <c r="G1301">
        <v>185.49</v>
      </c>
    </row>
    <row r="1302" spans="7:7" x14ac:dyDescent="0.35">
      <c r="G1302">
        <v>3717.46</v>
      </c>
    </row>
    <row r="1303" spans="7:7" x14ac:dyDescent="0.35">
      <c r="G1303">
        <v>3656.45</v>
      </c>
    </row>
    <row r="1304" spans="7:7" x14ac:dyDescent="0.35">
      <c r="G1304">
        <v>2615.73</v>
      </c>
    </row>
    <row r="1305" spans="7:7" x14ac:dyDescent="0.35">
      <c r="G1305">
        <v>1945.9</v>
      </c>
    </row>
    <row r="1306" spans="7:7" x14ac:dyDescent="0.35">
      <c r="G1306">
        <v>1148.57</v>
      </c>
    </row>
    <row r="1307" spans="7:7" x14ac:dyDescent="0.35">
      <c r="G1307">
        <v>2929.76</v>
      </c>
    </row>
    <row r="1308" spans="7:7" x14ac:dyDescent="0.35">
      <c r="G1308">
        <v>309.64999999999998</v>
      </c>
    </row>
    <row r="1309" spans="7:7" x14ac:dyDescent="0.35">
      <c r="G1309">
        <v>-132.13</v>
      </c>
    </row>
    <row r="1310" spans="7:7" x14ac:dyDescent="0.35">
      <c r="G1310">
        <v>3617.85</v>
      </c>
    </row>
    <row r="1311" spans="7:7" x14ac:dyDescent="0.35">
      <c r="G1311">
        <v>2037.13</v>
      </c>
    </row>
    <row r="1312" spans="7:7" x14ac:dyDescent="0.35">
      <c r="G1312">
        <v>2873.66</v>
      </c>
    </row>
    <row r="1313" spans="7:7" x14ac:dyDescent="0.35">
      <c r="G1313">
        <v>3233.66</v>
      </c>
    </row>
    <row r="1314" spans="7:7" x14ac:dyDescent="0.35">
      <c r="G1314">
        <v>3584.04</v>
      </c>
    </row>
    <row r="1315" spans="7:7" x14ac:dyDescent="0.35">
      <c r="G1315">
        <v>2408.58</v>
      </c>
    </row>
    <row r="1316" spans="7:7" x14ac:dyDescent="0.35">
      <c r="G1316">
        <v>-520.92999999999995</v>
      </c>
    </row>
    <row r="1317" spans="7:7" x14ac:dyDescent="0.35">
      <c r="G1317">
        <v>-636.77</v>
      </c>
    </row>
    <row r="1318" spans="7:7" x14ac:dyDescent="0.35">
      <c r="G1318">
        <v>3349.8</v>
      </c>
    </row>
    <row r="1319" spans="7:7" x14ac:dyDescent="0.35">
      <c r="G1319">
        <v>1642.93</v>
      </c>
    </row>
    <row r="1320" spans="7:7" x14ac:dyDescent="0.35">
      <c r="G1320">
        <v>2395.7399999999998</v>
      </c>
    </row>
    <row r="1321" spans="7:7" x14ac:dyDescent="0.35">
      <c r="G1321">
        <v>3499.88</v>
      </c>
    </row>
    <row r="1322" spans="7:7" x14ac:dyDescent="0.35">
      <c r="G1322">
        <v>3421.81</v>
      </c>
    </row>
    <row r="1323" spans="7:7" x14ac:dyDescent="0.35">
      <c r="G1323">
        <v>1485.12</v>
      </c>
    </row>
    <row r="1324" spans="7:7" x14ac:dyDescent="0.35">
      <c r="G1324">
        <v>684.79</v>
      </c>
    </row>
    <row r="1325" spans="7:7" x14ac:dyDescent="0.35">
      <c r="G1325">
        <v>437.17</v>
      </c>
    </row>
    <row r="1326" spans="7:7" x14ac:dyDescent="0.35">
      <c r="G1326">
        <v>2957.86</v>
      </c>
    </row>
    <row r="1327" spans="7:7" x14ac:dyDescent="0.35">
      <c r="G1327">
        <v>3359.81</v>
      </c>
    </row>
    <row r="1328" spans="7:7" x14ac:dyDescent="0.35">
      <c r="G1328">
        <v>480.16</v>
      </c>
    </row>
    <row r="1329" spans="7:7" x14ac:dyDescent="0.35">
      <c r="G1329">
        <v>-1121.02</v>
      </c>
    </row>
    <row r="1330" spans="7:7" x14ac:dyDescent="0.35">
      <c r="G1330">
        <v>795.86</v>
      </c>
    </row>
    <row r="1331" spans="7:7" x14ac:dyDescent="0.35">
      <c r="G1331">
        <v>3859.9</v>
      </c>
    </row>
    <row r="1332" spans="7:7" x14ac:dyDescent="0.35">
      <c r="G1332">
        <v>-929.07</v>
      </c>
    </row>
    <row r="1333" spans="7:7" x14ac:dyDescent="0.35">
      <c r="G1333">
        <v>552.1</v>
      </c>
    </row>
    <row r="1334" spans="7:7" x14ac:dyDescent="0.35">
      <c r="G1334">
        <v>2651.63</v>
      </c>
    </row>
    <row r="1335" spans="7:7" x14ac:dyDescent="0.35">
      <c r="G1335">
        <v>2199.46</v>
      </c>
    </row>
    <row r="1336" spans="7:7" x14ac:dyDescent="0.35">
      <c r="G1336">
        <v>1819.44</v>
      </c>
    </row>
    <row r="1337" spans="7:7" x14ac:dyDescent="0.35">
      <c r="G1337">
        <v>3969.03</v>
      </c>
    </row>
    <row r="1338" spans="7:7" x14ac:dyDescent="0.35">
      <c r="G1338">
        <v>1923.5</v>
      </c>
    </row>
    <row r="1339" spans="7:7" x14ac:dyDescent="0.35">
      <c r="G1339">
        <v>717.69</v>
      </c>
    </row>
    <row r="1340" spans="7:7" x14ac:dyDescent="0.35">
      <c r="G1340">
        <v>1488.91</v>
      </c>
    </row>
    <row r="1341" spans="7:7" x14ac:dyDescent="0.35">
      <c r="G1341">
        <v>3341.51</v>
      </c>
    </row>
    <row r="1342" spans="7:7" x14ac:dyDescent="0.35">
      <c r="G1342">
        <v>-746.28</v>
      </c>
    </row>
    <row r="1343" spans="7:7" x14ac:dyDescent="0.35">
      <c r="G1343">
        <v>1838.69</v>
      </c>
    </row>
    <row r="1344" spans="7:7" x14ac:dyDescent="0.35">
      <c r="G1344">
        <v>160.21</v>
      </c>
    </row>
    <row r="1345" spans="7:7" x14ac:dyDescent="0.35">
      <c r="G1345">
        <v>-4.26</v>
      </c>
    </row>
    <row r="1346" spans="7:7" x14ac:dyDescent="0.35">
      <c r="G1346">
        <v>3299.44</v>
      </c>
    </row>
    <row r="1347" spans="7:7" x14ac:dyDescent="0.35">
      <c r="G1347">
        <v>1668</v>
      </c>
    </row>
    <row r="1348" spans="7:7" x14ac:dyDescent="0.35">
      <c r="G1348">
        <v>-2.86</v>
      </c>
    </row>
    <row r="1349" spans="7:7" x14ac:dyDescent="0.35">
      <c r="G1349">
        <v>2418.27</v>
      </c>
    </row>
    <row r="1350" spans="7:7" x14ac:dyDescent="0.35">
      <c r="G1350">
        <v>1214.8599999999999</v>
      </c>
    </row>
    <row r="1351" spans="7:7" x14ac:dyDescent="0.35">
      <c r="G1351">
        <v>1854.17</v>
      </c>
    </row>
    <row r="1352" spans="7:7" x14ac:dyDescent="0.35">
      <c r="G1352">
        <v>2305.1</v>
      </c>
    </row>
    <row r="1353" spans="7:7" x14ac:dyDescent="0.35">
      <c r="G1353">
        <v>2305.88</v>
      </c>
    </row>
    <row r="1354" spans="7:7" x14ac:dyDescent="0.35">
      <c r="G1354">
        <v>-35.71</v>
      </c>
    </row>
    <row r="1355" spans="7:7" x14ac:dyDescent="0.35">
      <c r="G1355">
        <v>1522.3</v>
      </c>
    </row>
    <row r="1356" spans="7:7" x14ac:dyDescent="0.35">
      <c r="G1356">
        <v>1966.58</v>
      </c>
    </row>
    <row r="1357" spans="7:7" x14ac:dyDescent="0.35">
      <c r="G1357">
        <v>219.99</v>
      </c>
    </row>
    <row r="1358" spans="7:7" x14ac:dyDescent="0.35">
      <c r="G1358">
        <v>249.58</v>
      </c>
    </row>
    <row r="1359" spans="7:7" x14ac:dyDescent="0.35">
      <c r="G1359">
        <v>-70.930000000000007</v>
      </c>
    </row>
    <row r="1360" spans="7:7" x14ac:dyDescent="0.35">
      <c r="G1360">
        <v>-463.88</v>
      </c>
    </row>
    <row r="1361" spans="7:7" x14ac:dyDescent="0.35">
      <c r="G1361">
        <v>3398.32</v>
      </c>
    </row>
    <row r="1362" spans="7:7" x14ac:dyDescent="0.35">
      <c r="G1362">
        <v>326.86</v>
      </c>
    </row>
    <row r="1363" spans="7:7" x14ac:dyDescent="0.35">
      <c r="G1363">
        <v>3556.62</v>
      </c>
    </row>
    <row r="1364" spans="7:7" x14ac:dyDescent="0.35">
      <c r="G1364">
        <v>3860.78</v>
      </c>
    </row>
    <row r="1365" spans="7:7" x14ac:dyDescent="0.35">
      <c r="G1365">
        <v>3271.38</v>
      </c>
    </row>
    <row r="1366" spans="7:7" x14ac:dyDescent="0.35">
      <c r="G1366">
        <v>732.26</v>
      </c>
    </row>
    <row r="1367" spans="7:7" x14ac:dyDescent="0.35">
      <c r="G1367">
        <v>3305.02</v>
      </c>
    </row>
    <row r="1368" spans="7:7" x14ac:dyDescent="0.35">
      <c r="G1368">
        <v>-926.92</v>
      </c>
    </row>
    <row r="1369" spans="7:7" x14ac:dyDescent="0.35">
      <c r="G1369">
        <v>1695.86</v>
      </c>
    </row>
    <row r="1370" spans="7:7" x14ac:dyDescent="0.35">
      <c r="G1370">
        <v>3271.73</v>
      </c>
    </row>
    <row r="1371" spans="7:7" x14ac:dyDescent="0.35">
      <c r="G1371">
        <v>2363.52</v>
      </c>
    </row>
    <row r="1372" spans="7:7" x14ac:dyDescent="0.35">
      <c r="G1372">
        <v>2774.43</v>
      </c>
    </row>
    <row r="1373" spans="7:7" x14ac:dyDescent="0.35">
      <c r="G1373">
        <v>-313.83</v>
      </c>
    </row>
    <row r="1374" spans="7:7" x14ac:dyDescent="0.35">
      <c r="G1374">
        <v>3369.92</v>
      </c>
    </row>
    <row r="1375" spans="7:7" x14ac:dyDescent="0.35">
      <c r="G1375">
        <v>2274.14</v>
      </c>
    </row>
    <row r="1376" spans="7:7" x14ac:dyDescent="0.35">
      <c r="G1376">
        <v>1787.45</v>
      </c>
    </row>
    <row r="1377" spans="7:7" x14ac:dyDescent="0.35">
      <c r="G1377">
        <v>2473.13</v>
      </c>
    </row>
    <row r="1378" spans="7:7" x14ac:dyDescent="0.35">
      <c r="G1378">
        <v>-866.33</v>
      </c>
    </row>
    <row r="1379" spans="7:7" x14ac:dyDescent="0.35">
      <c r="G1379">
        <v>3353.55</v>
      </c>
    </row>
    <row r="1380" spans="7:7" x14ac:dyDescent="0.35">
      <c r="G1380">
        <v>1555.74</v>
      </c>
    </row>
    <row r="1381" spans="7:7" x14ac:dyDescent="0.35">
      <c r="G1381">
        <v>1376.74</v>
      </c>
    </row>
    <row r="1382" spans="7:7" x14ac:dyDescent="0.35">
      <c r="G1382">
        <v>2966.82</v>
      </c>
    </row>
    <row r="1383" spans="7:7" x14ac:dyDescent="0.35">
      <c r="G1383">
        <v>3302.11</v>
      </c>
    </row>
    <row r="1384" spans="7:7" x14ac:dyDescent="0.35">
      <c r="G1384">
        <v>301.89999999999998</v>
      </c>
    </row>
    <row r="1385" spans="7:7" x14ac:dyDescent="0.35">
      <c r="G1385">
        <v>1282.69</v>
      </c>
    </row>
    <row r="1386" spans="7:7" x14ac:dyDescent="0.35">
      <c r="G1386">
        <v>3686.2</v>
      </c>
    </row>
    <row r="1387" spans="7:7" x14ac:dyDescent="0.35">
      <c r="G1387">
        <v>-1171.6099999999999</v>
      </c>
    </row>
    <row r="1388" spans="7:7" x14ac:dyDescent="0.35">
      <c r="G1388">
        <v>690.1</v>
      </c>
    </row>
    <row r="1389" spans="7:7" x14ac:dyDescent="0.35">
      <c r="G1389">
        <v>-673.94</v>
      </c>
    </row>
    <row r="1390" spans="7:7" x14ac:dyDescent="0.35">
      <c r="G1390">
        <v>3928.19</v>
      </c>
    </row>
    <row r="1391" spans="7:7" x14ac:dyDescent="0.35">
      <c r="G1391">
        <v>821.32</v>
      </c>
    </row>
    <row r="1392" spans="7:7" x14ac:dyDescent="0.35">
      <c r="G1392">
        <v>1370.17</v>
      </c>
    </row>
    <row r="1393" spans="7:7" x14ac:dyDescent="0.35">
      <c r="G1393">
        <v>3386.86</v>
      </c>
    </row>
    <row r="1394" spans="7:7" x14ac:dyDescent="0.35">
      <c r="G1394">
        <v>1566.16</v>
      </c>
    </row>
    <row r="1395" spans="7:7" x14ac:dyDescent="0.35">
      <c r="G1395">
        <v>-399.23</v>
      </c>
    </row>
    <row r="1396" spans="7:7" x14ac:dyDescent="0.35">
      <c r="G1396">
        <v>2618.7199999999998</v>
      </c>
    </row>
    <row r="1397" spans="7:7" x14ac:dyDescent="0.35">
      <c r="G1397">
        <v>828.22</v>
      </c>
    </row>
    <row r="1398" spans="7:7" x14ac:dyDescent="0.35">
      <c r="G1398">
        <v>1007</v>
      </c>
    </row>
    <row r="1399" spans="7:7" x14ac:dyDescent="0.35">
      <c r="G1399">
        <v>-289.63</v>
      </c>
    </row>
    <row r="1400" spans="7:7" x14ac:dyDescent="0.35">
      <c r="G1400">
        <v>-233.45</v>
      </c>
    </row>
    <row r="1401" spans="7:7" x14ac:dyDescent="0.35">
      <c r="G1401">
        <v>1611.59</v>
      </c>
    </row>
    <row r="1402" spans="7:7" x14ac:dyDescent="0.35">
      <c r="G1402">
        <v>1735.58</v>
      </c>
    </row>
    <row r="1403" spans="7:7" x14ac:dyDescent="0.35">
      <c r="G1403">
        <v>2569.7399999999998</v>
      </c>
    </row>
    <row r="1404" spans="7:7" x14ac:dyDescent="0.35">
      <c r="G1404">
        <v>-997.11</v>
      </c>
    </row>
    <row r="1405" spans="7:7" x14ac:dyDescent="0.35">
      <c r="G1405">
        <v>3671.32</v>
      </c>
    </row>
    <row r="1406" spans="7:7" x14ac:dyDescent="0.35">
      <c r="G1406">
        <v>528.86</v>
      </c>
    </row>
    <row r="1407" spans="7:7" x14ac:dyDescent="0.35">
      <c r="G1407">
        <v>3376.32</v>
      </c>
    </row>
    <row r="1408" spans="7:7" x14ac:dyDescent="0.35">
      <c r="G1408">
        <v>647.72</v>
      </c>
    </row>
    <row r="1409" spans="7:7" x14ac:dyDescent="0.35">
      <c r="G1409">
        <v>799.21</v>
      </c>
    </row>
    <row r="1410" spans="7:7" x14ac:dyDescent="0.35">
      <c r="G1410">
        <v>3784.67</v>
      </c>
    </row>
    <row r="1411" spans="7:7" x14ac:dyDescent="0.35">
      <c r="G1411">
        <v>2376.36</v>
      </c>
    </row>
    <row r="1412" spans="7:7" x14ac:dyDescent="0.35">
      <c r="G1412">
        <v>3115.97</v>
      </c>
    </row>
    <row r="1413" spans="7:7" x14ac:dyDescent="0.35">
      <c r="G1413">
        <v>-816.85</v>
      </c>
    </row>
    <row r="1414" spans="7:7" x14ac:dyDescent="0.35">
      <c r="G1414">
        <v>66.02</v>
      </c>
    </row>
    <row r="1415" spans="7:7" x14ac:dyDescent="0.35">
      <c r="G1415">
        <v>-1034.46</v>
      </c>
    </row>
    <row r="1416" spans="7:7" x14ac:dyDescent="0.35">
      <c r="G1416">
        <v>2781.77</v>
      </c>
    </row>
    <row r="1417" spans="7:7" x14ac:dyDescent="0.35">
      <c r="G1417">
        <v>-672.15</v>
      </c>
    </row>
    <row r="1418" spans="7:7" x14ac:dyDescent="0.35">
      <c r="G1418">
        <v>1073.22</v>
      </c>
    </row>
    <row r="1419" spans="7:7" x14ac:dyDescent="0.35">
      <c r="G1419">
        <v>3818.72</v>
      </c>
    </row>
    <row r="1420" spans="7:7" x14ac:dyDescent="0.35">
      <c r="G1420">
        <v>642.29999999999995</v>
      </c>
    </row>
    <row r="1421" spans="7:7" x14ac:dyDescent="0.35">
      <c r="G1421">
        <v>3344.47</v>
      </c>
    </row>
    <row r="1422" spans="7:7" x14ac:dyDescent="0.35">
      <c r="G1422">
        <v>2743.21</v>
      </c>
    </row>
    <row r="1423" spans="7:7" x14ac:dyDescent="0.35">
      <c r="G1423">
        <v>698.11</v>
      </c>
    </row>
    <row r="1424" spans="7:7" x14ac:dyDescent="0.35">
      <c r="G1424">
        <v>155.59</v>
      </c>
    </row>
    <row r="1425" spans="7:7" x14ac:dyDescent="0.35">
      <c r="G1425">
        <v>-302.19</v>
      </c>
    </row>
    <row r="1426" spans="7:7" x14ac:dyDescent="0.35">
      <c r="G1426">
        <v>863.29</v>
      </c>
    </row>
    <row r="1427" spans="7:7" x14ac:dyDescent="0.35">
      <c r="G1427">
        <v>408.02</v>
      </c>
    </row>
    <row r="1428" spans="7:7" x14ac:dyDescent="0.35">
      <c r="G1428">
        <v>3737.69</v>
      </c>
    </row>
    <row r="1429" spans="7:7" x14ac:dyDescent="0.35">
      <c r="G1429">
        <v>125.97</v>
      </c>
    </row>
    <row r="1430" spans="7:7" x14ac:dyDescent="0.35">
      <c r="G1430">
        <v>2418.5300000000002</v>
      </c>
    </row>
    <row r="1431" spans="7:7" x14ac:dyDescent="0.35">
      <c r="G1431">
        <v>433.58</v>
      </c>
    </row>
    <row r="1432" spans="7:7" x14ac:dyDescent="0.35">
      <c r="G1432">
        <v>957.97</v>
      </c>
    </row>
    <row r="1433" spans="7:7" x14ac:dyDescent="0.35">
      <c r="G1433">
        <v>830.72</v>
      </c>
    </row>
    <row r="1434" spans="7:7" x14ac:dyDescent="0.35">
      <c r="G1434">
        <v>117.94</v>
      </c>
    </row>
    <row r="1435" spans="7:7" x14ac:dyDescent="0.35">
      <c r="G1435">
        <v>2638.1</v>
      </c>
    </row>
    <row r="1436" spans="7:7" x14ac:dyDescent="0.35">
      <c r="G1436">
        <v>-489.64</v>
      </c>
    </row>
    <row r="1437" spans="7:7" x14ac:dyDescent="0.35">
      <c r="G1437">
        <v>2486.4499999999998</v>
      </c>
    </row>
    <row r="1438" spans="7:7" x14ac:dyDescent="0.35">
      <c r="G1438">
        <v>2727.66</v>
      </c>
    </row>
    <row r="1439" spans="7:7" x14ac:dyDescent="0.35">
      <c r="G1439">
        <v>416.94</v>
      </c>
    </row>
    <row r="1440" spans="7:7" x14ac:dyDescent="0.35">
      <c r="G1440">
        <v>1363.94</v>
      </c>
    </row>
    <row r="1441" spans="7:7" x14ac:dyDescent="0.35">
      <c r="G1441">
        <v>3564.78</v>
      </c>
    </row>
    <row r="1442" spans="7:7" x14ac:dyDescent="0.35">
      <c r="G1442">
        <v>2530.62</v>
      </c>
    </row>
    <row r="1443" spans="7:7" x14ac:dyDescent="0.35">
      <c r="G1443">
        <v>1397.86</v>
      </c>
    </row>
    <row r="1444" spans="7:7" x14ac:dyDescent="0.35">
      <c r="G1444">
        <v>818.49</v>
      </c>
    </row>
    <row r="1445" spans="7:7" x14ac:dyDescent="0.35">
      <c r="G1445">
        <v>-921.98</v>
      </c>
    </row>
    <row r="1446" spans="7:7" x14ac:dyDescent="0.35">
      <c r="G1446">
        <v>3718.8</v>
      </c>
    </row>
    <row r="1447" spans="7:7" x14ac:dyDescent="0.35">
      <c r="G1447">
        <v>1224.44</v>
      </c>
    </row>
    <row r="1448" spans="7:7" x14ac:dyDescent="0.35">
      <c r="G1448">
        <v>-406.85</v>
      </c>
    </row>
    <row r="1449" spans="7:7" x14ac:dyDescent="0.35">
      <c r="G1449">
        <v>623.82000000000005</v>
      </c>
    </row>
    <row r="1450" spans="7:7" x14ac:dyDescent="0.35">
      <c r="G1450">
        <v>1201.4100000000001</v>
      </c>
    </row>
    <row r="1451" spans="7:7" x14ac:dyDescent="0.35">
      <c r="G1451">
        <v>2723</v>
      </c>
    </row>
    <row r="1452" spans="7:7" x14ac:dyDescent="0.35">
      <c r="G1452">
        <v>3505.71</v>
      </c>
    </row>
    <row r="1453" spans="7:7" x14ac:dyDescent="0.35">
      <c r="G1453">
        <v>-17.8</v>
      </c>
    </row>
    <row r="1454" spans="7:7" x14ac:dyDescent="0.35">
      <c r="G1454">
        <v>368.32</v>
      </c>
    </row>
    <row r="1455" spans="7:7" x14ac:dyDescent="0.35">
      <c r="G1455">
        <v>531.92999999999995</v>
      </c>
    </row>
    <row r="1456" spans="7:7" x14ac:dyDescent="0.35">
      <c r="G1456">
        <v>3501.41</v>
      </c>
    </row>
    <row r="1457" spans="7:7" x14ac:dyDescent="0.35">
      <c r="G1457">
        <v>314.89999999999998</v>
      </c>
    </row>
    <row r="1458" spans="7:7" x14ac:dyDescent="0.35">
      <c r="G1458">
        <v>-356.71</v>
      </c>
    </row>
    <row r="1459" spans="7:7" x14ac:dyDescent="0.35">
      <c r="G1459">
        <v>103.08</v>
      </c>
    </row>
    <row r="1460" spans="7:7" x14ac:dyDescent="0.35">
      <c r="G1460">
        <v>2507.54</v>
      </c>
    </row>
    <row r="1461" spans="7:7" x14ac:dyDescent="0.35">
      <c r="G1461">
        <v>3188.23</v>
      </c>
    </row>
    <row r="1462" spans="7:7" x14ac:dyDescent="0.35">
      <c r="G1462">
        <v>504.5</v>
      </c>
    </row>
    <row r="1463" spans="7:7" x14ac:dyDescent="0.35">
      <c r="G1463">
        <v>3445.25</v>
      </c>
    </row>
    <row r="1464" spans="7:7" x14ac:dyDescent="0.35">
      <c r="G1464">
        <v>3199.75</v>
      </c>
    </row>
    <row r="1465" spans="7:7" x14ac:dyDescent="0.35">
      <c r="G1465">
        <v>2281.4699999999998</v>
      </c>
    </row>
    <row r="1466" spans="7:7" x14ac:dyDescent="0.35">
      <c r="G1466">
        <v>-417.11</v>
      </c>
    </row>
    <row r="1467" spans="7:7" x14ac:dyDescent="0.35">
      <c r="G1467">
        <v>1006.53</v>
      </c>
    </row>
    <row r="1468" spans="7:7" x14ac:dyDescent="0.35">
      <c r="G1468">
        <v>373.65</v>
      </c>
    </row>
    <row r="1469" spans="7:7" x14ac:dyDescent="0.35">
      <c r="G1469">
        <v>-870.71</v>
      </c>
    </row>
    <row r="1470" spans="7:7" x14ac:dyDescent="0.35">
      <c r="G1470">
        <v>-313.26</v>
      </c>
    </row>
    <row r="1471" spans="7:7" x14ac:dyDescent="0.35">
      <c r="G1471">
        <v>3506.47</v>
      </c>
    </row>
    <row r="1472" spans="7:7" x14ac:dyDescent="0.35">
      <c r="G1472">
        <v>2882.29</v>
      </c>
    </row>
    <row r="1473" spans="7:7" x14ac:dyDescent="0.35">
      <c r="G1473">
        <v>1073.8</v>
      </c>
    </row>
    <row r="1474" spans="7:7" x14ac:dyDescent="0.35">
      <c r="G1474">
        <v>968.97</v>
      </c>
    </row>
    <row r="1475" spans="7:7" x14ac:dyDescent="0.35">
      <c r="G1475">
        <v>-306.33</v>
      </c>
    </row>
    <row r="1476" spans="7:7" x14ac:dyDescent="0.35">
      <c r="G1476">
        <v>2415.33</v>
      </c>
    </row>
    <row r="1477" spans="7:7" x14ac:dyDescent="0.35">
      <c r="G1477">
        <v>-945.78</v>
      </c>
    </row>
    <row r="1478" spans="7:7" x14ac:dyDescent="0.35">
      <c r="G1478">
        <v>-671.09</v>
      </c>
    </row>
    <row r="1479" spans="7:7" x14ac:dyDescent="0.35">
      <c r="G1479">
        <v>-473.08</v>
      </c>
    </row>
    <row r="1480" spans="7:7" x14ac:dyDescent="0.35">
      <c r="G1480">
        <v>2754.32</v>
      </c>
    </row>
    <row r="1481" spans="7:7" x14ac:dyDescent="0.35">
      <c r="G1481">
        <v>3535.19</v>
      </c>
    </row>
    <row r="1482" spans="7:7" x14ac:dyDescent="0.35">
      <c r="G1482">
        <v>-407.89</v>
      </c>
    </row>
    <row r="1483" spans="7:7" x14ac:dyDescent="0.35">
      <c r="G1483">
        <v>2612.88</v>
      </c>
    </row>
    <row r="1484" spans="7:7" x14ac:dyDescent="0.35">
      <c r="G1484">
        <v>-485.83</v>
      </c>
    </row>
    <row r="1485" spans="7:7" x14ac:dyDescent="0.35">
      <c r="G1485">
        <v>2907.33</v>
      </c>
    </row>
    <row r="1486" spans="7:7" x14ac:dyDescent="0.35">
      <c r="G1486">
        <v>3441.46</v>
      </c>
    </row>
    <row r="1487" spans="7:7" x14ac:dyDescent="0.35">
      <c r="G1487">
        <v>419.79</v>
      </c>
    </row>
    <row r="1488" spans="7:7" x14ac:dyDescent="0.35">
      <c r="G1488">
        <v>3454.42</v>
      </c>
    </row>
    <row r="1489" spans="7:7" x14ac:dyDescent="0.35">
      <c r="G1489">
        <v>290.35000000000002</v>
      </c>
    </row>
    <row r="1490" spans="7:7" x14ac:dyDescent="0.35">
      <c r="G1490">
        <v>2972.96</v>
      </c>
    </row>
    <row r="1491" spans="7:7" x14ac:dyDescent="0.35">
      <c r="G1491">
        <v>-1144.1600000000001</v>
      </c>
    </row>
    <row r="1492" spans="7:7" x14ac:dyDescent="0.35">
      <c r="G1492">
        <v>3405.94</v>
      </c>
    </row>
    <row r="1493" spans="7:7" x14ac:dyDescent="0.35">
      <c r="G1493">
        <v>-593.5</v>
      </c>
    </row>
    <row r="1494" spans="7:7" x14ac:dyDescent="0.35">
      <c r="G1494">
        <v>-633.80999999999995</v>
      </c>
    </row>
    <row r="1495" spans="7:7" x14ac:dyDescent="0.35">
      <c r="G1495">
        <v>764.21</v>
      </c>
    </row>
    <row r="1496" spans="7:7" x14ac:dyDescent="0.35">
      <c r="G1496">
        <v>1773.99</v>
      </c>
    </row>
    <row r="1497" spans="7:7" x14ac:dyDescent="0.35">
      <c r="G1497">
        <v>996.15</v>
      </c>
    </row>
    <row r="1498" spans="7:7" x14ac:dyDescent="0.35">
      <c r="G1498">
        <v>1605.13</v>
      </c>
    </row>
    <row r="1499" spans="7:7" x14ac:dyDescent="0.35">
      <c r="G1499">
        <v>3345.28</v>
      </c>
    </row>
    <row r="1500" spans="7:7" x14ac:dyDescent="0.35">
      <c r="G1500">
        <v>3835.88</v>
      </c>
    </row>
    <row r="1501" spans="7:7" x14ac:dyDescent="0.35">
      <c r="G1501">
        <v>2178.2199999999998</v>
      </c>
    </row>
    <row r="1502" spans="7:7" x14ac:dyDescent="0.35">
      <c r="G1502">
        <v>2954.36</v>
      </c>
    </row>
    <row r="1503" spans="7:7" x14ac:dyDescent="0.35">
      <c r="G1503">
        <v>-376.24</v>
      </c>
    </row>
    <row r="1504" spans="7:7" x14ac:dyDescent="0.35">
      <c r="G1504">
        <v>-1174.75</v>
      </c>
    </row>
    <row r="1505" spans="7:7" x14ac:dyDescent="0.35">
      <c r="G1505">
        <v>-685.96</v>
      </c>
    </row>
    <row r="1506" spans="7:7" x14ac:dyDescent="0.35">
      <c r="G1506">
        <v>-512.97</v>
      </c>
    </row>
    <row r="1507" spans="7:7" x14ac:dyDescent="0.35">
      <c r="G1507">
        <v>-136.16</v>
      </c>
    </row>
    <row r="1508" spans="7:7" x14ac:dyDescent="0.35">
      <c r="G1508">
        <v>3824.51</v>
      </c>
    </row>
    <row r="1509" spans="7:7" x14ac:dyDescent="0.35">
      <c r="G1509">
        <v>676.44</v>
      </c>
    </row>
    <row r="1510" spans="7:7" x14ac:dyDescent="0.35">
      <c r="G1510">
        <v>3832.99</v>
      </c>
    </row>
    <row r="1511" spans="7:7" x14ac:dyDescent="0.35">
      <c r="G1511">
        <v>2262.3000000000002</v>
      </c>
    </row>
    <row r="1512" spans="7:7" x14ac:dyDescent="0.35">
      <c r="G1512">
        <v>-1067.96</v>
      </c>
    </row>
    <row r="1513" spans="7:7" x14ac:dyDescent="0.35">
      <c r="G1513">
        <v>366.35</v>
      </c>
    </row>
    <row r="1514" spans="7:7" x14ac:dyDescent="0.35">
      <c r="G1514">
        <v>3332.49</v>
      </c>
    </row>
    <row r="1515" spans="7:7" x14ac:dyDescent="0.35">
      <c r="G1515">
        <v>1353.92</v>
      </c>
    </row>
    <row r="1516" spans="7:7" x14ac:dyDescent="0.35">
      <c r="G1516">
        <v>-579.76</v>
      </c>
    </row>
    <row r="1517" spans="7:7" x14ac:dyDescent="0.35">
      <c r="G1517">
        <v>-553.29999999999995</v>
      </c>
    </row>
    <row r="1518" spans="7:7" x14ac:dyDescent="0.35">
      <c r="G1518">
        <v>1461.25</v>
      </c>
    </row>
    <row r="1519" spans="7:7" x14ac:dyDescent="0.35">
      <c r="G1519">
        <v>3175.54</v>
      </c>
    </row>
    <row r="1520" spans="7:7" x14ac:dyDescent="0.35">
      <c r="G1520">
        <v>-101.29</v>
      </c>
    </row>
    <row r="1521" spans="7:7" x14ac:dyDescent="0.35">
      <c r="G1521">
        <v>1143.1099999999999</v>
      </c>
    </row>
    <row r="1522" spans="7:7" x14ac:dyDescent="0.35">
      <c r="G1522">
        <v>3926.59</v>
      </c>
    </row>
    <row r="1523" spans="7:7" x14ac:dyDescent="0.35">
      <c r="G1523">
        <v>3435.73</v>
      </c>
    </row>
    <row r="1524" spans="7:7" x14ac:dyDescent="0.35">
      <c r="G1524">
        <v>3362.1</v>
      </c>
    </row>
    <row r="1525" spans="7:7" x14ac:dyDescent="0.35">
      <c r="G1525">
        <v>-286.57</v>
      </c>
    </row>
    <row r="1526" spans="7:7" x14ac:dyDescent="0.35">
      <c r="G1526">
        <v>1834.09</v>
      </c>
    </row>
    <row r="1527" spans="7:7" x14ac:dyDescent="0.35">
      <c r="G1527">
        <v>3070.67</v>
      </c>
    </row>
    <row r="1528" spans="7:7" x14ac:dyDescent="0.35">
      <c r="G1528">
        <v>-670.41</v>
      </c>
    </row>
    <row r="1529" spans="7:7" x14ac:dyDescent="0.35">
      <c r="G1529">
        <v>2941.84</v>
      </c>
    </row>
    <row r="1530" spans="7:7" x14ac:dyDescent="0.35">
      <c r="G1530">
        <v>1253.02</v>
      </c>
    </row>
    <row r="1531" spans="7:7" x14ac:dyDescent="0.35">
      <c r="G1531">
        <v>3067.47</v>
      </c>
    </row>
    <row r="1532" spans="7:7" x14ac:dyDescent="0.35">
      <c r="G1532">
        <v>1315.69</v>
      </c>
    </row>
    <row r="1533" spans="7:7" x14ac:dyDescent="0.35">
      <c r="G1533">
        <v>3551.31</v>
      </c>
    </row>
    <row r="1534" spans="7:7" x14ac:dyDescent="0.35">
      <c r="G1534">
        <v>1173.8</v>
      </c>
    </row>
    <row r="1535" spans="7:7" x14ac:dyDescent="0.35">
      <c r="G1535">
        <v>2281.5</v>
      </c>
    </row>
    <row r="1536" spans="7:7" x14ac:dyDescent="0.35">
      <c r="G1536">
        <v>1252.1199999999999</v>
      </c>
    </row>
    <row r="1537" spans="7:7" x14ac:dyDescent="0.35">
      <c r="G1537">
        <v>3939.3</v>
      </c>
    </row>
    <row r="1538" spans="7:7" x14ac:dyDescent="0.35">
      <c r="G1538">
        <v>1876.21</v>
      </c>
    </row>
    <row r="1539" spans="7:7" x14ac:dyDescent="0.35">
      <c r="G1539">
        <v>-197.46</v>
      </c>
    </row>
    <row r="1540" spans="7:7" x14ac:dyDescent="0.35">
      <c r="G1540">
        <v>3090.67</v>
      </c>
    </row>
    <row r="1541" spans="7:7" x14ac:dyDescent="0.35">
      <c r="G1541">
        <v>36.04</v>
      </c>
    </row>
    <row r="1542" spans="7:7" x14ac:dyDescent="0.35">
      <c r="G1542">
        <v>2972.86</v>
      </c>
    </row>
    <row r="1543" spans="7:7" x14ac:dyDescent="0.35">
      <c r="G1543">
        <v>999.67</v>
      </c>
    </row>
    <row r="1544" spans="7:7" x14ac:dyDescent="0.35">
      <c r="G1544">
        <v>3624.68</v>
      </c>
    </row>
    <row r="1545" spans="7:7" x14ac:dyDescent="0.35">
      <c r="G1545">
        <v>-115.24</v>
      </c>
    </row>
    <row r="1546" spans="7:7" x14ac:dyDescent="0.35">
      <c r="G1546">
        <v>1289.3599999999999</v>
      </c>
    </row>
    <row r="1547" spans="7:7" x14ac:dyDescent="0.35">
      <c r="G1547">
        <v>1348.54</v>
      </c>
    </row>
    <row r="1548" spans="7:7" x14ac:dyDescent="0.35">
      <c r="G1548">
        <v>-833.94</v>
      </c>
    </row>
    <row r="1549" spans="7:7" x14ac:dyDescent="0.35">
      <c r="G1549">
        <v>1983.5</v>
      </c>
    </row>
    <row r="1550" spans="7:7" x14ac:dyDescent="0.35">
      <c r="G1550">
        <v>-638.36</v>
      </c>
    </row>
    <row r="1551" spans="7:7" x14ac:dyDescent="0.35">
      <c r="G1551">
        <v>1933.98</v>
      </c>
    </row>
    <row r="1552" spans="7:7" x14ac:dyDescent="0.35">
      <c r="G1552">
        <v>2219.59</v>
      </c>
    </row>
    <row r="1553" spans="7:7" x14ac:dyDescent="0.35">
      <c r="G1553">
        <v>491.15</v>
      </c>
    </row>
    <row r="1554" spans="7:7" x14ac:dyDescent="0.35">
      <c r="G1554">
        <v>-938.81</v>
      </c>
    </row>
    <row r="1555" spans="7:7" x14ac:dyDescent="0.35">
      <c r="G1555">
        <v>-789.24</v>
      </c>
    </row>
    <row r="1556" spans="7:7" x14ac:dyDescent="0.35">
      <c r="G1556">
        <v>3470.77</v>
      </c>
    </row>
    <row r="1557" spans="7:7" x14ac:dyDescent="0.35">
      <c r="G1557">
        <v>474.81</v>
      </c>
    </row>
    <row r="1558" spans="7:7" x14ac:dyDescent="0.35">
      <c r="G1558">
        <v>3142.6</v>
      </c>
    </row>
    <row r="1559" spans="7:7" x14ac:dyDescent="0.35">
      <c r="G1559">
        <v>2004.93</v>
      </c>
    </row>
    <row r="1560" spans="7:7" x14ac:dyDescent="0.35">
      <c r="G1560">
        <v>-84.8</v>
      </c>
    </row>
    <row r="1561" spans="7:7" x14ac:dyDescent="0.35">
      <c r="G1561">
        <v>1798.76</v>
      </c>
    </row>
    <row r="1562" spans="7:7" x14ac:dyDescent="0.35">
      <c r="G1562">
        <v>2404.92</v>
      </c>
    </row>
    <row r="1563" spans="7:7" x14ac:dyDescent="0.35">
      <c r="G1563">
        <v>2494.96</v>
      </c>
    </row>
    <row r="1564" spans="7:7" x14ac:dyDescent="0.35">
      <c r="G1564">
        <v>1850.9</v>
      </c>
    </row>
    <row r="1565" spans="7:7" x14ac:dyDescent="0.35">
      <c r="G1565">
        <v>1709.18</v>
      </c>
    </row>
    <row r="1566" spans="7:7" x14ac:dyDescent="0.35">
      <c r="G1566">
        <v>-245.76</v>
      </c>
    </row>
    <row r="1567" spans="7:7" x14ac:dyDescent="0.35">
      <c r="G1567">
        <v>117.6</v>
      </c>
    </row>
    <row r="1568" spans="7:7" x14ac:dyDescent="0.35">
      <c r="G1568">
        <v>1194.67</v>
      </c>
    </row>
    <row r="1569" spans="7:7" x14ac:dyDescent="0.35">
      <c r="G1569">
        <v>2072.67</v>
      </c>
    </row>
    <row r="1570" spans="7:7" x14ac:dyDescent="0.35">
      <c r="G1570">
        <v>774.01</v>
      </c>
    </row>
    <row r="1571" spans="7:7" x14ac:dyDescent="0.35">
      <c r="G1571">
        <v>3753.92</v>
      </c>
    </row>
    <row r="1572" spans="7:7" x14ac:dyDescent="0.35">
      <c r="G1572">
        <v>3351.31</v>
      </c>
    </row>
    <row r="1573" spans="7:7" x14ac:dyDescent="0.35">
      <c r="G1573">
        <v>3840.73</v>
      </c>
    </row>
    <row r="1574" spans="7:7" x14ac:dyDescent="0.35">
      <c r="G1574">
        <v>1990.32</v>
      </c>
    </row>
    <row r="1575" spans="7:7" x14ac:dyDescent="0.35">
      <c r="G1575">
        <v>-475.2</v>
      </c>
    </row>
    <row r="1576" spans="7:7" x14ac:dyDescent="0.35">
      <c r="G1576">
        <v>97.6</v>
      </c>
    </row>
    <row r="1577" spans="7:7" x14ac:dyDescent="0.35">
      <c r="G1577">
        <v>1293.3800000000001</v>
      </c>
    </row>
    <row r="1578" spans="7:7" x14ac:dyDescent="0.35">
      <c r="G1578">
        <v>778.13</v>
      </c>
    </row>
    <row r="1579" spans="7:7" x14ac:dyDescent="0.35">
      <c r="G1579">
        <v>2545.4899999999998</v>
      </c>
    </row>
    <row r="1580" spans="7:7" x14ac:dyDescent="0.35">
      <c r="G1580">
        <v>896.9</v>
      </c>
    </row>
    <row r="1581" spans="7:7" x14ac:dyDescent="0.35">
      <c r="G1581">
        <v>-223.3</v>
      </c>
    </row>
    <row r="1582" spans="7:7" x14ac:dyDescent="0.35">
      <c r="G1582">
        <v>90.51</v>
      </c>
    </row>
    <row r="1583" spans="7:7" x14ac:dyDescent="0.35">
      <c r="G1583">
        <v>1486.86</v>
      </c>
    </row>
    <row r="1584" spans="7:7" x14ac:dyDescent="0.35">
      <c r="G1584">
        <v>633.64</v>
      </c>
    </row>
    <row r="1585" spans="7:7" x14ac:dyDescent="0.35">
      <c r="G1585">
        <v>1889.03</v>
      </c>
    </row>
    <row r="1586" spans="7:7" x14ac:dyDescent="0.35">
      <c r="G1586">
        <v>681.84</v>
      </c>
    </row>
    <row r="1587" spans="7:7" x14ac:dyDescent="0.35">
      <c r="G1587">
        <v>3908.61</v>
      </c>
    </row>
    <row r="1588" spans="7:7" x14ac:dyDescent="0.35">
      <c r="G1588">
        <v>3698.62</v>
      </c>
    </row>
    <row r="1589" spans="7:7" x14ac:dyDescent="0.35">
      <c r="G1589">
        <v>1005.26</v>
      </c>
    </row>
    <row r="1590" spans="7:7" x14ac:dyDescent="0.35">
      <c r="G1590">
        <v>2974.82</v>
      </c>
    </row>
    <row r="1591" spans="7:7" x14ac:dyDescent="0.35">
      <c r="G1591">
        <v>-907.76</v>
      </c>
    </row>
    <row r="1592" spans="7:7" x14ac:dyDescent="0.35">
      <c r="G1592">
        <v>1060.98</v>
      </c>
    </row>
    <row r="1593" spans="7:7" x14ac:dyDescent="0.35">
      <c r="G1593">
        <v>3242.46</v>
      </c>
    </row>
    <row r="1594" spans="7:7" x14ac:dyDescent="0.35">
      <c r="G1594">
        <v>-484.62</v>
      </c>
    </row>
    <row r="1595" spans="7:7" x14ac:dyDescent="0.35">
      <c r="G1595">
        <v>1484.61</v>
      </c>
    </row>
    <row r="1596" spans="7:7" x14ac:dyDescent="0.35">
      <c r="G1596">
        <v>309.79000000000002</v>
      </c>
    </row>
    <row r="1597" spans="7:7" x14ac:dyDescent="0.35">
      <c r="G1597">
        <v>2155.0100000000002</v>
      </c>
    </row>
    <row r="1598" spans="7:7" x14ac:dyDescent="0.35">
      <c r="G1598">
        <v>2114.0300000000002</v>
      </c>
    </row>
    <row r="1599" spans="7:7" x14ac:dyDescent="0.35">
      <c r="G1599">
        <v>839.48</v>
      </c>
    </row>
    <row r="1600" spans="7:7" x14ac:dyDescent="0.35">
      <c r="G1600">
        <v>-748.58</v>
      </c>
    </row>
    <row r="1601" spans="7:7" x14ac:dyDescent="0.35">
      <c r="G1601">
        <v>1784.38</v>
      </c>
    </row>
    <row r="1602" spans="7:7" x14ac:dyDescent="0.35">
      <c r="G1602">
        <v>2617</v>
      </c>
    </row>
    <row r="1603" spans="7:7" x14ac:dyDescent="0.35">
      <c r="G1603">
        <v>1746.06</v>
      </c>
    </row>
    <row r="1604" spans="7:7" x14ac:dyDescent="0.35">
      <c r="G1604">
        <v>180.31</v>
      </c>
    </row>
    <row r="1605" spans="7:7" x14ac:dyDescent="0.35">
      <c r="G1605">
        <v>-737.91</v>
      </c>
    </row>
    <row r="1606" spans="7:7" x14ac:dyDescent="0.35">
      <c r="G1606">
        <v>1544.79</v>
      </c>
    </row>
    <row r="1607" spans="7:7" x14ac:dyDescent="0.35">
      <c r="G1607">
        <v>2934.53</v>
      </c>
    </row>
    <row r="1608" spans="7:7" x14ac:dyDescent="0.35">
      <c r="G1608">
        <v>1398.9</v>
      </c>
    </row>
    <row r="1609" spans="7:7" x14ac:dyDescent="0.35">
      <c r="G1609">
        <v>563.6</v>
      </c>
    </row>
    <row r="1610" spans="7:7" x14ac:dyDescent="0.35">
      <c r="G1610">
        <v>1194.93</v>
      </c>
    </row>
    <row r="1611" spans="7:7" x14ac:dyDescent="0.35">
      <c r="G1611">
        <v>1720.61</v>
      </c>
    </row>
    <row r="1612" spans="7:7" x14ac:dyDescent="0.35">
      <c r="G1612">
        <v>1178.0999999999999</v>
      </c>
    </row>
    <row r="1613" spans="7:7" x14ac:dyDescent="0.35">
      <c r="G1613">
        <v>-69.8</v>
      </c>
    </row>
    <row r="1614" spans="7:7" x14ac:dyDescent="0.35">
      <c r="G1614">
        <v>171.8</v>
      </c>
    </row>
    <row r="1615" spans="7:7" x14ac:dyDescent="0.35">
      <c r="G1615">
        <v>3360.33</v>
      </c>
    </row>
    <row r="1616" spans="7:7" x14ac:dyDescent="0.35">
      <c r="G1616">
        <v>2199.3000000000002</v>
      </c>
    </row>
    <row r="1617" spans="7:7" x14ac:dyDescent="0.35">
      <c r="G1617">
        <v>2380.63</v>
      </c>
    </row>
    <row r="1618" spans="7:7" x14ac:dyDescent="0.35">
      <c r="G1618">
        <v>1267.4100000000001</v>
      </c>
    </row>
    <row r="1619" spans="7:7" x14ac:dyDescent="0.35">
      <c r="G1619">
        <v>-738.85</v>
      </c>
    </row>
    <row r="1620" spans="7:7" x14ac:dyDescent="0.35">
      <c r="G1620">
        <v>2946.35</v>
      </c>
    </row>
    <row r="1621" spans="7:7" x14ac:dyDescent="0.35">
      <c r="G1621">
        <v>-885.09</v>
      </c>
    </row>
    <row r="1622" spans="7:7" x14ac:dyDescent="0.35">
      <c r="G1622">
        <v>2568.4</v>
      </c>
    </row>
    <row r="1623" spans="7:7" x14ac:dyDescent="0.35">
      <c r="G1623">
        <v>3231.16</v>
      </c>
    </row>
    <row r="1624" spans="7:7" x14ac:dyDescent="0.35">
      <c r="G1624">
        <v>1865.56</v>
      </c>
    </row>
    <row r="1625" spans="7:7" x14ac:dyDescent="0.35">
      <c r="G1625">
        <v>-135.15</v>
      </c>
    </row>
    <row r="1626" spans="7:7" x14ac:dyDescent="0.35">
      <c r="G1626">
        <v>3573.92</v>
      </c>
    </row>
    <row r="1627" spans="7:7" x14ac:dyDescent="0.35">
      <c r="G1627">
        <v>671.98</v>
      </c>
    </row>
    <row r="1628" spans="7:7" x14ac:dyDescent="0.35">
      <c r="G1628">
        <v>2738.44</v>
      </c>
    </row>
    <row r="1629" spans="7:7" x14ac:dyDescent="0.35">
      <c r="G1629">
        <v>2718.34</v>
      </c>
    </row>
    <row r="1630" spans="7:7" x14ac:dyDescent="0.35">
      <c r="G1630">
        <v>776.81</v>
      </c>
    </row>
    <row r="1631" spans="7:7" x14ac:dyDescent="0.35">
      <c r="G1631">
        <v>-134.82</v>
      </c>
    </row>
    <row r="1632" spans="7:7" x14ac:dyDescent="0.35">
      <c r="G1632">
        <v>1727.5</v>
      </c>
    </row>
    <row r="1633" spans="7:7" x14ac:dyDescent="0.35">
      <c r="G1633">
        <v>-198.88</v>
      </c>
    </row>
    <row r="1634" spans="7:7" x14ac:dyDescent="0.35">
      <c r="G1634">
        <v>2353.41</v>
      </c>
    </row>
    <row r="1635" spans="7:7" x14ac:dyDescent="0.35">
      <c r="G1635">
        <v>999.97</v>
      </c>
    </row>
    <row r="1636" spans="7:7" x14ac:dyDescent="0.35">
      <c r="G1636">
        <v>56.56</v>
      </c>
    </row>
    <row r="1637" spans="7:7" x14ac:dyDescent="0.35">
      <c r="G1637">
        <v>2239.79</v>
      </c>
    </row>
    <row r="1638" spans="7:7" x14ac:dyDescent="0.35">
      <c r="G1638">
        <v>-171.08</v>
      </c>
    </row>
    <row r="1639" spans="7:7" x14ac:dyDescent="0.35">
      <c r="G1639">
        <v>1624.3</v>
      </c>
    </row>
    <row r="1640" spans="7:7" x14ac:dyDescent="0.35">
      <c r="G1640">
        <v>21.13</v>
      </c>
    </row>
    <row r="1641" spans="7:7" x14ac:dyDescent="0.35">
      <c r="G1641">
        <v>3329.27</v>
      </c>
    </row>
    <row r="1642" spans="7:7" x14ac:dyDescent="0.35">
      <c r="G1642">
        <v>3732.77</v>
      </c>
    </row>
    <row r="1643" spans="7:7" x14ac:dyDescent="0.35">
      <c r="G1643">
        <v>2575.38</v>
      </c>
    </row>
    <row r="1644" spans="7:7" x14ac:dyDescent="0.35">
      <c r="G1644">
        <v>153.9</v>
      </c>
    </row>
    <row r="1645" spans="7:7" x14ac:dyDescent="0.35">
      <c r="G1645">
        <v>1000.57</v>
      </c>
    </row>
    <row r="1646" spans="7:7" x14ac:dyDescent="0.35">
      <c r="G1646">
        <v>3159.11</v>
      </c>
    </row>
    <row r="1647" spans="7:7" x14ac:dyDescent="0.35">
      <c r="G1647">
        <v>2599.62</v>
      </c>
    </row>
    <row r="1648" spans="7:7" x14ac:dyDescent="0.35">
      <c r="G1648">
        <v>505.51</v>
      </c>
    </row>
    <row r="1649" spans="7:7" x14ac:dyDescent="0.35">
      <c r="G1649">
        <v>-617.86</v>
      </c>
    </row>
    <row r="1650" spans="7:7" x14ac:dyDescent="0.35">
      <c r="G1650">
        <v>587.63</v>
      </c>
    </row>
    <row r="1651" spans="7:7" x14ac:dyDescent="0.35">
      <c r="G1651">
        <v>1067.5899999999999</v>
      </c>
    </row>
    <row r="1652" spans="7:7" x14ac:dyDescent="0.35">
      <c r="G1652">
        <v>1974.4</v>
      </c>
    </row>
    <row r="1653" spans="7:7" x14ac:dyDescent="0.35">
      <c r="G1653">
        <v>1280.5899999999999</v>
      </c>
    </row>
    <row r="1654" spans="7:7" x14ac:dyDescent="0.35">
      <c r="G1654">
        <v>635.57000000000005</v>
      </c>
    </row>
    <row r="1655" spans="7:7" x14ac:dyDescent="0.35">
      <c r="G1655">
        <v>2671.6</v>
      </c>
    </row>
    <row r="1656" spans="7:7" x14ac:dyDescent="0.35">
      <c r="G1656">
        <v>3353.3</v>
      </c>
    </row>
    <row r="1657" spans="7:7" x14ac:dyDescent="0.35">
      <c r="G1657">
        <v>-286</v>
      </c>
    </row>
    <row r="1658" spans="7:7" x14ac:dyDescent="0.35">
      <c r="G1658">
        <v>2484</v>
      </c>
    </row>
    <row r="1659" spans="7:7" x14ac:dyDescent="0.35">
      <c r="G1659">
        <v>2742.28</v>
      </c>
    </row>
    <row r="1660" spans="7:7" x14ac:dyDescent="0.35">
      <c r="G1660">
        <v>2083.6</v>
      </c>
    </row>
    <row r="1661" spans="7:7" x14ac:dyDescent="0.35">
      <c r="G1661">
        <v>608.65</v>
      </c>
    </row>
    <row r="1662" spans="7:7" x14ac:dyDescent="0.35">
      <c r="G1662">
        <v>3007.26</v>
      </c>
    </row>
    <row r="1663" spans="7:7" x14ac:dyDescent="0.35">
      <c r="G1663">
        <v>-773.05</v>
      </c>
    </row>
    <row r="1664" spans="7:7" x14ac:dyDescent="0.35">
      <c r="G1664">
        <v>-1087.3399999999999</v>
      </c>
    </row>
    <row r="1665" spans="7:7" x14ac:dyDescent="0.35">
      <c r="G1665">
        <v>1897.69</v>
      </c>
    </row>
    <row r="1666" spans="7:7" x14ac:dyDescent="0.35">
      <c r="G1666">
        <v>-195</v>
      </c>
    </row>
    <row r="1667" spans="7:7" x14ac:dyDescent="0.35">
      <c r="G1667">
        <v>1548.1</v>
      </c>
    </row>
    <row r="1668" spans="7:7" x14ac:dyDescent="0.35">
      <c r="G1668">
        <v>-1164.28</v>
      </c>
    </row>
    <row r="1669" spans="7:7" x14ac:dyDescent="0.35">
      <c r="G1669">
        <v>1061.2</v>
      </c>
    </row>
    <row r="1670" spans="7:7" x14ac:dyDescent="0.35">
      <c r="G1670">
        <v>48.02</v>
      </c>
    </row>
    <row r="1671" spans="7:7" x14ac:dyDescent="0.35">
      <c r="G1671">
        <v>2944.03</v>
      </c>
    </row>
    <row r="1672" spans="7:7" x14ac:dyDescent="0.35">
      <c r="G1672">
        <v>2779.39</v>
      </c>
    </row>
    <row r="1673" spans="7:7" x14ac:dyDescent="0.35">
      <c r="G1673">
        <v>1993.16</v>
      </c>
    </row>
    <row r="1674" spans="7:7" x14ac:dyDescent="0.35">
      <c r="G1674">
        <v>3865.04</v>
      </c>
    </row>
    <row r="1675" spans="7:7" x14ac:dyDescent="0.35">
      <c r="G1675">
        <v>1928.88</v>
      </c>
    </row>
    <row r="1676" spans="7:7" x14ac:dyDescent="0.35">
      <c r="G1676">
        <v>2371.4499999999998</v>
      </c>
    </row>
    <row r="1677" spans="7:7" x14ac:dyDescent="0.35">
      <c r="G1677">
        <v>1507.71</v>
      </c>
    </row>
    <row r="1678" spans="7:7" x14ac:dyDescent="0.35">
      <c r="G1678">
        <v>2158.91</v>
      </c>
    </row>
    <row r="1679" spans="7:7" x14ac:dyDescent="0.35">
      <c r="G1679">
        <v>3999.21</v>
      </c>
    </row>
    <row r="1680" spans="7:7" x14ac:dyDescent="0.35">
      <c r="G1680">
        <v>2093.87</v>
      </c>
    </row>
    <row r="1681" spans="7:7" x14ac:dyDescent="0.35">
      <c r="G1681">
        <v>779.19</v>
      </c>
    </row>
    <row r="1682" spans="7:7" x14ac:dyDescent="0.35">
      <c r="G1682">
        <v>1059.07</v>
      </c>
    </row>
    <row r="1683" spans="7:7" x14ac:dyDescent="0.35">
      <c r="G1683">
        <v>-675.88</v>
      </c>
    </row>
    <row r="1684" spans="7:7" x14ac:dyDescent="0.35">
      <c r="G1684">
        <v>3387.91</v>
      </c>
    </row>
    <row r="1685" spans="7:7" x14ac:dyDescent="0.35">
      <c r="G1685">
        <v>2377.84</v>
      </c>
    </row>
    <row r="1686" spans="7:7" x14ac:dyDescent="0.35">
      <c r="G1686">
        <v>2093.6799999999998</v>
      </c>
    </row>
    <row r="1687" spans="7:7" x14ac:dyDescent="0.35">
      <c r="G1687">
        <v>3372.49</v>
      </c>
    </row>
    <row r="1688" spans="7:7" x14ac:dyDescent="0.35">
      <c r="G1688">
        <v>-233.59</v>
      </c>
    </row>
    <row r="1689" spans="7:7" x14ac:dyDescent="0.35">
      <c r="G1689">
        <v>-758.5</v>
      </c>
    </row>
    <row r="1690" spans="7:7" x14ac:dyDescent="0.35">
      <c r="G1690">
        <v>-43.41</v>
      </c>
    </row>
    <row r="1691" spans="7:7" x14ac:dyDescent="0.35">
      <c r="G1691">
        <v>266.39999999999998</v>
      </c>
    </row>
    <row r="1692" spans="7:7" x14ac:dyDescent="0.35">
      <c r="G1692">
        <v>-538.94000000000005</v>
      </c>
    </row>
    <row r="1693" spans="7:7" x14ac:dyDescent="0.35">
      <c r="G1693">
        <v>1451.15</v>
      </c>
    </row>
    <row r="1694" spans="7:7" x14ac:dyDescent="0.35">
      <c r="G1694">
        <v>3175.14</v>
      </c>
    </row>
    <row r="1695" spans="7:7" x14ac:dyDescent="0.35">
      <c r="G1695">
        <v>-399.33</v>
      </c>
    </row>
    <row r="1696" spans="7:7" x14ac:dyDescent="0.35">
      <c r="G1696">
        <v>-261.43</v>
      </c>
    </row>
    <row r="1697" spans="7:7" x14ac:dyDescent="0.35">
      <c r="G1697">
        <v>41.24</v>
      </c>
    </row>
    <row r="1698" spans="7:7" x14ac:dyDescent="0.35">
      <c r="G1698">
        <v>477.62</v>
      </c>
    </row>
    <row r="1699" spans="7:7" x14ac:dyDescent="0.35">
      <c r="G1699">
        <v>2465.79</v>
      </c>
    </row>
    <row r="1700" spans="7:7" x14ac:dyDescent="0.35">
      <c r="G1700">
        <v>1345.61</v>
      </c>
    </row>
    <row r="1701" spans="7:7" x14ac:dyDescent="0.35">
      <c r="G1701">
        <v>1331.92</v>
      </c>
    </row>
    <row r="1702" spans="7:7" x14ac:dyDescent="0.35">
      <c r="G1702">
        <v>1529.46</v>
      </c>
    </row>
    <row r="1703" spans="7:7" x14ac:dyDescent="0.35">
      <c r="G1703">
        <v>140.84</v>
      </c>
    </row>
    <row r="1704" spans="7:7" x14ac:dyDescent="0.35">
      <c r="G1704">
        <v>3544.31</v>
      </c>
    </row>
    <row r="1705" spans="7:7" x14ac:dyDescent="0.35">
      <c r="G1705">
        <v>-921.97</v>
      </c>
    </row>
    <row r="1706" spans="7:7" x14ac:dyDescent="0.35">
      <c r="G1706">
        <v>1015.38</v>
      </c>
    </row>
    <row r="1707" spans="7:7" x14ac:dyDescent="0.35">
      <c r="G1707">
        <v>2535.71</v>
      </c>
    </row>
    <row r="1708" spans="7:7" x14ac:dyDescent="0.35">
      <c r="G1708">
        <v>-105.03</v>
      </c>
    </row>
    <row r="1709" spans="7:7" x14ac:dyDescent="0.35">
      <c r="G1709">
        <v>3381.94</v>
      </c>
    </row>
    <row r="1710" spans="7:7" x14ac:dyDescent="0.35">
      <c r="G1710">
        <v>1504.9</v>
      </c>
    </row>
    <row r="1711" spans="7:7" x14ac:dyDescent="0.35">
      <c r="G1711">
        <v>3836.65</v>
      </c>
    </row>
    <row r="1712" spans="7:7" x14ac:dyDescent="0.35">
      <c r="G1712">
        <v>304.77999999999997</v>
      </c>
    </row>
    <row r="1713" spans="7:7" x14ac:dyDescent="0.35">
      <c r="G1713">
        <v>285.95</v>
      </c>
    </row>
    <row r="1714" spans="7:7" x14ac:dyDescent="0.35">
      <c r="G1714">
        <v>1217.01</v>
      </c>
    </row>
    <row r="1715" spans="7:7" x14ac:dyDescent="0.35">
      <c r="G1715">
        <v>106.35</v>
      </c>
    </row>
    <row r="1716" spans="7:7" x14ac:dyDescent="0.35">
      <c r="G1716">
        <v>-900.4</v>
      </c>
    </row>
    <row r="1717" spans="7:7" x14ac:dyDescent="0.35">
      <c r="G1717">
        <v>274.76</v>
      </c>
    </row>
    <row r="1718" spans="7:7" x14ac:dyDescent="0.35">
      <c r="G1718">
        <v>3076.73</v>
      </c>
    </row>
    <row r="1719" spans="7:7" x14ac:dyDescent="0.35">
      <c r="G1719">
        <v>871.53</v>
      </c>
    </row>
    <row r="1720" spans="7:7" x14ac:dyDescent="0.35">
      <c r="G1720">
        <v>1011.99</v>
      </c>
    </row>
    <row r="1721" spans="7:7" x14ac:dyDescent="0.35">
      <c r="G1721">
        <v>2963.38</v>
      </c>
    </row>
    <row r="1722" spans="7:7" x14ac:dyDescent="0.35">
      <c r="G1722">
        <v>547.28</v>
      </c>
    </row>
    <row r="1723" spans="7:7" x14ac:dyDescent="0.35">
      <c r="G1723">
        <v>203.96</v>
      </c>
    </row>
    <row r="1724" spans="7:7" x14ac:dyDescent="0.35">
      <c r="G1724">
        <v>-699.76</v>
      </c>
    </row>
    <row r="1725" spans="7:7" x14ac:dyDescent="0.35">
      <c r="G1725">
        <v>3155.41</v>
      </c>
    </row>
    <row r="1726" spans="7:7" x14ac:dyDescent="0.35">
      <c r="G1726">
        <v>3914.69</v>
      </c>
    </row>
    <row r="1727" spans="7:7" x14ac:dyDescent="0.35">
      <c r="G1727">
        <v>1864.83</v>
      </c>
    </row>
    <row r="1728" spans="7:7" x14ac:dyDescent="0.35">
      <c r="G1728">
        <v>1401.88</v>
      </c>
    </row>
    <row r="1729" spans="7:7" x14ac:dyDescent="0.35">
      <c r="G1729">
        <v>1942.39</v>
      </c>
    </row>
    <row r="1730" spans="7:7" x14ac:dyDescent="0.35">
      <c r="G1730">
        <v>-1088.9000000000001</v>
      </c>
    </row>
    <row r="1731" spans="7:7" x14ac:dyDescent="0.35">
      <c r="G1731">
        <v>2194.38</v>
      </c>
    </row>
    <row r="1732" spans="7:7" x14ac:dyDescent="0.35">
      <c r="G1732">
        <v>-512.77</v>
      </c>
    </row>
    <row r="1733" spans="7:7" x14ac:dyDescent="0.35">
      <c r="G1733">
        <v>3486.85</v>
      </c>
    </row>
    <row r="1734" spans="7:7" x14ac:dyDescent="0.35">
      <c r="G1734">
        <v>3282.84</v>
      </c>
    </row>
    <row r="1735" spans="7:7" x14ac:dyDescent="0.35">
      <c r="G1735">
        <v>3743.48</v>
      </c>
    </row>
    <row r="1736" spans="7:7" x14ac:dyDescent="0.35">
      <c r="G1736">
        <v>1678.19</v>
      </c>
    </row>
    <row r="1737" spans="7:7" x14ac:dyDescent="0.35">
      <c r="G1737">
        <v>-1107.26</v>
      </c>
    </row>
    <row r="1738" spans="7:7" x14ac:dyDescent="0.35">
      <c r="G1738">
        <v>155.61000000000001</v>
      </c>
    </row>
    <row r="1739" spans="7:7" x14ac:dyDescent="0.35">
      <c r="G1739">
        <v>-835.46</v>
      </c>
    </row>
    <row r="1740" spans="7:7" x14ac:dyDescent="0.35">
      <c r="G1740">
        <v>-869.37</v>
      </c>
    </row>
    <row r="1741" spans="7:7" x14ac:dyDescent="0.35">
      <c r="G1741">
        <v>2254.67</v>
      </c>
    </row>
    <row r="1742" spans="7:7" x14ac:dyDescent="0.35">
      <c r="G1742">
        <v>-203.62</v>
      </c>
    </row>
    <row r="1743" spans="7:7" x14ac:dyDescent="0.35">
      <c r="G1743">
        <v>302.75</v>
      </c>
    </row>
    <row r="1744" spans="7:7" x14ac:dyDescent="0.35">
      <c r="G1744">
        <v>1048.6300000000001</v>
      </c>
    </row>
    <row r="1745" spans="7:7" x14ac:dyDescent="0.35">
      <c r="G1745">
        <v>500.23</v>
      </c>
    </row>
    <row r="1746" spans="7:7" x14ac:dyDescent="0.35">
      <c r="G1746">
        <v>-564.63</v>
      </c>
    </row>
    <row r="1747" spans="7:7" x14ac:dyDescent="0.35">
      <c r="G1747">
        <v>1135.3800000000001</v>
      </c>
    </row>
    <row r="1748" spans="7:7" x14ac:dyDescent="0.35">
      <c r="G1748">
        <v>-443.83</v>
      </c>
    </row>
    <row r="1749" spans="7:7" x14ac:dyDescent="0.35">
      <c r="G1749">
        <v>1788.65</v>
      </c>
    </row>
    <row r="1750" spans="7:7" x14ac:dyDescent="0.35">
      <c r="G1750">
        <v>2562.0500000000002</v>
      </c>
    </row>
    <row r="1751" spans="7:7" x14ac:dyDescent="0.35">
      <c r="G1751">
        <v>409.77</v>
      </c>
    </row>
    <row r="1752" spans="7:7" x14ac:dyDescent="0.35">
      <c r="G1752">
        <v>1194.42</v>
      </c>
    </row>
    <row r="1753" spans="7:7" x14ac:dyDescent="0.35">
      <c r="G1753">
        <v>2788.1</v>
      </c>
    </row>
    <row r="1754" spans="7:7" x14ac:dyDescent="0.35">
      <c r="G1754">
        <v>-809.91</v>
      </c>
    </row>
    <row r="1755" spans="7:7" x14ac:dyDescent="0.35">
      <c r="G1755">
        <v>671.86</v>
      </c>
    </row>
    <row r="1756" spans="7:7" x14ac:dyDescent="0.35">
      <c r="G1756">
        <v>1192.6600000000001</v>
      </c>
    </row>
    <row r="1757" spans="7:7" x14ac:dyDescent="0.35">
      <c r="G1757">
        <v>-759.55</v>
      </c>
    </row>
    <row r="1758" spans="7:7" x14ac:dyDescent="0.35">
      <c r="G1758">
        <v>-746.03</v>
      </c>
    </row>
    <row r="1759" spans="7:7" x14ac:dyDescent="0.35">
      <c r="G1759">
        <v>3469.45</v>
      </c>
    </row>
    <row r="1760" spans="7:7" x14ac:dyDescent="0.35">
      <c r="G1760">
        <v>1415.35</v>
      </c>
    </row>
    <row r="1761" spans="7:7" x14ac:dyDescent="0.35">
      <c r="G1761">
        <v>-1087.1300000000001</v>
      </c>
    </row>
    <row r="1762" spans="7:7" x14ac:dyDescent="0.35">
      <c r="G1762">
        <v>-613.22</v>
      </c>
    </row>
    <row r="1763" spans="7:7" x14ac:dyDescent="0.35">
      <c r="G1763">
        <v>1412.54</v>
      </c>
    </row>
    <row r="1764" spans="7:7" x14ac:dyDescent="0.35">
      <c r="G1764">
        <v>299.85000000000002</v>
      </c>
    </row>
    <row r="1765" spans="7:7" x14ac:dyDescent="0.35">
      <c r="G1765">
        <v>1879.42</v>
      </c>
    </row>
    <row r="1766" spans="7:7" x14ac:dyDescent="0.35">
      <c r="G1766">
        <v>2333.09</v>
      </c>
    </row>
    <row r="1767" spans="7:7" x14ac:dyDescent="0.35">
      <c r="G1767">
        <v>2063.27</v>
      </c>
    </row>
    <row r="1768" spans="7:7" x14ac:dyDescent="0.35">
      <c r="G1768">
        <v>3222.58</v>
      </c>
    </row>
    <row r="1769" spans="7:7" x14ac:dyDescent="0.35">
      <c r="G1769">
        <v>2738.04</v>
      </c>
    </row>
    <row r="1770" spans="7:7" x14ac:dyDescent="0.35">
      <c r="G1770">
        <v>-253.76</v>
      </c>
    </row>
    <row r="1771" spans="7:7" x14ac:dyDescent="0.35">
      <c r="G1771">
        <v>3556.86</v>
      </c>
    </row>
    <row r="1772" spans="7:7" x14ac:dyDescent="0.35">
      <c r="G1772">
        <v>1165.42</v>
      </c>
    </row>
    <row r="1773" spans="7:7" x14ac:dyDescent="0.35">
      <c r="G1773">
        <v>960.82</v>
      </c>
    </row>
    <row r="1774" spans="7:7" x14ac:dyDescent="0.35">
      <c r="G1774">
        <v>3445.94</v>
      </c>
    </row>
    <row r="1775" spans="7:7" x14ac:dyDescent="0.35">
      <c r="G1775">
        <v>-950.13</v>
      </c>
    </row>
    <row r="1776" spans="7:7" x14ac:dyDescent="0.35">
      <c r="G1776">
        <v>3435.85</v>
      </c>
    </row>
    <row r="1777" spans="7:7" x14ac:dyDescent="0.35">
      <c r="G1777">
        <v>608.16</v>
      </c>
    </row>
    <row r="1778" spans="7:7" x14ac:dyDescent="0.35">
      <c r="G1778">
        <v>1001.02</v>
      </c>
    </row>
    <row r="1779" spans="7:7" x14ac:dyDescent="0.35">
      <c r="G1779">
        <v>2913.04</v>
      </c>
    </row>
    <row r="1780" spans="7:7" x14ac:dyDescent="0.35">
      <c r="G1780">
        <v>-1152.3699999999999</v>
      </c>
    </row>
    <row r="1781" spans="7:7" x14ac:dyDescent="0.35">
      <c r="G1781">
        <v>2776.82</v>
      </c>
    </row>
    <row r="1782" spans="7:7" x14ac:dyDescent="0.35">
      <c r="G1782">
        <v>110.91</v>
      </c>
    </row>
    <row r="1783" spans="7:7" x14ac:dyDescent="0.35">
      <c r="G1783">
        <v>-448.12</v>
      </c>
    </row>
    <row r="1784" spans="7:7" x14ac:dyDescent="0.35">
      <c r="G1784">
        <v>3470.61</v>
      </c>
    </row>
    <row r="1785" spans="7:7" x14ac:dyDescent="0.35">
      <c r="G1785">
        <v>-1193.8499999999999</v>
      </c>
    </row>
    <row r="1786" spans="7:7" x14ac:dyDescent="0.35">
      <c r="G1786">
        <v>-780.66</v>
      </c>
    </row>
    <row r="1787" spans="7:7" x14ac:dyDescent="0.35">
      <c r="G1787">
        <v>-532.52</v>
      </c>
    </row>
    <row r="1788" spans="7:7" x14ac:dyDescent="0.35">
      <c r="G1788">
        <v>404.2</v>
      </c>
    </row>
    <row r="1789" spans="7:7" x14ac:dyDescent="0.35">
      <c r="G1789">
        <v>572.58000000000004</v>
      </c>
    </row>
    <row r="1790" spans="7:7" x14ac:dyDescent="0.35">
      <c r="G1790">
        <v>-321.44</v>
      </c>
    </row>
    <row r="1791" spans="7:7" x14ac:dyDescent="0.35">
      <c r="G1791">
        <v>1091.8499999999999</v>
      </c>
    </row>
    <row r="1792" spans="7:7" x14ac:dyDescent="0.35">
      <c r="G1792">
        <v>3890.05</v>
      </c>
    </row>
    <row r="1793" spans="7:7" x14ac:dyDescent="0.35">
      <c r="G1793">
        <v>161.88</v>
      </c>
    </row>
    <row r="1794" spans="7:7" x14ac:dyDescent="0.35">
      <c r="G1794">
        <v>2445.12</v>
      </c>
    </row>
    <row r="1795" spans="7:7" x14ac:dyDescent="0.35">
      <c r="G1795">
        <v>3581.39</v>
      </c>
    </row>
    <row r="1796" spans="7:7" x14ac:dyDescent="0.35">
      <c r="G1796">
        <v>1585.72</v>
      </c>
    </row>
    <row r="1797" spans="7:7" x14ac:dyDescent="0.35">
      <c r="G1797">
        <v>2167.88</v>
      </c>
    </row>
    <row r="1798" spans="7:7" x14ac:dyDescent="0.35">
      <c r="G1798">
        <v>-855.08</v>
      </c>
    </row>
    <row r="1799" spans="7:7" x14ac:dyDescent="0.35">
      <c r="G1799">
        <v>2005.64</v>
      </c>
    </row>
    <row r="1800" spans="7:7" x14ac:dyDescent="0.35">
      <c r="G1800">
        <v>354.2</v>
      </c>
    </row>
    <row r="1801" spans="7:7" x14ac:dyDescent="0.35">
      <c r="G1801">
        <v>2633.21</v>
      </c>
    </row>
    <row r="1802" spans="7:7" x14ac:dyDescent="0.35">
      <c r="G1802">
        <v>1387.97</v>
      </c>
    </row>
    <row r="1803" spans="7:7" x14ac:dyDescent="0.35">
      <c r="G1803">
        <v>-782.15</v>
      </c>
    </row>
    <row r="1804" spans="7:7" x14ac:dyDescent="0.35">
      <c r="G1804">
        <v>1276.3399999999999</v>
      </c>
    </row>
    <row r="1805" spans="7:7" x14ac:dyDescent="0.35">
      <c r="G1805">
        <v>3351.25</v>
      </c>
    </row>
    <row r="1806" spans="7:7" x14ac:dyDescent="0.35">
      <c r="G1806">
        <v>1192.96</v>
      </c>
    </row>
    <row r="1807" spans="7:7" x14ac:dyDescent="0.35">
      <c r="G1807">
        <v>-975.63</v>
      </c>
    </row>
    <row r="1808" spans="7:7" x14ac:dyDescent="0.35">
      <c r="G1808">
        <v>783.79</v>
      </c>
    </row>
    <row r="1809" spans="7:7" x14ac:dyDescent="0.35">
      <c r="G1809">
        <v>1852.59</v>
      </c>
    </row>
    <row r="1810" spans="7:7" x14ac:dyDescent="0.35">
      <c r="G1810">
        <v>-898.11</v>
      </c>
    </row>
    <row r="1811" spans="7:7" x14ac:dyDescent="0.35">
      <c r="G1811">
        <v>2289.0500000000002</v>
      </c>
    </row>
    <row r="1812" spans="7:7" x14ac:dyDescent="0.35">
      <c r="G1812">
        <v>-557.35</v>
      </c>
    </row>
    <row r="1813" spans="7:7" x14ac:dyDescent="0.35">
      <c r="G1813">
        <v>672.46</v>
      </c>
    </row>
    <row r="1814" spans="7:7" x14ac:dyDescent="0.35">
      <c r="G1814">
        <v>679.64</v>
      </c>
    </row>
    <row r="1815" spans="7:7" x14ac:dyDescent="0.35">
      <c r="G1815">
        <v>-389.08</v>
      </c>
    </row>
    <row r="1816" spans="7:7" x14ac:dyDescent="0.35">
      <c r="G1816">
        <v>2722.9</v>
      </c>
    </row>
    <row r="1817" spans="7:7" x14ac:dyDescent="0.35">
      <c r="G1817">
        <v>1161.05</v>
      </c>
    </row>
    <row r="1818" spans="7:7" x14ac:dyDescent="0.35">
      <c r="G1818">
        <v>1957.94</v>
      </c>
    </row>
    <row r="1819" spans="7:7" x14ac:dyDescent="0.35">
      <c r="G1819">
        <v>557.80999999999995</v>
      </c>
    </row>
    <row r="1820" spans="7:7" x14ac:dyDescent="0.35">
      <c r="G1820">
        <v>-1109.4000000000001</v>
      </c>
    </row>
    <row r="1821" spans="7:7" x14ac:dyDescent="0.35">
      <c r="G1821">
        <v>555.86</v>
      </c>
    </row>
    <row r="1822" spans="7:7" x14ac:dyDescent="0.35">
      <c r="G1822">
        <v>-356.42</v>
      </c>
    </row>
    <row r="1823" spans="7:7" x14ac:dyDescent="0.35">
      <c r="G1823">
        <v>1724.71</v>
      </c>
    </row>
    <row r="1824" spans="7:7" x14ac:dyDescent="0.35">
      <c r="G1824">
        <v>3800.29</v>
      </c>
    </row>
    <row r="1825" spans="7:7" x14ac:dyDescent="0.35">
      <c r="G1825">
        <v>88.91</v>
      </c>
    </row>
    <row r="1826" spans="7:7" x14ac:dyDescent="0.35">
      <c r="G1826">
        <v>1158.69</v>
      </c>
    </row>
    <row r="1827" spans="7:7" x14ac:dyDescent="0.35">
      <c r="G1827">
        <v>840.25</v>
      </c>
    </row>
    <row r="1828" spans="7:7" x14ac:dyDescent="0.35">
      <c r="G1828">
        <v>-157.55000000000001</v>
      </c>
    </row>
    <row r="1829" spans="7:7" x14ac:dyDescent="0.35">
      <c r="G1829">
        <v>2164.64</v>
      </c>
    </row>
    <row r="1830" spans="7:7" x14ac:dyDescent="0.35">
      <c r="G1830">
        <v>-25.67</v>
      </c>
    </row>
    <row r="1831" spans="7:7" x14ac:dyDescent="0.35">
      <c r="G1831">
        <v>1328.75</v>
      </c>
    </row>
    <row r="1832" spans="7:7" x14ac:dyDescent="0.35">
      <c r="G1832">
        <v>635.45000000000005</v>
      </c>
    </row>
    <row r="1833" spans="7:7" x14ac:dyDescent="0.35">
      <c r="G1833">
        <v>-1033.4100000000001</v>
      </c>
    </row>
    <row r="1834" spans="7:7" x14ac:dyDescent="0.35">
      <c r="G1834">
        <v>3702.74</v>
      </c>
    </row>
    <row r="1835" spans="7:7" x14ac:dyDescent="0.35">
      <c r="G1835">
        <v>1123.18</v>
      </c>
    </row>
    <row r="1836" spans="7:7" x14ac:dyDescent="0.35">
      <c r="G1836">
        <v>3813.44</v>
      </c>
    </row>
    <row r="1837" spans="7:7" x14ac:dyDescent="0.35">
      <c r="G1837">
        <v>-1131.99</v>
      </c>
    </row>
    <row r="1838" spans="7:7" x14ac:dyDescent="0.35">
      <c r="G1838">
        <v>2692.2</v>
      </c>
    </row>
    <row r="1839" spans="7:7" x14ac:dyDescent="0.35">
      <c r="G1839">
        <v>-331.09</v>
      </c>
    </row>
    <row r="1840" spans="7:7" x14ac:dyDescent="0.35">
      <c r="G1840">
        <v>867.77</v>
      </c>
    </row>
    <row r="1841" spans="7:7" x14ac:dyDescent="0.35">
      <c r="G1841">
        <v>1311.71</v>
      </c>
    </row>
    <row r="1842" spans="7:7" x14ac:dyDescent="0.35">
      <c r="G1842">
        <v>982.03</v>
      </c>
    </row>
    <row r="1843" spans="7:7" x14ac:dyDescent="0.35">
      <c r="G1843">
        <v>-9.44</v>
      </c>
    </row>
    <row r="1844" spans="7:7" x14ac:dyDescent="0.35">
      <c r="G1844">
        <v>138.5</v>
      </c>
    </row>
    <row r="1845" spans="7:7" x14ac:dyDescent="0.35">
      <c r="G1845">
        <v>2595.5100000000002</v>
      </c>
    </row>
    <row r="1846" spans="7:7" x14ac:dyDescent="0.35">
      <c r="G1846">
        <v>3611.15</v>
      </c>
    </row>
    <row r="1847" spans="7:7" x14ac:dyDescent="0.35">
      <c r="G1847">
        <v>3322.21</v>
      </c>
    </row>
    <row r="1848" spans="7:7" x14ac:dyDescent="0.35">
      <c r="G1848">
        <v>405.43</v>
      </c>
    </row>
    <row r="1849" spans="7:7" x14ac:dyDescent="0.35">
      <c r="G1849">
        <v>-448.89</v>
      </c>
    </row>
    <row r="1850" spans="7:7" x14ac:dyDescent="0.35">
      <c r="G1850">
        <v>883.91</v>
      </c>
    </row>
    <row r="1851" spans="7:7" x14ac:dyDescent="0.35">
      <c r="G1851">
        <v>126.1</v>
      </c>
    </row>
    <row r="1852" spans="7:7" x14ac:dyDescent="0.35">
      <c r="G1852">
        <v>1848.29</v>
      </c>
    </row>
    <row r="1853" spans="7:7" x14ac:dyDescent="0.35">
      <c r="G1853">
        <v>2210.19</v>
      </c>
    </row>
    <row r="1854" spans="7:7" x14ac:dyDescent="0.35">
      <c r="G1854">
        <v>1939.05</v>
      </c>
    </row>
    <row r="1855" spans="7:7" x14ac:dyDescent="0.35">
      <c r="G1855">
        <v>3573.83</v>
      </c>
    </row>
    <row r="1856" spans="7:7" x14ac:dyDescent="0.35">
      <c r="G1856">
        <v>920.34</v>
      </c>
    </row>
    <row r="1857" spans="7:7" x14ac:dyDescent="0.35">
      <c r="G1857">
        <v>-402.21</v>
      </c>
    </row>
    <row r="1858" spans="7:7" x14ac:dyDescent="0.35">
      <c r="G1858">
        <v>-143.11000000000001</v>
      </c>
    </row>
    <row r="1859" spans="7:7" x14ac:dyDescent="0.35">
      <c r="G1859">
        <v>1884.04</v>
      </c>
    </row>
    <row r="1860" spans="7:7" x14ac:dyDescent="0.35">
      <c r="G1860">
        <v>-831.23</v>
      </c>
    </row>
    <row r="1861" spans="7:7" x14ac:dyDescent="0.35">
      <c r="G1861">
        <v>1916.22</v>
      </c>
    </row>
    <row r="1862" spans="7:7" x14ac:dyDescent="0.35">
      <c r="G1862">
        <v>1586.94</v>
      </c>
    </row>
    <row r="1863" spans="7:7" x14ac:dyDescent="0.35">
      <c r="G1863">
        <v>2003</v>
      </c>
    </row>
    <row r="1864" spans="7:7" x14ac:dyDescent="0.35">
      <c r="G1864">
        <v>728.33</v>
      </c>
    </row>
    <row r="1865" spans="7:7" x14ac:dyDescent="0.35">
      <c r="G1865">
        <v>1671.62</v>
      </c>
    </row>
    <row r="1866" spans="7:7" x14ac:dyDescent="0.35">
      <c r="G1866">
        <v>1390.36</v>
      </c>
    </row>
    <row r="1867" spans="7:7" x14ac:dyDescent="0.35">
      <c r="G1867">
        <v>-467.18</v>
      </c>
    </row>
    <row r="1868" spans="7:7" x14ac:dyDescent="0.35">
      <c r="G1868">
        <v>3222.9</v>
      </c>
    </row>
    <row r="1869" spans="7:7" x14ac:dyDescent="0.35">
      <c r="G1869">
        <v>2945.56</v>
      </c>
    </row>
    <row r="1870" spans="7:7" x14ac:dyDescent="0.35">
      <c r="G1870">
        <v>2515.85</v>
      </c>
    </row>
    <row r="1871" spans="7:7" x14ac:dyDescent="0.35">
      <c r="G1871">
        <v>3303.1</v>
      </c>
    </row>
    <row r="1872" spans="7:7" x14ac:dyDescent="0.35">
      <c r="G1872">
        <v>-238.9</v>
      </c>
    </row>
    <row r="1873" spans="7:7" x14ac:dyDescent="0.35">
      <c r="G1873">
        <v>1665.83</v>
      </c>
    </row>
    <row r="1874" spans="7:7" x14ac:dyDescent="0.35">
      <c r="G1874">
        <v>1779.99</v>
      </c>
    </row>
    <row r="1875" spans="7:7" x14ac:dyDescent="0.35">
      <c r="G1875">
        <v>1465.63</v>
      </c>
    </row>
    <row r="1876" spans="7:7" x14ac:dyDescent="0.35">
      <c r="G1876">
        <v>3626.91</v>
      </c>
    </row>
    <row r="1877" spans="7:7" x14ac:dyDescent="0.35">
      <c r="G1877">
        <v>2538.9699999999998</v>
      </c>
    </row>
    <row r="1878" spans="7:7" x14ac:dyDescent="0.35">
      <c r="G1878">
        <v>92.73</v>
      </c>
    </row>
    <row r="1879" spans="7:7" x14ac:dyDescent="0.35">
      <c r="G1879">
        <v>-787.71</v>
      </c>
    </row>
    <row r="1880" spans="7:7" x14ac:dyDescent="0.35">
      <c r="G1880">
        <v>-1071.83</v>
      </c>
    </row>
    <row r="1881" spans="7:7" x14ac:dyDescent="0.35">
      <c r="G1881">
        <v>-86.8</v>
      </c>
    </row>
    <row r="1882" spans="7:7" x14ac:dyDescent="0.35">
      <c r="G1882">
        <v>714.82</v>
      </c>
    </row>
    <row r="1883" spans="7:7" x14ac:dyDescent="0.35">
      <c r="G1883">
        <v>2234.2800000000002</v>
      </c>
    </row>
    <row r="1884" spans="7:7" x14ac:dyDescent="0.35">
      <c r="G1884">
        <v>1525.91</v>
      </c>
    </row>
    <row r="1885" spans="7:7" x14ac:dyDescent="0.35">
      <c r="G1885">
        <v>2530.73</v>
      </c>
    </row>
    <row r="1886" spans="7:7" x14ac:dyDescent="0.35">
      <c r="G1886">
        <v>510.02</v>
      </c>
    </row>
    <row r="1887" spans="7:7" x14ac:dyDescent="0.35">
      <c r="G1887">
        <v>2598.77</v>
      </c>
    </row>
    <row r="1888" spans="7:7" x14ac:dyDescent="0.35">
      <c r="G1888">
        <v>396.99</v>
      </c>
    </row>
    <row r="1889" spans="7:7" x14ac:dyDescent="0.35">
      <c r="G1889">
        <v>-1129.3800000000001</v>
      </c>
    </row>
    <row r="1890" spans="7:7" x14ac:dyDescent="0.35">
      <c r="G1890">
        <v>-693.38</v>
      </c>
    </row>
    <row r="1891" spans="7:7" x14ac:dyDescent="0.35">
      <c r="G1891">
        <v>546.84</v>
      </c>
    </row>
    <row r="1892" spans="7:7" x14ac:dyDescent="0.35">
      <c r="G1892">
        <v>2302.2199999999998</v>
      </c>
    </row>
    <row r="1893" spans="7:7" x14ac:dyDescent="0.35">
      <c r="G1893">
        <v>974.37</v>
      </c>
    </row>
    <row r="1894" spans="7:7" x14ac:dyDescent="0.35">
      <c r="G1894">
        <v>3456.67</v>
      </c>
    </row>
    <row r="1895" spans="7:7" x14ac:dyDescent="0.35">
      <c r="G1895">
        <v>1189.49</v>
      </c>
    </row>
    <row r="1896" spans="7:7" x14ac:dyDescent="0.35">
      <c r="G1896">
        <v>1767.32</v>
      </c>
    </row>
    <row r="1897" spans="7:7" x14ac:dyDescent="0.35">
      <c r="G1897">
        <v>2186.94</v>
      </c>
    </row>
    <row r="1898" spans="7:7" x14ac:dyDescent="0.35">
      <c r="G1898">
        <v>2773.13</v>
      </c>
    </row>
    <row r="1899" spans="7:7" x14ac:dyDescent="0.35">
      <c r="G1899">
        <v>848.64</v>
      </c>
    </row>
    <row r="1900" spans="7:7" x14ac:dyDescent="0.35">
      <c r="G1900">
        <v>2446.09</v>
      </c>
    </row>
    <row r="1901" spans="7:7" x14ac:dyDescent="0.35">
      <c r="G1901">
        <v>-41.67</v>
      </c>
    </row>
    <row r="1902" spans="7:7" x14ac:dyDescent="0.35">
      <c r="G1902">
        <v>1663.56</v>
      </c>
    </row>
    <row r="1903" spans="7:7" x14ac:dyDescent="0.35">
      <c r="G1903">
        <v>3365.61</v>
      </c>
    </row>
    <row r="1904" spans="7:7" x14ac:dyDescent="0.35">
      <c r="G1904">
        <v>-671.54</v>
      </c>
    </row>
    <row r="1905" spans="7:7" x14ac:dyDescent="0.35">
      <c r="G1905">
        <v>1971.9</v>
      </c>
    </row>
    <row r="1906" spans="7:7" x14ac:dyDescent="0.35">
      <c r="G1906">
        <v>-161.85</v>
      </c>
    </row>
    <row r="1907" spans="7:7" x14ac:dyDescent="0.35">
      <c r="G1907">
        <v>1334.4</v>
      </c>
    </row>
    <row r="1908" spans="7:7" x14ac:dyDescent="0.35">
      <c r="G1908">
        <v>3410.82</v>
      </c>
    </row>
    <row r="1909" spans="7:7" x14ac:dyDescent="0.35">
      <c r="G1909">
        <v>-681.62</v>
      </c>
    </row>
    <row r="1910" spans="7:7" x14ac:dyDescent="0.35">
      <c r="G1910">
        <v>2129.29</v>
      </c>
    </row>
    <row r="1911" spans="7:7" x14ac:dyDescent="0.35">
      <c r="G1911">
        <v>3373.28</v>
      </c>
    </row>
    <row r="1912" spans="7:7" x14ac:dyDescent="0.35">
      <c r="G1912">
        <v>3172.6</v>
      </c>
    </row>
    <row r="1913" spans="7:7" x14ac:dyDescent="0.35">
      <c r="G1913">
        <v>1822</v>
      </c>
    </row>
    <row r="1914" spans="7:7" x14ac:dyDescent="0.35">
      <c r="G1914">
        <v>2707.33</v>
      </c>
    </row>
    <row r="1915" spans="7:7" x14ac:dyDescent="0.35">
      <c r="G1915">
        <v>-1011.68</v>
      </c>
    </row>
    <row r="1916" spans="7:7" x14ac:dyDescent="0.35">
      <c r="G1916">
        <v>3130.26</v>
      </c>
    </row>
    <row r="1917" spans="7:7" x14ac:dyDescent="0.35">
      <c r="G1917">
        <v>3452.75</v>
      </c>
    </row>
    <row r="1918" spans="7:7" x14ac:dyDescent="0.35">
      <c r="G1918">
        <v>2790.67</v>
      </c>
    </row>
    <row r="1919" spans="7:7" x14ac:dyDescent="0.35">
      <c r="G1919">
        <v>3503.26</v>
      </c>
    </row>
    <row r="1920" spans="7:7" x14ac:dyDescent="0.35">
      <c r="G1920">
        <v>2797.91</v>
      </c>
    </row>
    <row r="1921" spans="7:7" x14ac:dyDescent="0.35">
      <c r="G1921">
        <v>2668.14</v>
      </c>
    </row>
    <row r="1922" spans="7:7" x14ac:dyDescent="0.35">
      <c r="G1922">
        <v>3548.13</v>
      </c>
    </row>
    <row r="1923" spans="7:7" x14ac:dyDescent="0.35">
      <c r="G1923">
        <v>61.45</v>
      </c>
    </row>
    <row r="1924" spans="7:7" x14ac:dyDescent="0.35">
      <c r="G1924">
        <v>2633.82</v>
      </c>
    </row>
    <row r="1925" spans="7:7" x14ac:dyDescent="0.35">
      <c r="G1925">
        <v>3005.03</v>
      </c>
    </row>
    <row r="1926" spans="7:7" x14ac:dyDescent="0.35">
      <c r="G1926">
        <v>57.84</v>
      </c>
    </row>
    <row r="1927" spans="7:7" x14ac:dyDescent="0.35">
      <c r="G1927">
        <v>1515.95</v>
      </c>
    </row>
    <row r="1928" spans="7:7" x14ac:dyDescent="0.35">
      <c r="G1928">
        <v>363.8</v>
      </c>
    </row>
    <row r="1929" spans="7:7" x14ac:dyDescent="0.35">
      <c r="G1929">
        <v>2133.39</v>
      </c>
    </row>
    <row r="1930" spans="7:7" x14ac:dyDescent="0.35">
      <c r="G1930">
        <v>3905.15</v>
      </c>
    </row>
    <row r="1931" spans="7:7" x14ac:dyDescent="0.35">
      <c r="G1931">
        <v>3590.87</v>
      </c>
    </row>
    <row r="1932" spans="7:7" x14ac:dyDescent="0.35">
      <c r="G1932">
        <v>-537.53</v>
      </c>
    </row>
    <row r="1933" spans="7:7" x14ac:dyDescent="0.35">
      <c r="G1933">
        <v>2573.36</v>
      </c>
    </row>
    <row r="1934" spans="7:7" x14ac:dyDescent="0.35">
      <c r="G1934">
        <v>3226.65</v>
      </c>
    </row>
    <row r="1935" spans="7:7" x14ac:dyDescent="0.35">
      <c r="G1935">
        <v>-289.83</v>
      </c>
    </row>
    <row r="1936" spans="7:7" x14ac:dyDescent="0.35">
      <c r="G1936">
        <v>2607.5700000000002</v>
      </c>
    </row>
    <row r="1937" spans="7:7" x14ac:dyDescent="0.35">
      <c r="G1937">
        <v>-818.53</v>
      </c>
    </row>
    <row r="1938" spans="7:7" x14ac:dyDescent="0.35">
      <c r="G1938">
        <v>3972.33</v>
      </c>
    </row>
    <row r="1939" spans="7:7" x14ac:dyDescent="0.35">
      <c r="G1939">
        <v>-551.75</v>
      </c>
    </row>
    <row r="1940" spans="7:7" x14ac:dyDescent="0.35">
      <c r="G1940">
        <v>2036.39</v>
      </c>
    </row>
    <row r="1941" spans="7:7" x14ac:dyDescent="0.35">
      <c r="G1941">
        <v>1366.18</v>
      </c>
    </row>
    <row r="1942" spans="7:7" x14ac:dyDescent="0.35">
      <c r="G1942">
        <v>-665.22</v>
      </c>
    </row>
    <row r="1943" spans="7:7" x14ac:dyDescent="0.35">
      <c r="G1943">
        <v>243.39</v>
      </c>
    </row>
    <row r="1944" spans="7:7" x14ac:dyDescent="0.35">
      <c r="G1944">
        <v>3456.95</v>
      </c>
    </row>
    <row r="1945" spans="7:7" x14ac:dyDescent="0.35">
      <c r="G1945">
        <v>2671.58</v>
      </c>
    </row>
    <row r="1946" spans="7:7" x14ac:dyDescent="0.35">
      <c r="G1946">
        <v>1574.91</v>
      </c>
    </row>
    <row r="1947" spans="7:7" x14ac:dyDescent="0.35">
      <c r="G1947">
        <v>2717.93</v>
      </c>
    </row>
    <row r="1948" spans="7:7" x14ac:dyDescent="0.35">
      <c r="G1948">
        <v>3206.34</v>
      </c>
    </row>
    <row r="1949" spans="7:7" x14ac:dyDescent="0.35">
      <c r="G1949">
        <v>-86.63</v>
      </c>
    </row>
    <row r="1950" spans="7:7" x14ac:dyDescent="0.35">
      <c r="G1950">
        <v>2814.75</v>
      </c>
    </row>
    <row r="1951" spans="7:7" x14ac:dyDescent="0.35">
      <c r="G1951">
        <v>-1188.6400000000001</v>
      </c>
    </row>
    <row r="1952" spans="7:7" x14ac:dyDescent="0.35">
      <c r="G1952">
        <v>2417.15</v>
      </c>
    </row>
    <row r="1953" spans="7:7" x14ac:dyDescent="0.35">
      <c r="G1953">
        <v>450.51</v>
      </c>
    </row>
    <row r="1954" spans="7:7" x14ac:dyDescent="0.35">
      <c r="G1954">
        <v>-1199.45</v>
      </c>
    </row>
    <row r="1955" spans="7:7" x14ac:dyDescent="0.35">
      <c r="G1955">
        <v>870.08</v>
      </c>
    </row>
    <row r="1956" spans="7:7" x14ac:dyDescent="0.35">
      <c r="G1956">
        <v>570.41999999999996</v>
      </c>
    </row>
    <row r="1957" spans="7:7" x14ac:dyDescent="0.35">
      <c r="G1957">
        <v>1800.98</v>
      </c>
    </row>
    <row r="1958" spans="7:7" x14ac:dyDescent="0.35">
      <c r="G1958">
        <v>2280.52</v>
      </c>
    </row>
    <row r="1959" spans="7:7" x14ac:dyDescent="0.35">
      <c r="G1959">
        <v>1821.65</v>
      </c>
    </row>
    <row r="1960" spans="7:7" x14ac:dyDescent="0.35">
      <c r="G1960">
        <v>2820.24</v>
      </c>
    </row>
    <row r="1961" spans="7:7" x14ac:dyDescent="0.35">
      <c r="G1961">
        <v>3173.31</v>
      </c>
    </row>
    <row r="1962" spans="7:7" x14ac:dyDescent="0.35">
      <c r="G1962">
        <v>3626.93</v>
      </c>
    </row>
    <row r="1963" spans="7:7" x14ac:dyDescent="0.35">
      <c r="G1963">
        <v>3144.4</v>
      </c>
    </row>
    <row r="1964" spans="7:7" x14ac:dyDescent="0.35">
      <c r="G1964">
        <v>1011.74</v>
      </c>
    </row>
    <row r="1965" spans="7:7" x14ac:dyDescent="0.35">
      <c r="G1965">
        <v>3536.87</v>
      </c>
    </row>
    <row r="1966" spans="7:7" x14ac:dyDescent="0.35">
      <c r="G1966">
        <v>1487.03</v>
      </c>
    </row>
    <row r="1967" spans="7:7" x14ac:dyDescent="0.35">
      <c r="G1967">
        <v>560.20000000000005</v>
      </c>
    </row>
    <row r="1968" spans="7:7" x14ac:dyDescent="0.35">
      <c r="G1968">
        <v>-838.22</v>
      </c>
    </row>
    <row r="1969" spans="7:7" x14ac:dyDescent="0.35">
      <c r="G1969">
        <v>1920.5</v>
      </c>
    </row>
    <row r="1970" spans="7:7" x14ac:dyDescent="0.35">
      <c r="G1970">
        <v>1227.48</v>
      </c>
    </row>
    <row r="1971" spans="7:7" x14ac:dyDescent="0.35">
      <c r="G1971">
        <v>-742.03</v>
      </c>
    </row>
    <row r="1972" spans="7:7" x14ac:dyDescent="0.35">
      <c r="G1972">
        <v>-1026.8599999999999</v>
      </c>
    </row>
    <row r="1973" spans="7:7" x14ac:dyDescent="0.35">
      <c r="G1973">
        <v>-751.05</v>
      </c>
    </row>
    <row r="1974" spans="7:7" x14ac:dyDescent="0.35">
      <c r="G1974">
        <v>-367.25</v>
      </c>
    </row>
    <row r="1975" spans="7:7" x14ac:dyDescent="0.35">
      <c r="G1975">
        <v>3338.79</v>
      </c>
    </row>
    <row r="1976" spans="7:7" x14ac:dyDescent="0.35">
      <c r="G1976">
        <v>-996.86</v>
      </c>
    </row>
    <row r="1977" spans="7:7" x14ac:dyDescent="0.35">
      <c r="G1977">
        <v>3045.38</v>
      </c>
    </row>
    <row r="1978" spans="7:7" x14ac:dyDescent="0.35">
      <c r="G1978">
        <v>1890.99</v>
      </c>
    </row>
    <row r="1979" spans="7:7" x14ac:dyDescent="0.35">
      <c r="G1979">
        <v>-1173.8399999999999</v>
      </c>
    </row>
    <row r="1980" spans="7:7" x14ac:dyDescent="0.35">
      <c r="G1980">
        <v>3066.85</v>
      </c>
    </row>
    <row r="1981" spans="7:7" x14ac:dyDescent="0.35">
      <c r="G1981">
        <v>2397.23</v>
      </c>
    </row>
    <row r="1982" spans="7:7" x14ac:dyDescent="0.35">
      <c r="G1982">
        <v>321.24</v>
      </c>
    </row>
    <row r="1983" spans="7:7" x14ac:dyDescent="0.35">
      <c r="G1983">
        <v>1357.29</v>
      </c>
    </row>
    <row r="1984" spans="7:7" x14ac:dyDescent="0.35">
      <c r="G1984">
        <v>2.97</v>
      </c>
    </row>
    <row r="1985" spans="7:7" x14ac:dyDescent="0.35">
      <c r="G1985">
        <v>-487.36</v>
      </c>
    </row>
    <row r="1986" spans="7:7" x14ac:dyDescent="0.35">
      <c r="G1986">
        <v>-918.14</v>
      </c>
    </row>
    <row r="1987" spans="7:7" x14ac:dyDescent="0.35">
      <c r="G1987">
        <v>2453.5700000000002</v>
      </c>
    </row>
  </sheetData>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7961-97D6-4809-8F6C-563218ACCD8E}">
  <sheetPr codeName="Sheet3"/>
  <dimension ref="A3:N50"/>
  <sheetViews>
    <sheetView topLeftCell="A13" zoomScale="81" workbookViewId="0">
      <selection activeCell="I21" sqref="I21"/>
    </sheetView>
  </sheetViews>
  <sheetFormatPr defaultRowHeight="14.5" x14ac:dyDescent="0.35"/>
  <cols>
    <col min="1" max="2" width="14.7265625" bestFit="1" customWidth="1"/>
    <col min="3" max="3" width="11.90625" bestFit="1" customWidth="1"/>
    <col min="4" max="4" width="13.08984375" bestFit="1" customWidth="1"/>
    <col min="5" max="5" width="16.6328125" bestFit="1" customWidth="1"/>
    <col min="6" max="7" width="14.7265625" bestFit="1" customWidth="1"/>
    <col min="8" max="8" width="11.90625" bestFit="1" customWidth="1"/>
    <col min="9" max="9" width="15.08984375" bestFit="1" customWidth="1"/>
    <col min="10" max="10" width="14.36328125" bestFit="1" customWidth="1"/>
    <col min="11" max="11" width="16.6328125" bestFit="1" customWidth="1"/>
    <col min="12" max="13" width="15.08984375" bestFit="1" customWidth="1"/>
    <col min="14" max="14" width="14.453125" bestFit="1" customWidth="1"/>
    <col min="15" max="15" width="11.90625" bestFit="1" customWidth="1"/>
    <col min="16" max="16" width="14.26953125" bestFit="1" customWidth="1"/>
  </cols>
  <sheetData>
    <row r="3" spans="1:14" x14ac:dyDescent="0.35">
      <c r="F3" s="6" t="s">
        <v>23</v>
      </c>
      <c r="G3" t="s">
        <v>16</v>
      </c>
      <c r="H3" t="s">
        <v>13</v>
      </c>
      <c r="I3" t="s">
        <v>15</v>
      </c>
    </row>
    <row r="4" spans="1:14" x14ac:dyDescent="0.35">
      <c r="F4" s="2" t="s">
        <v>45</v>
      </c>
      <c r="G4" s="1">
        <v>1358984.6300000004</v>
      </c>
      <c r="H4" s="1">
        <v>276692.74</v>
      </c>
      <c r="I4" s="1">
        <v>750</v>
      </c>
    </row>
    <row r="5" spans="1:14" x14ac:dyDescent="0.35">
      <c r="F5" s="2" t="s">
        <v>44</v>
      </c>
      <c r="G5" s="1">
        <v>1382405.5699999991</v>
      </c>
      <c r="H5" s="1">
        <v>252773.84999999998</v>
      </c>
      <c r="I5" s="1">
        <v>765</v>
      </c>
      <c r="K5" s="6" t="s">
        <v>23</v>
      </c>
      <c r="L5" t="s">
        <v>16</v>
      </c>
      <c r="M5" t="s">
        <v>13</v>
      </c>
      <c r="N5" t="s">
        <v>15</v>
      </c>
    </row>
    <row r="6" spans="1:14" x14ac:dyDescent="0.35">
      <c r="F6" s="2" t="s">
        <v>0</v>
      </c>
      <c r="G6" s="1">
        <v>2741390.1999999993</v>
      </c>
      <c r="H6" s="1">
        <v>529466.59</v>
      </c>
      <c r="I6" s="1">
        <v>1515</v>
      </c>
      <c r="K6" s="2" t="s">
        <v>43</v>
      </c>
      <c r="L6" s="1">
        <v>114972.55999999998</v>
      </c>
      <c r="M6" s="1">
        <v>47883.27</v>
      </c>
      <c r="N6">
        <v>48</v>
      </c>
    </row>
    <row r="7" spans="1:14" x14ac:dyDescent="0.35">
      <c r="K7" s="2" t="s">
        <v>42</v>
      </c>
      <c r="L7" s="1">
        <v>119292.98999999999</v>
      </c>
      <c r="M7" s="1">
        <v>27417.989999999998</v>
      </c>
      <c r="N7">
        <v>79</v>
      </c>
    </row>
    <row r="8" spans="1:14" x14ac:dyDescent="0.35">
      <c r="K8" s="2" t="s">
        <v>41</v>
      </c>
      <c r="L8" s="1">
        <v>123749.89000000004</v>
      </c>
      <c r="M8" s="1">
        <v>38067.26</v>
      </c>
      <c r="N8">
        <v>60</v>
      </c>
    </row>
    <row r="9" spans="1:14" x14ac:dyDescent="0.35">
      <c r="K9" s="2" t="s">
        <v>40</v>
      </c>
      <c r="L9" s="1">
        <v>130850.51999999996</v>
      </c>
      <c r="M9" s="1">
        <v>32897.75</v>
      </c>
      <c r="N9">
        <v>79</v>
      </c>
    </row>
    <row r="10" spans="1:14" x14ac:dyDescent="0.35">
      <c r="K10" s="2" t="s">
        <v>39</v>
      </c>
      <c r="L10" s="1">
        <v>143433.95000000001</v>
      </c>
      <c r="M10" s="1">
        <v>33858.39</v>
      </c>
      <c r="N10">
        <v>98</v>
      </c>
    </row>
    <row r="11" spans="1:14" x14ac:dyDescent="0.35">
      <c r="K11" s="2" t="s">
        <v>38</v>
      </c>
      <c r="L11" s="7">
        <v>144256.02999999997</v>
      </c>
      <c r="M11" s="1">
        <v>44716.81</v>
      </c>
      <c r="N11">
        <v>82</v>
      </c>
    </row>
    <row r="12" spans="1:14" x14ac:dyDescent="0.35">
      <c r="K12" s="2" t="s">
        <v>37</v>
      </c>
      <c r="L12" s="1">
        <v>145046.64000000001</v>
      </c>
      <c r="M12" s="1">
        <v>25196.83</v>
      </c>
      <c r="N12">
        <v>86</v>
      </c>
    </row>
    <row r="13" spans="1:14" x14ac:dyDescent="0.35">
      <c r="A13" s="6" t="s">
        <v>23</v>
      </c>
      <c r="B13" t="s">
        <v>16</v>
      </c>
      <c r="C13" t="s">
        <v>13</v>
      </c>
      <c r="D13" t="s">
        <v>15</v>
      </c>
      <c r="F13" s="6" t="s">
        <v>23</v>
      </c>
      <c r="G13" t="s">
        <v>16</v>
      </c>
      <c r="H13" t="s">
        <v>13</v>
      </c>
      <c r="I13" t="s">
        <v>15</v>
      </c>
      <c r="K13" s="2" t="s">
        <v>36</v>
      </c>
      <c r="L13" s="7">
        <v>156649.39000000004</v>
      </c>
      <c r="M13" s="1">
        <v>45205.11</v>
      </c>
      <c r="N13">
        <v>104</v>
      </c>
    </row>
    <row r="14" spans="1:14" x14ac:dyDescent="0.35">
      <c r="A14" s="2" t="s">
        <v>35</v>
      </c>
      <c r="B14" s="1">
        <v>418165.37999999954</v>
      </c>
      <c r="C14" s="1">
        <v>89357.939999999973</v>
      </c>
      <c r="D14" s="1">
        <v>261</v>
      </c>
      <c r="F14" s="2" t="s">
        <v>34</v>
      </c>
      <c r="G14" s="1">
        <v>898171.88999999955</v>
      </c>
      <c r="H14" s="1">
        <v>145122.88999999998</v>
      </c>
      <c r="I14" s="1">
        <v>523</v>
      </c>
      <c r="K14" s="2" t="s">
        <v>33</v>
      </c>
      <c r="L14" s="1">
        <v>165721.36000000007</v>
      </c>
      <c r="M14" s="1">
        <v>60152.090000000004</v>
      </c>
      <c r="N14">
        <v>89</v>
      </c>
    </row>
    <row r="15" spans="1:14" x14ac:dyDescent="0.35">
      <c r="A15" s="2" t="s">
        <v>32</v>
      </c>
      <c r="B15" s="1">
        <v>426520.81999999983</v>
      </c>
      <c r="C15" s="1">
        <v>96948.999999999985</v>
      </c>
      <c r="D15" s="1">
        <v>241</v>
      </c>
      <c r="F15" s="2" t="s">
        <v>31</v>
      </c>
      <c r="G15" s="1">
        <v>885305.049999999</v>
      </c>
      <c r="H15" s="1">
        <v>212086.57</v>
      </c>
      <c r="I15" s="1">
        <v>511</v>
      </c>
      <c r="K15" s="2" t="s">
        <v>30</v>
      </c>
      <c r="L15" s="1">
        <v>173822.00999999992</v>
      </c>
      <c r="M15" s="1">
        <v>38652.020000000004</v>
      </c>
      <c r="N15">
        <v>70</v>
      </c>
    </row>
    <row r="16" spans="1:14" x14ac:dyDescent="0.35">
      <c r="A16" s="2" t="s">
        <v>29</v>
      </c>
      <c r="B16" s="1">
        <v>449062.30999999988</v>
      </c>
      <c r="C16" s="1">
        <v>63164.810000000027</v>
      </c>
      <c r="D16" s="1">
        <v>262</v>
      </c>
      <c r="F16" s="2" t="s">
        <v>28</v>
      </c>
      <c r="G16" s="1">
        <v>957913.26000000129</v>
      </c>
      <c r="H16" s="1">
        <v>172257.13</v>
      </c>
      <c r="I16" s="1">
        <v>481</v>
      </c>
      <c r="K16" s="2" t="s">
        <v>0</v>
      </c>
      <c r="L16" s="1">
        <v>1417795.3399999999</v>
      </c>
      <c r="M16" s="1">
        <v>394047.52</v>
      </c>
      <c r="N16">
        <v>795</v>
      </c>
    </row>
    <row r="17" spans="1:12" x14ac:dyDescent="0.35">
      <c r="A17" s="2" t="s">
        <v>27</v>
      </c>
      <c r="B17" s="1">
        <v>462892.52999999974</v>
      </c>
      <c r="C17" s="1">
        <v>125028.31</v>
      </c>
      <c r="D17" s="1">
        <v>224</v>
      </c>
      <c r="F17" s="2" t="s">
        <v>0</v>
      </c>
      <c r="G17" s="1">
        <v>2741390.1999999997</v>
      </c>
      <c r="H17" s="1">
        <v>529466.59</v>
      </c>
      <c r="I17" s="1">
        <v>1515</v>
      </c>
    </row>
    <row r="18" spans="1:12" x14ac:dyDescent="0.35">
      <c r="A18" s="2" t="s">
        <v>26</v>
      </c>
      <c r="B18" s="1">
        <v>478794.99</v>
      </c>
      <c r="C18" s="1">
        <v>70787.509999999995</v>
      </c>
      <c r="D18" s="1">
        <v>294</v>
      </c>
    </row>
    <row r="19" spans="1:12" x14ac:dyDescent="0.35">
      <c r="A19" s="2" t="s">
        <v>25</v>
      </c>
      <c r="B19" s="1">
        <v>505954.1700000001</v>
      </c>
      <c r="C19" s="1">
        <v>84179.019999999975</v>
      </c>
      <c r="D19" s="1">
        <v>233</v>
      </c>
    </row>
    <row r="20" spans="1:12" x14ac:dyDescent="0.35">
      <c r="A20" s="2" t="s">
        <v>0</v>
      </c>
      <c r="B20" s="1">
        <v>2741390.1999999988</v>
      </c>
      <c r="C20" s="1">
        <v>529466.59</v>
      </c>
      <c r="D20" s="1">
        <v>1515</v>
      </c>
    </row>
    <row r="21" spans="1:12" x14ac:dyDescent="0.35">
      <c r="G21" s="6" t="s">
        <v>23</v>
      </c>
      <c r="H21" t="s">
        <v>16</v>
      </c>
      <c r="I21" t="s">
        <v>13</v>
      </c>
    </row>
    <row r="22" spans="1:12" x14ac:dyDescent="0.35">
      <c r="G22" s="2" t="s">
        <v>24</v>
      </c>
      <c r="H22" s="1">
        <v>215092.02999999997</v>
      </c>
      <c r="I22" s="1">
        <v>59519.240000000005</v>
      </c>
    </row>
    <row r="23" spans="1:12" x14ac:dyDescent="0.35">
      <c r="B23" s="6" t="s">
        <v>23</v>
      </c>
      <c r="C23" t="s">
        <v>16</v>
      </c>
      <c r="D23" t="s">
        <v>13</v>
      </c>
      <c r="E23" t="s">
        <v>15</v>
      </c>
      <c r="G23" s="3" t="s">
        <v>1</v>
      </c>
      <c r="H23" s="1">
        <v>8293.01</v>
      </c>
      <c r="I23" s="1">
        <v>0</v>
      </c>
      <c r="K23" t="s">
        <v>72</v>
      </c>
    </row>
    <row r="24" spans="1:12" x14ac:dyDescent="0.35">
      <c r="B24" s="2" t="s">
        <v>22</v>
      </c>
      <c r="C24" s="1">
        <v>540587.10000000033</v>
      </c>
      <c r="D24" s="1">
        <v>81021.599999999977</v>
      </c>
      <c r="E24" s="1">
        <v>265</v>
      </c>
      <c r="G24" s="3" t="s">
        <v>14</v>
      </c>
      <c r="H24" s="1">
        <v>52057.49</v>
      </c>
      <c r="I24" s="1">
        <v>9580.8799999999992</v>
      </c>
      <c r="K24" s="18">
        <f>(GETPIVOTDATA("[Measures].[Sum of Revenue]",$D$34,"[DImDate].[Order_Date (Year)]","[DImDate].[Order_Date (Year)].&amp;[2025]")-GETPIVOTDATA("[Measures].[Sum of Revenue]",$D$34,"[DImDate].[Order_Date (Year)]","[DImDate].[Order_Date (Year)].&amp;[2024]"))/GETPIVOTDATA("[Measures].[Sum of Revenue]",$D$34,"[DImDate].[Order_Date (Year)]","[DImDate].[Order_Date (Year)].&amp;[2024]")</f>
        <v>0.38340424163650827</v>
      </c>
    </row>
    <row r="25" spans="1:12" x14ac:dyDescent="0.35">
      <c r="B25" s="2" t="s">
        <v>21</v>
      </c>
      <c r="C25" s="1">
        <v>570485.58999999985</v>
      </c>
      <c r="D25" s="1">
        <v>125860.19999999997</v>
      </c>
      <c r="E25" s="1">
        <v>345</v>
      </c>
      <c r="G25" s="3" t="s">
        <v>12</v>
      </c>
      <c r="H25" s="1">
        <v>30506.23</v>
      </c>
      <c r="I25" s="1">
        <v>21195.719999999998</v>
      </c>
    </row>
    <row r="26" spans="1:12" x14ac:dyDescent="0.35">
      <c r="B26" s="2" t="s">
        <v>20</v>
      </c>
      <c r="C26" s="1">
        <v>526420.96999999939</v>
      </c>
      <c r="D26" s="1">
        <v>62785.94999999999</v>
      </c>
      <c r="E26" s="1">
        <v>256</v>
      </c>
      <c r="G26" s="3" t="s">
        <v>11</v>
      </c>
      <c r="H26" s="1">
        <v>30904.829999999998</v>
      </c>
      <c r="I26" s="1">
        <v>0</v>
      </c>
    </row>
    <row r="27" spans="1:12" x14ac:dyDescent="0.35">
      <c r="B27" s="2" t="s">
        <v>19</v>
      </c>
      <c r="C27" s="1">
        <v>525122.61999999988</v>
      </c>
      <c r="D27" s="1">
        <v>91665.849999999991</v>
      </c>
      <c r="E27" s="1">
        <v>332</v>
      </c>
      <c r="G27" s="3" t="s">
        <v>10</v>
      </c>
      <c r="H27" s="1">
        <v>65965.099999999991</v>
      </c>
      <c r="I27" s="1">
        <v>5667.01</v>
      </c>
    </row>
    <row r="28" spans="1:12" x14ac:dyDescent="0.35">
      <c r="B28" s="2" t="s">
        <v>18</v>
      </c>
      <c r="C28" s="1">
        <v>578773.91999999934</v>
      </c>
      <c r="D28" s="1">
        <v>168132.98999999996</v>
      </c>
      <c r="E28" s="1">
        <v>317</v>
      </c>
      <c r="G28" s="3" t="s">
        <v>9</v>
      </c>
      <c r="H28" s="1">
        <v>27365.37</v>
      </c>
      <c r="I28" s="1">
        <v>23075.63</v>
      </c>
    </row>
    <row r="29" spans="1:12" ht="15" thickBot="1" x14ac:dyDescent="0.4">
      <c r="B29" s="2" t="s">
        <v>0</v>
      </c>
      <c r="C29" s="1">
        <v>2741390.1999999988</v>
      </c>
      <c r="D29" s="1">
        <v>529466.58999999985</v>
      </c>
      <c r="E29" s="1">
        <v>1515</v>
      </c>
      <c r="G29" s="2" t="s">
        <v>17</v>
      </c>
      <c r="H29" s="1">
        <v>1297247.5799999998</v>
      </c>
      <c r="I29" s="1">
        <v>197174.84</v>
      </c>
    </row>
    <row r="30" spans="1:12" ht="15" thickBot="1" x14ac:dyDescent="0.4">
      <c r="G30" s="3" t="s">
        <v>7</v>
      </c>
      <c r="H30" s="1">
        <v>33037.810000000005</v>
      </c>
      <c r="I30" s="1">
        <v>23824.039999999997</v>
      </c>
      <c r="L30" s="5" t="s">
        <v>16</v>
      </c>
    </row>
    <row r="31" spans="1:12" ht="15" thickBot="1" x14ac:dyDescent="0.4">
      <c r="G31" s="3" t="s">
        <v>6</v>
      </c>
      <c r="H31" s="1">
        <v>47080.679999999993</v>
      </c>
      <c r="I31" s="1">
        <v>-112.18000000000029</v>
      </c>
      <c r="L31" s="4">
        <v>2741390.1999999983</v>
      </c>
    </row>
    <row r="32" spans="1:12" x14ac:dyDescent="0.35">
      <c r="G32" s="3" t="s">
        <v>5</v>
      </c>
      <c r="H32" s="1">
        <v>39874.44999999999</v>
      </c>
      <c r="I32" s="1">
        <v>-2652.04</v>
      </c>
    </row>
    <row r="33" spans="4:12" ht="15" thickBot="1" x14ac:dyDescent="0.4">
      <c r="G33" s="3" t="s">
        <v>4</v>
      </c>
      <c r="H33" s="1">
        <v>25986.53</v>
      </c>
      <c r="I33" s="1">
        <v>0</v>
      </c>
    </row>
    <row r="34" spans="4:12" ht="15" thickBot="1" x14ac:dyDescent="0.4">
      <c r="D34" s="6" t="s">
        <v>23</v>
      </c>
      <c r="E34" t="s">
        <v>13</v>
      </c>
      <c r="F34" t="s">
        <v>16</v>
      </c>
      <c r="G34" s="3" t="s">
        <v>3</v>
      </c>
      <c r="H34" s="1">
        <v>19733.539999999997</v>
      </c>
      <c r="I34" s="1">
        <v>7953.88</v>
      </c>
      <c r="K34" s="5" t="s">
        <v>15</v>
      </c>
    </row>
    <row r="35" spans="4:12" ht="15" thickBot="1" x14ac:dyDescent="0.4">
      <c r="D35" s="2" t="s">
        <v>24</v>
      </c>
      <c r="E35" s="17">
        <v>59519.239999999991</v>
      </c>
      <c r="F35" s="17">
        <v>2732358.91</v>
      </c>
      <c r="G35" s="3" t="s">
        <v>2</v>
      </c>
      <c r="H35" s="1">
        <v>35328.439999999995</v>
      </c>
      <c r="I35" s="1">
        <v>157.68</v>
      </c>
      <c r="K35" s="4">
        <v>1515</v>
      </c>
    </row>
    <row r="36" spans="4:12" ht="15" thickBot="1" x14ac:dyDescent="0.4">
      <c r="D36" s="2" t="s">
        <v>17</v>
      </c>
      <c r="E36" s="17">
        <v>197174.84000000003</v>
      </c>
      <c r="F36" s="17">
        <v>2732358.91</v>
      </c>
      <c r="G36" s="3" t="s">
        <v>1</v>
      </c>
      <c r="H36" s="1">
        <v>66537.090000000011</v>
      </c>
      <c r="I36" s="1">
        <v>2454.35</v>
      </c>
    </row>
    <row r="37" spans="4:12" ht="15" thickBot="1" x14ac:dyDescent="0.4">
      <c r="D37" s="2" t="s">
        <v>8</v>
      </c>
      <c r="E37" s="17">
        <v>272772.50999999989</v>
      </c>
      <c r="F37" s="17">
        <v>2732358.91</v>
      </c>
      <c r="G37" s="3" t="s">
        <v>14</v>
      </c>
      <c r="H37" s="1">
        <v>200417.10000000006</v>
      </c>
      <c r="I37" s="1">
        <v>24316.650000000005</v>
      </c>
      <c r="L37" s="5" t="s">
        <v>13</v>
      </c>
    </row>
    <row r="38" spans="4:12" ht="15" thickBot="1" x14ac:dyDescent="0.4">
      <c r="D38" s="2" t="s">
        <v>0</v>
      </c>
      <c r="E38" s="17">
        <v>529466.59</v>
      </c>
      <c r="F38" s="17">
        <v>2732358.91</v>
      </c>
      <c r="G38" s="3" t="s">
        <v>12</v>
      </c>
      <c r="H38" s="1">
        <v>185304.91000000015</v>
      </c>
      <c r="I38" s="1">
        <v>43224.670000000006</v>
      </c>
      <c r="L38" s="4">
        <v>529466.58999999973</v>
      </c>
    </row>
    <row r="39" spans="4:12" x14ac:dyDescent="0.35">
      <c r="G39" s="3" t="s">
        <v>11</v>
      </c>
      <c r="H39" s="1">
        <v>221928.68999999986</v>
      </c>
      <c r="I39" s="1">
        <v>20293.669999999998</v>
      </c>
    </row>
    <row r="40" spans="4:12" x14ac:dyDescent="0.35">
      <c r="G40" s="3" t="s">
        <v>10</v>
      </c>
      <c r="H40" s="1">
        <v>201900.91999999993</v>
      </c>
      <c r="I40" s="1">
        <v>49947.999999999993</v>
      </c>
      <c r="K40" s="18">
        <f>GETPIVOTDATA("Revenue",$L$37)/GETPIVOTDATA("Profit",$L$30)</f>
        <v>0.19313798889337244</v>
      </c>
    </row>
    <row r="41" spans="4:12" x14ac:dyDescent="0.35">
      <c r="G41" s="3" t="s">
        <v>9</v>
      </c>
      <c r="H41" s="1">
        <v>220117.41999999995</v>
      </c>
      <c r="I41" s="1">
        <v>27766.120000000003</v>
      </c>
    </row>
    <row r="42" spans="4:12" x14ac:dyDescent="0.35">
      <c r="G42" s="2" t="s">
        <v>8</v>
      </c>
      <c r="H42" s="1">
        <v>1229050.5900000003</v>
      </c>
      <c r="I42" s="1">
        <v>272772.50999999995</v>
      </c>
    </row>
    <row r="43" spans="4:12" x14ac:dyDescent="0.35">
      <c r="G43" s="3" t="s">
        <v>7</v>
      </c>
      <c r="H43" s="1">
        <v>211627.56000000008</v>
      </c>
      <c r="I43" s="1">
        <v>40949.339999999997</v>
      </c>
    </row>
    <row r="44" spans="4:12" x14ac:dyDescent="0.35">
      <c r="G44" s="3" t="s">
        <v>6</v>
      </c>
      <c r="H44" s="1">
        <v>195453.1400000001</v>
      </c>
      <c r="I44" s="1">
        <v>15660.100000000002</v>
      </c>
    </row>
    <row r="45" spans="4:12" x14ac:dyDescent="0.35">
      <c r="G45" s="3" t="s">
        <v>5</v>
      </c>
      <c r="H45" s="1">
        <v>164160.68000000002</v>
      </c>
      <c r="I45" s="1">
        <v>28100.07</v>
      </c>
    </row>
    <row r="46" spans="4:12" x14ac:dyDescent="0.35">
      <c r="G46" s="3" t="s">
        <v>4</v>
      </c>
      <c r="H46" s="1">
        <v>193361.40999999997</v>
      </c>
      <c r="I46" s="1">
        <v>103817.27999999998</v>
      </c>
    </row>
    <row r="47" spans="4:12" x14ac:dyDescent="0.35">
      <c r="G47" s="3" t="s">
        <v>3</v>
      </c>
      <c r="H47" s="1">
        <v>196340.55</v>
      </c>
      <c r="I47" s="1">
        <v>29875.360000000001</v>
      </c>
    </row>
    <row r="48" spans="4:12" x14ac:dyDescent="0.35">
      <c r="G48" s="3" t="s">
        <v>2</v>
      </c>
      <c r="H48" s="1">
        <v>162203.02999999994</v>
      </c>
      <c r="I48" s="1">
        <v>31980.05</v>
      </c>
    </row>
    <row r="49" spans="7:9" x14ac:dyDescent="0.35">
      <c r="G49" s="3" t="s">
        <v>1</v>
      </c>
      <c r="H49" s="1">
        <v>105904.22000000006</v>
      </c>
      <c r="I49" s="1">
        <v>22390.309999999998</v>
      </c>
    </row>
    <row r="50" spans="7:9" x14ac:dyDescent="0.35">
      <c r="G50" s="2" t="s">
        <v>0</v>
      </c>
      <c r="H50" s="1">
        <v>2741390.1999999997</v>
      </c>
      <c r="I50" s="1">
        <v>529466.59</v>
      </c>
    </row>
  </sheetData>
  <pageMargins left="0.7" right="0.7" top="0.75" bottom="0.75" header="0.3" footer="0.3"/>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85AFD-F85B-4C65-80F1-DDD8F5A4A34A}">
  <sheetPr codeName="Sheet4"/>
  <dimension ref="AS17:BA59"/>
  <sheetViews>
    <sheetView showGridLines="0" showRowColHeaders="0" tabSelected="1" topLeftCell="L37" zoomScale="42" zoomScaleNormal="55" zoomScalePageLayoutView="27" workbookViewId="0">
      <selection activeCell="AX34" sqref="AX34"/>
    </sheetView>
  </sheetViews>
  <sheetFormatPr defaultRowHeight="16" x14ac:dyDescent="0.45"/>
  <cols>
    <col min="1" max="48" width="8.7265625" style="16"/>
    <col min="49" max="49" width="23.7265625" style="16" bestFit="1" customWidth="1"/>
    <col min="50" max="50" width="25.453125" style="16" bestFit="1" customWidth="1"/>
    <col min="51" max="51" width="17" style="16" bestFit="1" customWidth="1"/>
    <col min="52" max="52" width="23" style="16" bestFit="1" customWidth="1"/>
    <col min="53" max="53" width="24.7265625" style="16" bestFit="1" customWidth="1"/>
    <col min="54" max="16384" width="8.7265625" style="16"/>
  </cols>
  <sheetData>
    <row r="17" spans="45:45" x14ac:dyDescent="0.45">
      <c r="AS17" s="19"/>
    </row>
    <row r="24" spans="45:45" ht="15.5" customHeight="1" x14ac:dyDescent="0.45"/>
    <row r="42" spans="49:53" x14ac:dyDescent="0.45">
      <c r="AZ42" s="19"/>
    </row>
    <row r="43" spans="49:53" ht="23.5" x14ac:dyDescent="0.55000000000000004">
      <c r="AW43" s="20" t="s">
        <v>13</v>
      </c>
      <c r="AX43" s="20" t="s">
        <v>73</v>
      </c>
      <c r="AY43" s="21"/>
      <c r="AZ43" s="15"/>
      <c r="BA43" s="15"/>
    </row>
    <row r="44" spans="49:53" ht="23.5" x14ac:dyDescent="0.55000000000000004">
      <c r="AW44" s="20" t="s">
        <v>23</v>
      </c>
      <c r="AX44" s="21" t="s">
        <v>17</v>
      </c>
      <c r="AY44" s="21" t="s">
        <v>8</v>
      </c>
      <c r="AZ44" s="15"/>
      <c r="BA44" s="15"/>
    </row>
    <row r="45" spans="49:53" ht="23.5" x14ac:dyDescent="0.55000000000000004">
      <c r="AW45" s="22" t="s">
        <v>7</v>
      </c>
      <c r="AX45" s="23">
        <v>23824.039999999997</v>
      </c>
      <c r="AY45" s="23">
        <v>40949.339999999997</v>
      </c>
      <c r="AZ45" s="15"/>
      <c r="BA45" s="15"/>
    </row>
    <row r="46" spans="49:53" ht="23.5" x14ac:dyDescent="0.55000000000000004">
      <c r="AW46" s="22" t="s">
        <v>6</v>
      </c>
      <c r="AX46" s="23">
        <v>-112.18000000000029</v>
      </c>
      <c r="AY46" s="23">
        <v>15660.100000000002</v>
      </c>
      <c r="AZ46" s="15"/>
      <c r="BA46" s="15"/>
    </row>
    <row r="47" spans="49:53" ht="23.5" x14ac:dyDescent="0.55000000000000004">
      <c r="AW47" s="22" t="s">
        <v>5</v>
      </c>
      <c r="AX47" s="23">
        <v>-2652.04</v>
      </c>
      <c r="AY47" s="23">
        <v>28100.07</v>
      </c>
      <c r="AZ47" s="15"/>
      <c r="BA47" s="15"/>
    </row>
    <row r="48" spans="49:53" ht="23.5" x14ac:dyDescent="0.55000000000000004">
      <c r="AW48" s="22" t="s">
        <v>4</v>
      </c>
      <c r="AX48" s="23">
        <v>0</v>
      </c>
      <c r="AY48" s="23">
        <v>103817.27999999998</v>
      </c>
      <c r="AZ48" s="15"/>
      <c r="BA48" s="15"/>
    </row>
    <row r="49" spans="49:53" ht="23.5" x14ac:dyDescent="0.55000000000000004">
      <c r="AW49" s="22" t="s">
        <v>3</v>
      </c>
      <c r="AX49" s="23">
        <v>7953.88</v>
      </c>
      <c r="AY49" s="23">
        <v>29875.360000000001</v>
      </c>
      <c r="AZ49" s="15"/>
      <c r="BA49" s="15"/>
    </row>
    <row r="50" spans="49:53" ht="23.5" x14ac:dyDescent="0.55000000000000004">
      <c r="AW50" s="22" t="s">
        <v>2</v>
      </c>
      <c r="AX50" s="23">
        <v>157.68</v>
      </c>
      <c r="AY50" s="23">
        <v>31980.05</v>
      </c>
      <c r="AZ50" s="15"/>
      <c r="BA50" s="15"/>
    </row>
    <row r="51" spans="49:53" ht="23.5" x14ac:dyDescent="0.55000000000000004">
      <c r="AW51" s="22" t="s">
        <v>1</v>
      </c>
      <c r="AX51" s="23">
        <v>2454.35</v>
      </c>
      <c r="AY51" s="23">
        <v>22390.309999999998</v>
      </c>
      <c r="AZ51" s="15"/>
      <c r="BA51" s="15"/>
    </row>
    <row r="52" spans="49:53" ht="23.5" x14ac:dyDescent="0.55000000000000004">
      <c r="AW52" s="22" t="s">
        <v>14</v>
      </c>
      <c r="AX52" s="23">
        <v>24316.650000000005</v>
      </c>
      <c r="AY52" s="23"/>
      <c r="AZ52" s="15"/>
      <c r="BA52" s="15"/>
    </row>
    <row r="53" spans="49:53" ht="23.5" x14ac:dyDescent="0.55000000000000004">
      <c r="AW53" s="22" t="s">
        <v>12</v>
      </c>
      <c r="AX53" s="23">
        <v>43224.670000000006</v>
      </c>
      <c r="AY53" s="23"/>
      <c r="AZ53" s="15"/>
      <c r="BA53" s="15"/>
    </row>
    <row r="54" spans="49:53" ht="23.5" x14ac:dyDescent="0.55000000000000004">
      <c r="AW54" s="22" t="s">
        <v>11</v>
      </c>
      <c r="AX54" s="23">
        <v>20293.669999999998</v>
      </c>
      <c r="AY54" s="23"/>
      <c r="AZ54" s="15"/>
      <c r="BA54" s="15"/>
    </row>
    <row r="55" spans="49:53" ht="23.5" x14ac:dyDescent="0.55000000000000004">
      <c r="AW55" s="22" t="s">
        <v>10</v>
      </c>
      <c r="AX55" s="23">
        <v>49947.999999999993</v>
      </c>
      <c r="AY55" s="23"/>
      <c r="AZ55" s="15"/>
      <c r="BA55" s="15"/>
    </row>
    <row r="56" spans="49:53" ht="23.5" x14ac:dyDescent="0.55000000000000004">
      <c r="AW56" s="22" t="s">
        <v>9</v>
      </c>
      <c r="AX56" s="23">
        <v>27766.120000000003</v>
      </c>
      <c r="AY56" s="23"/>
      <c r="AZ56" s="15"/>
      <c r="BA56" s="15"/>
    </row>
    <row r="57" spans="49:53" ht="23.5" x14ac:dyDescent="0.55000000000000004">
      <c r="AW57"/>
      <c r="AX57"/>
      <c r="AY57"/>
      <c r="AZ57" s="15"/>
      <c r="BA57" s="15"/>
    </row>
    <row r="58" spans="49:53" x14ac:dyDescent="0.45">
      <c r="AW58" s="15"/>
      <c r="AX58" s="15"/>
      <c r="AY58" s="15"/>
      <c r="AZ58" s="19"/>
    </row>
    <row r="59" spans="49:53" x14ac:dyDescent="0.45">
      <c r="AW59" s="15"/>
      <c r="AX59" s="15"/>
      <c r="AY59" s="15"/>
      <c r="AZ59" s="19"/>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E9F54F2-C7BA-489D-8649-CDED8E916FD4}">
  <ds:schemaRefs/>
</ds:datastoreItem>
</file>

<file path=customXml/itemProps2.xml><?xml version="1.0" encoding="utf-8"?>
<ds:datastoreItem xmlns:ds="http://schemas.openxmlformats.org/officeDocument/2006/customXml" ds:itemID="{E1ADAC7D-F6B4-4541-9AF7-9A1C9CB0714F}">
  <ds:schemaRefs/>
</ds:datastoreItem>
</file>

<file path=customXml/itemProps3.xml><?xml version="1.0" encoding="utf-8"?>
<ds:datastoreItem xmlns:ds="http://schemas.openxmlformats.org/officeDocument/2006/customXml" ds:itemID="{9DE2B825-3932-452D-BC6E-BD5EABD4986D}">
  <ds:schemaRefs/>
</ds:datastoreItem>
</file>

<file path=customXml/itemProps4.xml><?xml version="1.0" encoding="utf-8"?>
<ds:datastoreItem xmlns:ds="http://schemas.openxmlformats.org/officeDocument/2006/customXml" ds:itemID="{B0F8BCFF-9C2C-41B3-A4B2-9E0FA7D6CE24}">
  <ds:schemaRefs/>
</ds:datastoreItem>
</file>

<file path=customXml/itemProps5.xml><?xml version="1.0" encoding="utf-8"?>
<ds:datastoreItem xmlns:ds="http://schemas.openxmlformats.org/officeDocument/2006/customXml" ds:itemID="{FF74B8A7-AF6A-45CD-A197-78F4B07BE3C6}">
  <ds:schemaRefs/>
</ds:datastoreItem>
</file>

<file path=customXml/itemProps6.xml><?xml version="1.0" encoding="utf-8"?>
<ds:datastoreItem xmlns:ds="http://schemas.openxmlformats.org/officeDocument/2006/customXml" ds:itemID="{DBB00143-D36C-4C44-A763-C48E7350B9F2}">
  <ds:schemaRefs/>
</ds:datastoreItem>
</file>

<file path=customXml/itemProps7.xml><?xml version="1.0" encoding="utf-8"?>
<ds:datastoreItem xmlns:ds="http://schemas.openxmlformats.org/officeDocument/2006/customXml" ds:itemID="{30B3AB45-41D9-4C2D-AF73-94A2993C4761}">
  <ds:schemaRefs/>
</ds:datastoreItem>
</file>

<file path=customXml/itemProps8.xml><?xml version="1.0" encoding="utf-8"?>
<ds:datastoreItem xmlns:ds="http://schemas.openxmlformats.org/officeDocument/2006/customXml" ds:itemID="{89CAEB52-AA4C-4FC0-A712-F590659F0BD4}">
  <ds:schemaRefs/>
</ds:datastoreItem>
</file>

<file path=customXml/itemProps9.xml><?xml version="1.0" encoding="utf-8"?>
<ds:datastoreItem xmlns:ds="http://schemas.openxmlformats.org/officeDocument/2006/customXml" ds:itemID="{032BE308-A59F-479D-80B3-6C3D47CD60AF}">
  <ds:schemaRefs/>
</ds:datastoreItem>
</file>

<file path=customXml/itemProps10.xml><?xml version="1.0" encoding="utf-8"?>
<ds:datastoreItem xmlns:ds="http://schemas.openxmlformats.org/officeDocument/2006/customXml" ds:itemID="{B1ADAE84-C55F-4AF7-B641-5E08AED3E59D}">
  <ds:schemaRefs/>
</ds:datastoreItem>
</file>

<file path=customXml/itemProps11.xml><?xml version="1.0" encoding="utf-8"?>
<ds:datastoreItem xmlns:ds="http://schemas.openxmlformats.org/officeDocument/2006/customXml" ds:itemID="{E1D68497-F9FA-4FD0-ADD6-358D8E9E28BD}">
  <ds:schemaRefs/>
</ds:datastoreItem>
</file>

<file path=customXml/itemProps12.xml><?xml version="1.0" encoding="utf-8"?>
<ds:datastoreItem xmlns:ds="http://schemas.openxmlformats.org/officeDocument/2006/customXml" ds:itemID="{2C574A26-1588-4254-BF6D-E29E65CFAAAC}">
  <ds:schemaRefs/>
</ds:datastoreItem>
</file>

<file path=customXml/itemProps13.xml><?xml version="1.0" encoding="utf-8"?>
<ds:datastoreItem xmlns:ds="http://schemas.openxmlformats.org/officeDocument/2006/customXml" ds:itemID="{3D2F5929-6592-4D0C-BFC4-AD8F71F315C0}">
  <ds:schemaRefs/>
</ds:datastoreItem>
</file>

<file path=customXml/itemProps14.xml><?xml version="1.0" encoding="utf-8"?>
<ds:datastoreItem xmlns:ds="http://schemas.openxmlformats.org/officeDocument/2006/customXml" ds:itemID="{92476C6A-B041-4CC3-B953-8BE7D42E044C}">
  <ds:schemaRefs/>
</ds:datastoreItem>
</file>

<file path=customXml/itemProps15.xml><?xml version="1.0" encoding="utf-8"?>
<ds:datastoreItem xmlns:ds="http://schemas.openxmlformats.org/officeDocument/2006/customXml" ds:itemID="{78E3FBA5-1854-48F5-BB5A-D900D85598F1}">
  <ds:schemaRefs/>
</ds:datastoreItem>
</file>

<file path=customXml/itemProps16.xml><?xml version="1.0" encoding="utf-8"?>
<ds:datastoreItem xmlns:ds="http://schemas.openxmlformats.org/officeDocument/2006/customXml" ds:itemID="{2B58B44B-18E2-4191-A672-1FFE889B2961}">
  <ds:schemaRefs/>
</ds:datastoreItem>
</file>

<file path=customXml/itemProps17.xml><?xml version="1.0" encoding="utf-8"?>
<ds:datastoreItem xmlns:ds="http://schemas.openxmlformats.org/officeDocument/2006/customXml" ds:itemID="{F353EAC0-A712-465F-A378-F7DD6C8CB2E3}">
  <ds:schemaRefs/>
</ds:datastoreItem>
</file>

<file path=customXml/itemProps18.xml><?xml version="1.0" encoding="utf-8"?>
<ds:datastoreItem xmlns:ds="http://schemas.openxmlformats.org/officeDocument/2006/customXml" ds:itemID="{90B18B31-C0B6-4822-973A-701ACF62527E}">
  <ds:schemaRefs/>
</ds:datastoreItem>
</file>

<file path=customXml/itemProps19.xml><?xml version="1.0" encoding="utf-8"?>
<ds:datastoreItem xmlns:ds="http://schemas.openxmlformats.org/officeDocument/2006/customXml" ds:itemID="{8041995C-100E-41D0-AA28-799A6895B550}">
  <ds:schemaRefs>
    <ds:schemaRef ds:uri="http://schemas.microsoft.com/DataMashup"/>
  </ds:schemaRefs>
</ds:datastoreItem>
</file>

<file path=customXml/itemProps20.xml><?xml version="1.0" encoding="utf-8"?>
<ds:datastoreItem xmlns:ds="http://schemas.openxmlformats.org/officeDocument/2006/customXml" ds:itemID="{7D7DB6FC-DFD8-40B0-A399-BA5A862ACEC4}">
  <ds:schemaRefs/>
</ds:datastoreItem>
</file>

<file path=customXml/itemProps21.xml><?xml version="1.0" encoding="utf-8"?>
<ds:datastoreItem xmlns:ds="http://schemas.openxmlformats.org/officeDocument/2006/customXml" ds:itemID="{ED0F0E1F-9DE1-4A64-8C1A-7609D66AA7FF}">
  <ds:schemaRefs/>
</ds:datastoreItem>
</file>

<file path=customXml/itemProps22.xml><?xml version="1.0" encoding="utf-8"?>
<ds:datastoreItem xmlns:ds="http://schemas.openxmlformats.org/officeDocument/2006/customXml" ds:itemID="{05ED55E8-DA52-4BBE-A58C-AA17F70B7835}">
  <ds:schemaRefs/>
</ds:datastoreItem>
</file>

<file path=customXml/itemProps23.xml><?xml version="1.0" encoding="utf-8"?>
<ds:datastoreItem xmlns:ds="http://schemas.openxmlformats.org/officeDocument/2006/customXml" ds:itemID="{DA6A26F7-113D-4FD9-90A6-F9FDEF488E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 Table</vt:lpstr>
      <vt:lpstr>Dimentions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Mostafa Eid</dc:creator>
  <cp:lastModifiedBy>Ahmed Mostafa Eid</cp:lastModifiedBy>
  <dcterms:created xsi:type="dcterms:W3CDTF">2026-06-13T19:05:06Z</dcterms:created>
  <dcterms:modified xsi:type="dcterms:W3CDTF">2026-06-14T03:26:49Z</dcterms:modified>
</cp:coreProperties>
</file>